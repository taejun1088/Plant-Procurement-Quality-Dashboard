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99. Github\Plant-Procurement-Quality-Dashboard\"/>
    </mc:Choice>
  </mc:AlternateContent>
  <bookViews>
    <workbookView xWindow="-25320" yWindow="105" windowWidth="25440" windowHeight="15270" activeTab="7" xr2:uid="{00000000-000D-0000-FFFF-FFFF00000000}"/>
  </bookViews>
  <sheets>
    <sheet name="📖 README" sheetId="1" r:id="rId1"/>
    <sheet name="Project" sheetId="2" r:id="rId2"/>
    <sheet name="Manpower" sheetId="3" r:id="rId3"/>
    <sheet name="Stage_Status" sheetId="4" r:id="rId4"/>
    <sheet name="Open_NCR" sheetId="5" r:id="rId5"/>
    <sheet name="TPA" sheetId="6" r:id="rId6"/>
    <sheet name="Trip" sheetId="7" r:id="rId7"/>
    <sheet name="Issu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6" l="1"/>
  <c r="I10" i="6"/>
  <c r="J9" i="6"/>
  <c r="I9" i="6"/>
  <c r="D9" i="6"/>
  <c r="J8" i="6"/>
  <c r="I8" i="6"/>
  <c r="D8" i="6"/>
  <c r="J7" i="6"/>
  <c r="I7" i="6"/>
  <c r="J6" i="6"/>
  <c r="I6" i="6"/>
  <c r="J5" i="6"/>
  <c r="J4" i="6"/>
  <c r="I4" i="6"/>
  <c r="J3" i="6"/>
  <c r="I3" i="6"/>
  <c r="J2" i="6"/>
  <c r="I2" i="6"/>
  <c r="H10" i="5"/>
  <c r="H9" i="5"/>
  <c r="H8" i="5"/>
  <c r="H7" i="5"/>
  <c r="H6" i="5"/>
  <c r="H5" i="5"/>
  <c r="H4" i="5"/>
  <c r="H3" i="5"/>
  <c r="H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Dashboard</author>
  </authors>
  <commentList>
    <comment ref="A1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프로젝트 코드 (예: STA4, MIP6)</t>
        </r>
      </text>
    </comment>
    <comment ref="B1" authorId="0" shapeId="0" xr:uid="{00000000-0006-0000-0100-000002000000}">
      <text>
        <r>
          <rPr>
            <sz val="11"/>
            <color theme="1"/>
            <rFont val="맑은 고딕"/>
            <family val="2"/>
            <scheme val="minor"/>
          </rPr>
          <t>현대건설 분 계약가 (백만 USD 단위)</t>
        </r>
      </text>
    </comment>
    <comment ref="C1" authorId="0" shapeId="0" xr:uid="{00000000-0006-0000-0100-000003000000}">
      <text>
        <r>
          <rPr>
            <sz val="11"/>
            <color theme="1"/>
            <rFont val="맑은 고딕"/>
            <family val="2"/>
            <scheme val="minor"/>
          </rPr>
          <t>전체 계약가 (백만 USD 단위)</t>
        </r>
      </text>
    </comment>
    <comment ref="D1" authorId="0" shapeId="0" xr:uid="{00000000-0006-0000-0100-000004000000}">
      <text>
        <r>
          <rPr>
            <sz val="11"/>
            <color theme="1"/>
            <rFont val="맑은 고딕"/>
            <family val="2"/>
            <scheme val="minor"/>
          </rPr>
          <t>현대건설 분 계약가 (백만 KRW 단위)</t>
        </r>
      </text>
    </comment>
    <comment ref="E1" authorId="0" shapeId="0" xr:uid="{00000000-0006-0000-0100-000005000000}">
      <text>
        <r>
          <rPr>
            <sz val="11"/>
            <color theme="1"/>
            <rFont val="맑은 고딕"/>
            <family val="2"/>
            <scheme val="minor"/>
          </rPr>
          <t>전체 계약가 (백만 KRW 단위)</t>
        </r>
      </text>
    </comment>
    <comment ref="F1" authorId="0" shapeId="0" xr:uid="{00000000-0006-0000-0100-000006000000}">
      <text>
        <r>
          <rPr>
            <sz val="11"/>
            <color theme="1"/>
            <rFont val="맑은 고딕"/>
            <family val="2"/>
            <scheme val="minor"/>
          </rPr>
          <t>발주처</t>
        </r>
      </text>
    </comment>
    <comment ref="G1" authorId="0" shapeId="0" xr:uid="{00000000-0006-0000-0100-000007000000}">
      <text>
        <r>
          <rPr>
            <sz val="11"/>
            <color theme="1"/>
            <rFont val="맑은 고딕"/>
            <family val="2"/>
            <scheme val="minor"/>
          </rPr>
          <t>국가</t>
        </r>
      </text>
    </comment>
    <comment ref="H1" authorId="0" shapeId="0" xr:uid="{00000000-0006-0000-0100-000008000000}">
      <text>
        <r>
          <rPr>
            <sz val="11"/>
            <color theme="1"/>
            <rFont val="맑은 고딕"/>
            <family val="2"/>
            <scheme val="minor"/>
          </rPr>
          <t>프로젝트 매니저</t>
        </r>
      </text>
    </comment>
    <comment ref="I1" authorId="0" shapeId="0" xr:uid="{00000000-0006-0000-0100-000009000000}">
      <text>
        <r>
          <rPr>
            <sz val="11"/>
            <color theme="1"/>
            <rFont val="맑은 고딕"/>
            <family val="2"/>
            <scheme val="minor"/>
          </rPr>
          <t>구매품질 매니저</t>
        </r>
      </text>
    </comment>
    <comment ref="J1" authorId="0" shapeId="0" xr:uid="{00000000-0006-0000-0100-00000A000000}">
      <text>
        <r>
          <rPr>
            <sz val="11"/>
            <color theme="1"/>
            <rFont val="맑은 고딕"/>
            <family val="2"/>
            <scheme val="minor"/>
          </rPr>
          <t>Active / Mechanical Completion / Bid 중 하나</t>
        </r>
      </text>
    </comment>
    <comment ref="K1" authorId="0" shapeId="0" xr:uid="{00000000-0006-0000-0100-00000B000000}">
      <text>
        <r>
          <rPr>
            <sz val="11"/>
            <color theme="1"/>
            <rFont val="맑은 고딕"/>
            <family val="2"/>
            <scheme val="minor"/>
          </rPr>
          <t>진척률 (0~1 또는 0~100)</t>
        </r>
      </text>
    </comment>
    <comment ref="L1" authorId="0" shapeId="0" xr:uid="{00000000-0006-0000-0100-00000C000000}">
      <text>
        <r>
          <rPr>
            <sz val="11"/>
            <color theme="1"/>
            <rFont val="맑은 고딕"/>
            <family val="2"/>
            <scheme val="minor"/>
          </rPr>
          <t>비고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Dashboard</author>
  </authors>
  <commentList>
    <comment ref="A1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이름</t>
        </r>
      </text>
    </comment>
    <comment ref="B1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부서 (예: 본사, STA4, SAC2)</t>
        </r>
      </text>
    </comment>
    <comment ref="C1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주요 업무 (예: Piping, Electrical &amp; Instrument)</t>
        </r>
      </text>
    </comment>
    <comment ref="D1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PQCM 담당 프로젝트 (슬래시로 구분: STA4 / SAC2)</t>
        </r>
      </text>
    </comment>
    <comment ref="E1" authorId="0" shapeId="0" xr:uid="{00000000-0006-0000-0200-000005000000}">
      <text>
        <r>
          <rPr>
            <sz val="11"/>
            <color theme="1"/>
            <rFont val="맑은 고딕"/>
            <family val="2"/>
            <scheme val="minor"/>
          </rPr>
          <t>PQC Engineer 담당 프로젝트 (슬래시로 구분)</t>
        </r>
      </text>
    </comment>
    <comment ref="F1" authorId="0" shapeId="0" xr:uid="{00000000-0006-0000-0200-000006000000}">
      <text>
        <r>
          <rPr>
            <sz val="11"/>
            <color theme="1"/>
            <rFont val="맑은 고딕"/>
            <family val="2"/>
            <scheme val="minor"/>
          </rPr>
          <t>보유 PO 건수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Dashboard</author>
  </authors>
  <commentList>
    <comment ref="A1" authorId="0" shapeId="0" xr:uid="{00000000-0006-0000-0300-000001000000}">
      <text>
        <r>
          <rPr>
            <sz val="11"/>
            <color theme="1"/>
            <rFont val="맑은 고딕"/>
            <family val="2"/>
            <scheme val="minor"/>
          </rPr>
          <t>프로젝트 코드</t>
        </r>
      </text>
    </comment>
    <comment ref="B1" authorId="0" shapeId="0" xr:uid="{00000000-0006-0000-0300-000002000000}">
      <text>
        <r>
          <rPr>
            <sz val="11"/>
            <color theme="1"/>
            <rFont val="맑은 고딕"/>
            <family val="2"/>
            <scheme val="minor"/>
          </rPr>
          <t>MR 전체 건수 (숫자 또는 '완료')</t>
        </r>
      </text>
    </comment>
    <comment ref="C1" authorId="0" shapeId="0" xr:uid="{00000000-0006-0000-0300-000003000000}">
      <text>
        <r>
          <rPr>
            <sz val="11"/>
            <color theme="1"/>
            <rFont val="맑은 고딕"/>
            <family val="2"/>
            <scheme val="minor"/>
          </rPr>
          <t>MR 완료 건수 (숫자 또는 '완료')</t>
        </r>
      </text>
    </comment>
    <comment ref="D1" authorId="0" shapeId="0" xr:uid="{00000000-0006-0000-0300-000004000000}">
      <text>
        <r>
          <rPr>
            <sz val="11"/>
            <color theme="1"/>
            <rFont val="맑은 고딕"/>
            <family val="2"/>
            <scheme val="minor"/>
          </rPr>
          <t>TBE 전체 (숫자 또는 '완료')</t>
        </r>
      </text>
    </comment>
    <comment ref="E1" authorId="0" shapeId="0" xr:uid="{00000000-0006-0000-0300-000005000000}">
      <text>
        <r>
          <rPr>
            <sz val="11"/>
            <color theme="1"/>
            <rFont val="맑은 고딕"/>
            <family val="2"/>
            <scheme val="minor"/>
          </rPr>
          <t>TBE 완료 (숫자 또는 '완료')</t>
        </r>
      </text>
    </comment>
    <comment ref="F1" authorId="0" shapeId="0" xr:uid="{00000000-0006-0000-0300-000006000000}">
      <text>
        <r>
          <rPr>
            <sz val="11"/>
            <color theme="1"/>
            <rFont val="맑은 고딕"/>
            <family val="2"/>
            <scheme val="minor"/>
          </rPr>
          <t>PO 전체 (숫자 또는 '완료')</t>
        </r>
      </text>
    </comment>
    <comment ref="G1" authorId="0" shapeId="0" xr:uid="{00000000-0006-0000-0300-000007000000}">
      <text>
        <r>
          <rPr>
            <sz val="11"/>
            <color theme="1"/>
            <rFont val="맑은 고딕"/>
            <family val="2"/>
            <scheme val="minor"/>
          </rPr>
          <t>PO 완료 (숫자 또는 '완료')</t>
        </r>
      </text>
    </comment>
    <comment ref="H1" authorId="0" shapeId="0" xr:uid="{00000000-0006-0000-0300-000008000000}">
      <text>
        <r>
          <rPr>
            <sz val="11"/>
            <color theme="1"/>
            <rFont val="맑은 고딕"/>
            <family val="2"/>
            <scheme val="minor"/>
          </rPr>
          <t>PIM 전체 (숫자 또는 '완료')</t>
        </r>
      </text>
    </comment>
    <comment ref="I1" authorId="0" shapeId="0" xr:uid="{00000000-0006-0000-0300-000009000000}">
      <text>
        <r>
          <rPr>
            <sz val="11"/>
            <color theme="1"/>
            <rFont val="맑은 고딕"/>
            <family val="2"/>
            <scheme val="minor"/>
          </rPr>
          <t>PIM 완료 (숫자 또는 '완료')</t>
        </r>
      </text>
    </comment>
    <comment ref="J1" authorId="0" shapeId="0" xr:uid="{00000000-0006-0000-0300-00000A000000}">
      <text>
        <r>
          <rPr>
            <sz val="11"/>
            <color theme="1"/>
            <rFont val="맑은 고딕"/>
            <family val="2"/>
            <scheme val="minor"/>
          </rPr>
          <t>IRC 100% 전체</t>
        </r>
      </text>
    </comment>
    <comment ref="K1" authorId="0" shapeId="0" xr:uid="{00000000-0006-0000-0300-00000B000000}">
      <text>
        <r>
          <rPr>
            <sz val="11"/>
            <color theme="1"/>
            <rFont val="맑은 고딕"/>
            <family val="2"/>
            <scheme val="minor"/>
          </rPr>
          <t>IRC 100% 완료</t>
        </r>
      </text>
    </comment>
    <comment ref="L1" authorId="0" shapeId="0" xr:uid="{00000000-0006-0000-0300-00000C000000}">
      <text>
        <r>
          <rPr>
            <sz val="11"/>
            <color theme="1"/>
            <rFont val="맑은 고딕"/>
            <family val="2"/>
            <scheme val="minor"/>
          </rPr>
          <t>NCR 발생 총건수</t>
        </r>
      </text>
    </comment>
    <comment ref="M1" authorId="0" shapeId="0" xr:uid="{00000000-0006-0000-0300-00000D000000}">
      <text>
        <r>
          <rPr>
            <sz val="11"/>
            <color theme="1"/>
            <rFont val="맑은 고딕"/>
            <family val="2"/>
            <scheme val="minor"/>
          </rPr>
          <t>NCR 종결 건수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Dashboard</author>
  </authors>
  <commentList>
    <comment ref="A1" authorId="0" shapeId="0" xr:uid="{00000000-0006-0000-0400-000001000000}">
      <text>
        <r>
          <rPr>
            <sz val="11"/>
            <color theme="1"/>
            <rFont val="맑은 고딕"/>
            <family val="2"/>
            <scheme val="minor"/>
          </rPr>
          <t>일련번호 (1, 2, 3, ...)</t>
        </r>
      </text>
    </comment>
    <comment ref="B1" authorId="0" shapeId="0" xr:uid="{00000000-0006-0000-0400-000002000000}">
      <text>
        <r>
          <rPr>
            <sz val="11"/>
            <color theme="1"/>
            <rFont val="맑은 고딕"/>
            <family val="2"/>
            <scheme val="minor"/>
          </rPr>
          <t>프로젝트 코드</t>
        </r>
      </text>
    </comment>
    <comment ref="C1" authorId="0" shapeId="0" xr:uid="{00000000-0006-0000-0400-000003000000}">
      <text>
        <r>
          <rPr>
            <sz val="11"/>
            <color theme="1"/>
            <rFont val="맑은 고딕"/>
            <family val="2"/>
            <scheme val="minor"/>
          </rPr>
          <t>NCR 번호 (예: STA4-MR010-OPT-NCR-001)</t>
        </r>
      </text>
    </comment>
    <comment ref="D1" authorId="0" shapeId="0" xr:uid="{00000000-0006-0000-0400-000004000000}">
      <text>
        <r>
          <rPr>
            <sz val="11"/>
            <color theme="1"/>
            <rFont val="맑은 고딕"/>
            <family val="2"/>
            <scheme val="minor"/>
          </rPr>
          <t>품목</t>
        </r>
      </text>
    </comment>
    <comment ref="E1" authorId="0" shapeId="0" xr:uid="{00000000-0006-0000-0400-000005000000}">
      <text>
        <r>
          <rPr>
            <sz val="11"/>
            <color theme="1"/>
            <rFont val="맑은 고딕"/>
            <family val="2"/>
            <scheme val="minor"/>
          </rPr>
          <t>Vendor명</t>
        </r>
      </text>
    </comment>
    <comment ref="F1" authorId="0" shapeId="0" xr:uid="{00000000-0006-0000-0400-000006000000}">
      <text>
        <r>
          <rPr>
            <sz val="11"/>
            <color theme="1"/>
            <rFont val="맑은 고딕"/>
            <family val="2"/>
            <scheme val="minor"/>
          </rPr>
          <t>NCR 제목</t>
        </r>
      </text>
    </comment>
    <comment ref="G1" authorId="0" shapeId="0" xr:uid="{00000000-0006-0000-0400-000007000000}">
      <text>
        <r>
          <rPr>
            <sz val="11"/>
            <color theme="1"/>
            <rFont val="맑은 고딕"/>
            <family val="2"/>
            <scheme val="minor"/>
          </rPr>
          <t>발행일 (Excel 날짜 형식)</t>
        </r>
      </text>
    </comment>
    <comment ref="H1" authorId="0" shapeId="0" xr:uid="{00000000-0006-0000-0400-000008000000}">
      <text>
        <r>
          <rPr>
            <sz val="11"/>
            <color theme="1"/>
            <rFont val="맑은 고딕"/>
            <family val="2"/>
            <scheme val="minor"/>
          </rPr>
          <t>경과일 (오늘 - 발행일)</t>
        </r>
      </text>
    </comment>
    <comment ref="I1" authorId="0" shapeId="0" xr:uid="{00000000-0006-0000-0400-000009000000}">
      <text>
        <r>
          <rPr>
            <sz val="11"/>
            <color theme="1"/>
            <rFont val="맑은 고딕"/>
            <family val="2"/>
            <scheme val="minor"/>
          </rPr>
          <t>비고 (원본 컬럼명 그대로 - 오타 아님)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Dashboard</author>
  </authors>
  <commentList>
    <comment ref="A1" authorId="0" shapeId="0" xr:uid="{00000000-0006-0000-0500-000001000000}">
      <text>
        <r>
          <rPr>
            <sz val="11"/>
            <color theme="1"/>
            <rFont val="맑은 고딕"/>
            <family val="2"/>
            <scheme val="minor"/>
          </rPr>
          <t>프로젝트 코드</t>
        </r>
      </text>
    </comment>
    <comment ref="B1" authorId="0" shapeId="0" xr:uid="{00000000-0006-0000-0500-000002000000}">
      <text>
        <r>
          <rPr>
            <sz val="11"/>
            <color theme="1"/>
            <rFont val="맑은 고딕"/>
            <family val="2"/>
            <scheme val="minor"/>
          </rPr>
          <t>Active / Mechanical Completion / Bid</t>
        </r>
      </text>
    </comment>
    <comment ref="C1" authorId="0" shapeId="0" xr:uid="{00000000-0006-0000-0500-000003000000}">
      <text>
        <r>
          <rPr>
            <sz val="11"/>
            <color theme="1"/>
            <rFont val="맑은 고딕"/>
            <family val="2"/>
            <scheme val="minor"/>
          </rPr>
          <t>예산 - USD 단위</t>
        </r>
      </text>
    </comment>
    <comment ref="D1" authorId="0" shapeId="0" xr:uid="{00000000-0006-0000-0500-000004000000}">
      <text>
        <r>
          <rPr>
            <sz val="11"/>
            <color theme="1"/>
            <rFont val="맑은 고딕"/>
            <family val="2"/>
            <scheme val="minor"/>
          </rPr>
          <t>계약고 - USD 단위</t>
        </r>
      </text>
    </comment>
    <comment ref="E1" authorId="0" shapeId="0" xr:uid="{00000000-0006-0000-0500-000005000000}">
      <text>
        <r>
          <rPr>
            <sz val="11"/>
            <color theme="1"/>
            <rFont val="맑은 고딕"/>
            <family val="2"/>
            <scheme val="minor"/>
          </rPr>
          <t>집행 - USD 단위</t>
        </r>
      </text>
    </comment>
    <comment ref="F1" authorId="0" shapeId="0" xr:uid="{00000000-0006-0000-0500-000006000000}">
      <text>
        <r>
          <rPr>
            <sz val="11"/>
            <color theme="1"/>
            <rFont val="맑은 고딕"/>
            <family val="2"/>
            <scheme val="minor"/>
          </rPr>
          <t>예산 - KRW 단위 (USD와 둘 중 하나만 입력)</t>
        </r>
      </text>
    </comment>
    <comment ref="G1" authorId="0" shapeId="0" xr:uid="{00000000-0006-0000-0500-000007000000}">
      <text>
        <r>
          <rPr>
            <sz val="11"/>
            <color theme="1"/>
            <rFont val="맑은 고딕"/>
            <family val="2"/>
            <scheme val="minor"/>
          </rPr>
          <t>계약고 - KRW 단위</t>
        </r>
      </text>
    </comment>
    <comment ref="H1" authorId="0" shapeId="0" xr:uid="{00000000-0006-0000-0500-000008000000}">
      <text>
        <r>
          <rPr>
            <sz val="11"/>
            <color theme="1"/>
            <rFont val="맑은 고딕"/>
            <family val="2"/>
            <scheme val="minor"/>
          </rPr>
          <t>집행 - KRW 단위</t>
        </r>
      </text>
    </comment>
    <comment ref="I1" authorId="0" shapeId="0" xr:uid="{00000000-0006-0000-0500-000009000000}">
      <text>
        <r>
          <rPr>
            <sz val="11"/>
            <color theme="1"/>
            <rFont val="맑은 고딕"/>
            <family val="2"/>
            <scheme val="minor"/>
          </rPr>
          <t>0~1 또는 0~100</t>
        </r>
      </text>
    </comment>
    <comment ref="J1" authorId="0" shapeId="0" xr:uid="{00000000-0006-0000-0500-00000A000000}">
      <text>
        <r>
          <rPr>
            <sz val="11"/>
            <color theme="1"/>
            <rFont val="맑은 고딕"/>
            <family val="2"/>
            <scheme val="minor"/>
          </rPr>
          <t>0~1 또는 0~100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Dashboard</author>
  </authors>
  <commentList>
    <comment ref="A1" authorId="0" shapeId="0" xr:uid="{00000000-0006-0000-0600-000001000000}">
      <text>
        <r>
          <rPr>
            <sz val="11"/>
            <color theme="1"/>
            <rFont val="맑은 고딕"/>
            <family val="2"/>
            <scheme val="minor"/>
          </rPr>
          <t>출장자</t>
        </r>
      </text>
    </comment>
    <comment ref="B1" authorId="0" shapeId="0" xr:uid="{00000000-0006-0000-0600-000002000000}">
      <text>
        <r>
          <rPr>
            <sz val="11"/>
            <color theme="1"/>
            <rFont val="맑은 고딕"/>
            <family val="2"/>
            <scheme val="minor"/>
          </rPr>
          <t>목적 (FAT, PIM, Monitoring, 공장검사, 업체실사 등)</t>
        </r>
      </text>
    </comment>
    <comment ref="C1" authorId="0" shapeId="0" xr:uid="{00000000-0006-0000-0600-000003000000}">
      <text>
        <r>
          <rPr>
            <sz val="11"/>
            <color theme="1"/>
            <rFont val="맑은 고딕"/>
            <family val="2"/>
            <scheme val="minor"/>
          </rPr>
          <t>프로젝트 코드</t>
        </r>
      </text>
    </comment>
    <comment ref="D1" authorId="0" shapeId="0" xr:uid="{00000000-0006-0000-0600-000004000000}">
      <text>
        <r>
          <rPr>
            <sz val="11"/>
            <color theme="1"/>
            <rFont val="맑은 고딕"/>
            <family val="2"/>
            <scheme val="minor"/>
          </rPr>
          <t>품목</t>
        </r>
      </text>
    </comment>
    <comment ref="E1" authorId="0" shapeId="0" xr:uid="{00000000-0006-0000-0600-000005000000}">
      <text>
        <r>
          <rPr>
            <sz val="11"/>
            <color theme="1"/>
            <rFont val="맑은 고딕"/>
            <family val="2"/>
            <scheme val="minor"/>
          </rPr>
          <t>Vendor명</t>
        </r>
      </text>
    </comment>
    <comment ref="F1" authorId="0" shapeId="0" xr:uid="{00000000-0006-0000-0600-000006000000}">
      <text>
        <r>
          <rPr>
            <sz val="11"/>
            <color theme="1"/>
            <rFont val="맑은 고딕"/>
            <family val="2"/>
            <scheme val="minor"/>
          </rPr>
          <t>출장 국가</t>
        </r>
      </text>
    </comment>
    <comment ref="G1" authorId="0" shapeId="0" xr:uid="{00000000-0006-0000-0600-000007000000}">
      <text>
        <r>
          <rPr>
            <sz val="11"/>
            <color theme="1"/>
            <rFont val="맑은 고딕"/>
            <family val="2"/>
            <scheme val="minor"/>
          </rPr>
          <t>시작일 (Excel 날짜)</t>
        </r>
      </text>
    </comment>
    <comment ref="H1" authorId="0" shapeId="0" xr:uid="{00000000-0006-0000-0600-000008000000}">
      <text>
        <r>
          <rPr>
            <sz val="11"/>
            <color theme="1"/>
            <rFont val="맑은 고딕"/>
            <family val="2"/>
            <scheme val="minor"/>
          </rPr>
          <t>종료일 (Excel 날짜)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Dashboard</author>
  </authors>
  <commentList>
    <comment ref="A1" authorId="0" shapeId="0" xr:uid="{00000000-0006-0000-0700-000001000000}">
      <text>
        <r>
          <rPr>
            <sz val="11"/>
            <color theme="1"/>
            <rFont val="맑은 고딕"/>
            <family val="2"/>
            <scheme val="minor"/>
          </rPr>
          <t>현안 제목</t>
        </r>
      </text>
    </comment>
    <comment ref="B1" authorId="0" shapeId="0" xr:uid="{00000000-0006-0000-0700-000002000000}">
      <text>
        <r>
          <rPr>
            <sz val="11"/>
            <color theme="1"/>
            <rFont val="맑은 고딕"/>
            <family val="2"/>
            <scheme val="minor"/>
          </rPr>
          <t>담당자</t>
        </r>
      </text>
    </comment>
    <comment ref="C1" authorId="0" shapeId="0" xr:uid="{00000000-0006-0000-0700-000003000000}">
      <text>
        <r>
          <rPr>
            <sz val="11"/>
            <color theme="1"/>
            <rFont val="맑은 고딕"/>
            <family val="2"/>
            <scheme val="minor"/>
          </rPr>
          <t>프로젝트 코드 또는 '플랜트구매품질팀'(팀 내부 현안)</t>
        </r>
      </text>
    </comment>
    <comment ref="D1" authorId="0" shapeId="0" xr:uid="{00000000-0006-0000-0700-000004000000}">
      <text>
        <r>
          <rPr>
            <sz val="11"/>
            <color theme="1"/>
            <rFont val="맑은 고딕"/>
            <family val="2"/>
            <scheme val="minor"/>
          </rPr>
          <t>필요 조치사항</t>
        </r>
      </text>
    </comment>
  </commentList>
</comments>
</file>

<file path=xl/sharedStrings.xml><?xml version="1.0" encoding="utf-8"?>
<sst xmlns="http://schemas.openxmlformats.org/spreadsheetml/2006/main" count="931" uniqueCount="350">
  <si>
    <t>플랜트구매품질팀 통합관리 대시보드 - Excel 입력 양식</t>
  </si>
  <si>
    <t>사용 방법</t>
  </si>
  <si>
    <t>1. 아래 시트탭의 각 시트(Project / Manpower / Stage_Status / Open_NCR / TPA / Trip / Issue)에 데이터를 입력합니다.</t>
  </si>
  <si>
    <t>2. 1행의 컬럼명(헤더)은 절대 변경하지 마세요. 시트명도 그대로 유지해야 합니다.</t>
  </si>
  <si>
    <t>3. 데이터는 2행부터 입력합니다. 컬럼 순서는 자유롭게 변경해도 됩니다.</t>
  </si>
  <si>
    <t>4. 작성이 끝나면 이 파일을 저장하고, 대시보드 HTML을 열어 'Excel 업로드' 버튼으로 불러옵니다.</t>
  </si>
  <si>
    <t>5. 모든 KPI · 표 · 차트 · 조직도가 자동으로 채워집니다.</t>
  </si>
  <si>
    <t>주요 입력 규칙</t>
  </si>
  <si>
    <t>• Stage_Status 시트: 단계 컬럼(MR/TBE/PO/PIM/IRC)에 '완료'를 입력하면 100%로 처리됩니다.</t>
  </si>
  <si>
    <t>• TPA 시트: 금액은 USD 또는 KRW 중 한쪽만 입력해도 환율로 자동 환산됩니다 (USD 단위, 백만 단위 아님).</t>
  </si>
  <si>
    <t>• Status 컬럼: 'Active', 'Mechanical Completion', 'Bid' 중 하나로 입력해주세요.</t>
  </si>
  <si>
    <t>• Mechanical Completion 상태 프로젝트는 TPA Warning 로직에서 자동 제외됩니다.</t>
  </si>
  <si>
    <t>• Project 시트의 계약가는 백만 단위(Mil_USD, Mil_KRW)로 입력합니다.</t>
  </si>
  <si>
    <t>• 날짜 필드(Issue_Date, Start_Date, End_Date)는 Excel 날짜 형식으로 입력해주세요.</t>
  </si>
  <si>
    <t>TPA Warning 기준 (참고)</t>
  </si>
  <si>
    <t>• 예산 대비 집행 70% 초과 → '1차 청산추정 필요'</t>
  </si>
  <si>
    <t>• 예산 대비 집행 90% 초과 → '2차 청산추정 및 예산외품의 준비 필요'</t>
  </si>
  <si>
    <t>• 계약고 대비 집행 90% 초과 → '계약고 증액 절차 필요'</t>
  </si>
  <si>
    <t>단계별 가중치 (참고)</t>
  </si>
  <si>
    <t>• MR 10% · TBE 10% · PO 10% · PIM 20% · IRC 100% 50%</t>
  </si>
  <si>
    <t>• 가중 진척률 = (각 단계 진행률 × 가중치)의 합</t>
  </si>
  <si>
    <t>Project_Code</t>
  </si>
  <si>
    <t>Contract_Price_HDEC_Mil_USD</t>
  </si>
  <si>
    <t>Contract_Price_Total_Mil_USD</t>
  </si>
  <si>
    <t>Contract_Price_HDEC_Mil_KRW</t>
  </si>
  <si>
    <t>Contract_Price_Total_Mil_KRW</t>
  </si>
  <si>
    <t>Client</t>
  </si>
  <si>
    <t>Country</t>
  </si>
  <si>
    <t>PM</t>
  </si>
  <si>
    <t>PQCM</t>
  </si>
  <si>
    <t>Status</t>
  </si>
  <si>
    <t>Progress</t>
  </si>
  <si>
    <t>Remarks</t>
  </si>
  <si>
    <t>Name</t>
  </si>
  <si>
    <t>Department</t>
  </si>
  <si>
    <t>Main_Role_Responsibility</t>
  </si>
  <si>
    <t>PQC_Engineer</t>
  </si>
  <si>
    <t>Number_of_PO</t>
  </si>
  <si>
    <t>MR_Total</t>
  </si>
  <si>
    <t>MR_Done</t>
  </si>
  <si>
    <t>TBE_Total</t>
  </si>
  <si>
    <t>TBE_Done</t>
  </si>
  <si>
    <t>PO_Total</t>
  </si>
  <si>
    <t>PO_Done</t>
  </si>
  <si>
    <t>PIM_Total</t>
  </si>
  <si>
    <t>PIM_Done</t>
  </si>
  <si>
    <t>IRC_100%_Total</t>
  </si>
  <si>
    <t>IRC_100%_Done</t>
  </si>
  <si>
    <t>NCR_Total</t>
  </si>
  <si>
    <t>NCR_Done</t>
  </si>
  <si>
    <t>Serial_Number</t>
  </si>
  <si>
    <t>NCR_Number</t>
  </si>
  <si>
    <t>Item</t>
  </si>
  <si>
    <t>Vendor</t>
  </si>
  <si>
    <t>NCR_Title</t>
  </si>
  <si>
    <t>Issue_Date</t>
  </si>
  <si>
    <t>Days_to_Date</t>
  </si>
  <si>
    <t>예산(USD)</t>
  </si>
  <si>
    <t>계약고(USD)</t>
  </si>
  <si>
    <t>집행비용(USD)</t>
  </si>
  <si>
    <t>예산(KRW)</t>
  </si>
  <si>
    <t>계약고(KRW)</t>
  </si>
  <si>
    <t>집행비용(KRW)</t>
  </si>
  <si>
    <t>예산 소진율</t>
  </si>
  <si>
    <t>現 계약고 소진율</t>
  </si>
  <si>
    <t>Traveler</t>
  </si>
  <si>
    <t>Purpose</t>
  </si>
  <si>
    <t>Country_Trip</t>
  </si>
  <si>
    <t>Start_Date</t>
  </si>
  <si>
    <t>End_Date</t>
  </si>
  <si>
    <t>Title</t>
  </si>
  <si>
    <t>Owner</t>
  </si>
  <si>
    <t>Action_Required</t>
  </si>
  <si>
    <t>Remarks</t>
    <phoneticPr fontId="6" type="noConversion"/>
  </si>
  <si>
    <t>MIP6</t>
    <phoneticPr fontId="9" type="noConversion"/>
  </si>
  <si>
    <t>Aramco</t>
    <phoneticPr fontId="9" type="noConversion"/>
  </si>
  <si>
    <t>Saudi Arabia</t>
  </si>
  <si>
    <t>-</t>
    <phoneticPr fontId="9" type="noConversion"/>
  </si>
  <si>
    <t>Mechanical Completion</t>
    <phoneticPr fontId="9" type="noConversion"/>
  </si>
  <si>
    <t>SM12</t>
    <phoneticPr fontId="9" type="noConversion"/>
  </si>
  <si>
    <t>Saudi Arabia</t>
    <phoneticPr fontId="9" type="noConversion"/>
  </si>
  <si>
    <t>정준택 상무</t>
    <phoneticPr fontId="9" type="noConversion"/>
  </si>
  <si>
    <t>장동철 책임</t>
    <phoneticPr fontId="9" type="noConversion"/>
  </si>
  <si>
    <t>Active</t>
  </si>
  <si>
    <t>IBRU</t>
    <phoneticPr fontId="9" type="noConversion"/>
  </si>
  <si>
    <t>BOC</t>
    <phoneticPr fontId="9" type="noConversion"/>
  </si>
  <si>
    <t>Iraq</t>
  </si>
  <si>
    <t>정태수 소장</t>
    <phoneticPr fontId="9" type="noConversion"/>
  </si>
  <si>
    <t>SHN1</t>
    <phoneticPr fontId="9" type="noConversion"/>
  </si>
  <si>
    <t>S-Oil</t>
    <phoneticPr fontId="9" type="noConversion"/>
  </si>
  <si>
    <t>Korea</t>
    <phoneticPr fontId="9" type="noConversion"/>
  </si>
  <si>
    <t>이현영 실장</t>
    <phoneticPr fontId="9" type="noConversion"/>
  </si>
  <si>
    <t>이해석 책임</t>
    <phoneticPr fontId="9" type="noConversion"/>
  </si>
  <si>
    <t>ALOM</t>
    <phoneticPr fontId="9" type="noConversion"/>
  </si>
  <si>
    <t>Hyenco</t>
    <phoneticPr fontId="9" type="noConversion"/>
  </si>
  <si>
    <t>Algeria</t>
    <phoneticPr fontId="9" type="noConversion"/>
  </si>
  <si>
    <t>정민권 소장</t>
    <phoneticPr fontId="9" type="noConversion"/>
  </si>
  <si>
    <t>윤희수 책임</t>
    <phoneticPr fontId="9" type="noConversion"/>
  </si>
  <si>
    <t>VEQU</t>
    <phoneticPr fontId="9" type="noConversion"/>
  </si>
  <si>
    <t>EVN</t>
    <phoneticPr fontId="9" type="noConversion"/>
  </si>
  <si>
    <t>Vietnam</t>
    <phoneticPr fontId="9" type="noConversion"/>
  </si>
  <si>
    <t>이윤석 소장</t>
    <phoneticPr fontId="9" type="noConversion"/>
  </si>
  <si>
    <t>STA4</t>
    <phoneticPr fontId="9" type="noConversion"/>
  </si>
  <si>
    <t>satorp</t>
    <phoneticPr fontId="9" type="noConversion"/>
  </si>
  <si>
    <t>임영빈 상무</t>
    <phoneticPr fontId="9" type="noConversion"/>
  </si>
  <si>
    <t>최우석 책임</t>
    <phoneticPr fontId="9" type="noConversion"/>
  </si>
  <si>
    <t>SAC2</t>
    <phoneticPr fontId="9" type="noConversion"/>
  </si>
  <si>
    <t>김형철 실장</t>
    <phoneticPr fontId="9" type="noConversion"/>
  </si>
  <si>
    <t>최종현 책임</t>
    <phoneticPr fontId="9" type="noConversion"/>
  </si>
  <si>
    <t>CSSP</t>
    <phoneticPr fontId="9" type="noConversion"/>
  </si>
  <si>
    <t>TotalEnergies</t>
    <phoneticPr fontId="9" type="noConversion"/>
  </si>
  <si>
    <t>Iraq</t>
    <phoneticPr fontId="9" type="noConversion"/>
  </si>
  <si>
    <t>박수철 상무</t>
    <phoneticPr fontId="9" type="noConversion"/>
  </si>
  <si>
    <t>정진우 책임</t>
    <phoneticPr fontId="9" type="noConversion"/>
  </si>
  <si>
    <t>PNG1</t>
    <phoneticPr fontId="9" type="noConversion"/>
  </si>
  <si>
    <t>ExxonMobil</t>
    <phoneticPr fontId="9" type="noConversion"/>
  </si>
  <si>
    <t>Papua New Genea</t>
    <phoneticPr fontId="9" type="noConversion"/>
  </si>
  <si>
    <t>최성식 팀장</t>
    <phoneticPr fontId="9" type="noConversion"/>
  </si>
  <si>
    <t>강태준 책임</t>
    <phoneticPr fontId="9" type="noConversion"/>
  </si>
  <si>
    <t>ALSM</t>
    <phoneticPr fontId="9" type="noConversion"/>
  </si>
  <si>
    <t>HPLS</t>
    <phoneticPr fontId="9" type="noConversion"/>
  </si>
  <si>
    <t>USA</t>
    <phoneticPr fontId="9" type="noConversion"/>
  </si>
  <si>
    <t>백철욱 상무</t>
    <phoneticPr fontId="9" type="noConversion"/>
  </si>
  <si>
    <t>Bid</t>
    <phoneticPr fontId="9" type="noConversion"/>
  </si>
  <si>
    <t>유요석 팀장</t>
    <phoneticPr fontId="9" type="noConversion"/>
  </si>
  <si>
    <t>본사</t>
    <phoneticPr fontId="9" type="noConversion"/>
  </si>
  <si>
    <t>Team Leader</t>
    <phoneticPr fontId="9" type="noConversion"/>
  </si>
  <si>
    <t>강택기 책임</t>
    <phoneticPr fontId="9" type="noConversion"/>
  </si>
  <si>
    <t>Piping</t>
    <phoneticPr fontId="9" type="noConversion"/>
  </si>
  <si>
    <t>SAC2 / VEQU</t>
    <phoneticPr fontId="9" type="noConversion"/>
  </si>
  <si>
    <t>Electrical &amp; Instrument</t>
    <phoneticPr fontId="9" type="noConversion"/>
  </si>
  <si>
    <t>ALOM / VEQU</t>
    <phoneticPr fontId="9" type="noConversion"/>
  </si>
  <si>
    <t>STA4 / ALOM / CSSP</t>
    <phoneticPr fontId="9" type="noConversion"/>
  </si>
  <si>
    <t>서민 책임</t>
    <phoneticPr fontId="9" type="noConversion"/>
  </si>
  <si>
    <t>Rotating</t>
    <phoneticPr fontId="9" type="noConversion"/>
  </si>
  <si>
    <t>STA4 / CSSP / PNG1</t>
    <phoneticPr fontId="9" type="noConversion"/>
  </si>
  <si>
    <t>SM12 / IBRU / CSSP / PNG1</t>
    <phoneticPr fontId="9" type="noConversion"/>
  </si>
  <si>
    <t>Static</t>
    <phoneticPr fontId="9" type="noConversion"/>
  </si>
  <si>
    <t>SM12 / ALOM / CSSP</t>
    <phoneticPr fontId="9" type="noConversion"/>
  </si>
  <si>
    <t>나광조 책임</t>
    <phoneticPr fontId="9" type="noConversion"/>
  </si>
  <si>
    <t>SHN1 / ALOM / CSSP / PNG1</t>
    <phoneticPr fontId="9" type="noConversion"/>
  </si>
  <si>
    <t>강인묵 책임</t>
    <phoneticPr fontId="9" type="noConversion"/>
  </si>
  <si>
    <t>본사 (STA4)</t>
    <phoneticPr fontId="9" type="noConversion"/>
  </si>
  <si>
    <t>STA4 / CSSP</t>
    <phoneticPr fontId="9" type="noConversion"/>
  </si>
  <si>
    <t>Strategic Planning</t>
    <phoneticPr fontId="9" type="noConversion"/>
  </si>
  <si>
    <t>PNG1 / ALSM</t>
    <phoneticPr fontId="9" type="noConversion"/>
  </si>
  <si>
    <t>VEQU / CSSP / PNG1</t>
    <phoneticPr fontId="9" type="noConversion"/>
  </si>
  <si>
    <t>STA4 / SHN1</t>
    <phoneticPr fontId="9" type="noConversion"/>
  </si>
  <si>
    <t>석우경 매니저</t>
    <phoneticPr fontId="9" type="noConversion"/>
  </si>
  <si>
    <t>ALOM / CSSP / PNG1</t>
    <phoneticPr fontId="9" type="noConversion"/>
  </si>
  <si>
    <t>고팔라크리스낸 매니저</t>
    <phoneticPr fontId="9" type="noConversion"/>
  </si>
  <si>
    <t>Structural Steel</t>
    <phoneticPr fontId="9" type="noConversion"/>
  </si>
  <si>
    <t>STA4 / VEQU / CSSP / PNG1</t>
    <phoneticPr fontId="9" type="noConversion"/>
  </si>
  <si>
    <t>술탄 매니저</t>
    <phoneticPr fontId="9" type="noConversion"/>
  </si>
  <si>
    <t>VEQU / CSSP</t>
    <phoneticPr fontId="9" type="noConversion"/>
  </si>
  <si>
    <t>엥흐철멍 매니저</t>
    <phoneticPr fontId="9" type="noConversion"/>
  </si>
  <si>
    <t>최영준 책임</t>
    <phoneticPr fontId="9" type="noConversion"/>
  </si>
  <si>
    <t>임효원 책임</t>
    <phoneticPr fontId="9" type="noConversion"/>
  </si>
  <si>
    <t>황윤섭 책임</t>
    <phoneticPr fontId="9" type="noConversion"/>
  </si>
  <si>
    <t>박지애 매니저</t>
    <phoneticPr fontId="9" type="noConversion"/>
  </si>
  <si>
    <t>본사 (SAC2)</t>
    <phoneticPr fontId="9" type="noConversion"/>
  </si>
  <si>
    <t>완료</t>
    <phoneticPr fontId="9" type="noConversion"/>
  </si>
  <si>
    <t>미정</t>
    <phoneticPr fontId="9" type="noConversion"/>
  </si>
  <si>
    <t>STA4-MR010-OPT-NCR-001</t>
  </si>
  <si>
    <t>Sealless Pump (API 685)</t>
    <phoneticPr fontId="9" type="noConversion"/>
  </si>
  <si>
    <t>Optimex</t>
    <phoneticPr fontId="9" type="noConversion"/>
  </si>
  <si>
    <t>High Power Consumption</t>
  </si>
  <si>
    <t>STA4-EL009-AFN-NCR-001</t>
  </si>
  <si>
    <t xml:space="preserve">LV Controlgear </t>
  </si>
  <si>
    <t>Al-Fanar</t>
    <phoneticPr fontId="9" type="noConversion"/>
  </si>
  <si>
    <t xml:space="preserve">Factory Acceptance Test and Punch Closing Verification </t>
    <phoneticPr fontId="9" type="noConversion"/>
  </si>
  <si>
    <t>STA4-MS017-SYC-NCR-001</t>
  </si>
  <si>
    <t xml:space="preserve">Air Dryer Package </t>
  </si>
  <si>
    <t>Seyang Corporation</t>
  </si>
  <si>
    <t>STA4-EL007-AFN-NCR-001</t>
  </si>
  <si>
    <t>HV Switchgear</t>
  </si>
  <si>
    <t>Al-Fanar</t>
  </si>
  <si>
    <t>STA4-MR010-OPT-NCR-002</t>
  </si>
  <si>
    <t>IRC Issuance with Punch List</t>
    <phoneticPr fontId="9" type="noConversion"/>
  </si>
  <si>
    <t>STA4-CI001-EME-NCR-001</t>
  </si>
  <si>
    <t>PCS</t>
  </si>
  <si>
    <t>Emerson</t>
    <phoneticPr fontId="9" type="noConversion"/>
  </si>
  <si>
    <t>STA4-EL012-SEL1-NCR-002</t>
  </si>
  <si>
    <t>ECS</t>
  </si>
  <si>
    <t>SEL</t>
    <phoneticPr fontId="9" type="noConversion"/>
  </si>
  <si>
    <t>STA4-CI001-EME-NCR-002</t>
  </si>
  <si>
    <t>STA4-CI005-VAL-NCR-002</t>
  </si>
  <si>
    <t>On-Off Valve (Ball)</t>
  </si>
  <si>
    <t>Valmet</t>
    <phoneticPr fontId="9" type="noConversion"/>
  </si>
  <si>
    <t>High-Pressure Seat Test / DBB Test was omitted for Trunnion Type Ball Valve</t>
    <phoneticPr fontId="9" type="noConversion"/>
  </si>
  <si>
    <t>N/A</t>
    <phoneticPr fontId="9" type="noConversion"/>
  </si>
  <si>
    <t>FAT</t>
  </si>
  <si>
    <t>VEQU</t>
  </si>
  <si>
    <t>ID FAN</t>
  </si>
  <si>
    <t>TLT Turbo</t>
  </si>
  <si>
    <t>중국</t>
  </si>
  <si>
    <t>PIM</t>
  </si>
  <si>
    <t>STA4</t>
  </si>
  <si>
    <t>Incinerator - Chamber &amp; Stack</t>
  </si>
  <si>
    <t>Morimatsu</t>
  </si>
  <si>
    <t>SHN1</t>
  </si>
  <si>
    <t>AC,DC UPS</t>
  </si>
  <si>
    <t>GUTOR</t>
  </si>
  <si>
    <t>말레이시아</t>
  </si>
  <si>
    <t>On-Off Valve Butterfly</t>
  </si>
  <si>
    <t>IMI</t>
  </si>
  <si>
    <t>사우디</t>
  </si>
  <si>
    <t>SAC2</t>
  </si>
  <si>
    <t>Analyzer System</t>
  </si>
  <si>
    <t>ABB</t>
  </si>
  <si>
    <t>Chemical Injection PKG</t>
  </si>
  <si>
    <t>Saudi Wells</t>
  </si>
  <si>
    <t>On-Off Valve Gate</t>
  </si>
  <si>
    <t>L&amp;T Valve</t>
  </si>
  <si>
    <t>FLARE PKG - Derrick Sturcture</t>
  </si>
  <si>
    <t>DSD-FERROMETALCO</t>
  </si>
  <si>
    <t>이집트</t>
  </si>
  <si>
    <t>FLARE PKG - MPGF</t>
  </si>
  <si>
    <t>ZEECO MIDDLE EAST</t>
  </si>
  <si>
    <t>Incinerator PKG - Burner &amp; Skid</t>
  </si>
  <si>
    <t>Monitoring</t>
  </si>
  <si>
    <t>Damper (Diverter, Guillotine, Louver)</t>
  </si>
  <si>
    <t>남광엔지니어링</t>
  </si>
  <si>
    <t>대한민국</t>
  </si>
  <si>
    <t>요코가와</t>
  </si>
  <si>
    <t>Distribution Transformer</t>
  </si>
  <si>
    <t>효성중공업</t>
  </si>
  <si>
    <t>업체실사</t>
  </si>
  <si>
    <t>Diverter Damper</t>
  </si>
  <si>
    <t>TS 넥스젠</t>
  </si>
  <si>
    <t>MV Switch Gear</t>
  </si>
  <si>
    <t>LS ELECTRIC</t>
  </si>
  <si>
    <t>Regenerative Thermal Oxidizer (RTO) Package</t>
  </si>
  <si>
    <t>삼경이엔씨</t>
  </si>
  <si>
    <t>Air Release Valve</t>
  </si>
  <si>
    <t>Prosave</t>
  </si>
  <si>
    <t>MIP6</t>
  </si>
  <si>
    <t>Electric Heater</t>
  </si>
  <si>
    <t>Chromalox</t>
  </si>
  <si>
    <t>미국</t>
  </si>
  <si>
    <t>SM12</t>
  </si>
  <si>
    <t>230kV Power Transformer</t>
  </si>
  <si>
    <t>Hyosung Nantong</t>
  </si>
  <si>
    <t>Activated Carbon Filter Package</t>
  </si>
  <si>
    <t>FILTREX SRL</t>
  </si>
  <si>
    <t>이탈리아</t>
  </si>
  <si>
    <t>Incinerator PKG - Chamber &amp; Stack</t>
  </si>
  <si>
    <t>공장검사</t>
  </si>
  <si>
    <t>LV SWGR</t>
  </si>
  <si>
    <t>광명전기</t>
  </si>
  <si>
    <t>FABTECH International</t>
  </si>
  <si>
    <t>UAE</t>
  </si>
  <si>
    <t>Cooling Water Pump</t>
  </si>
  <si>
    <t>Flowserve</t>
  </si>
  <si>
    <t>33kV GIS</t>
  </si>
  <si>
    <t>Cracking Heater Burner</t>
  </si>
  <si>
    <t>신아플랜트</t>
  </si>
  <si>
    <t>C/S Seamless Pip</t>
  </si>
  <si>
    <t>Hongda (흥양 Sub-Vendor)</t>
  </si>
  <si>
    <t>교육</t>
  </si>
  <si>
    <t>Valve Academy</t>
  </si>
  <si>
    <t>PK Valve</t>
  </si>
  <si>
    <t>LOAD SHEDDING</t>
  </si>
  <si>
    <t>코리아데이타</t>
  </si>
  <si>
    <t>대상이엔지</t>
  </si>
  <si>
    <t>Steel Structure</t>
  </si>
  <si>
    <t>KIC</t>
  </si>
  <si>
    <t xml:space="preserve">Pressure Vessel of Flare PKG &amp; Incierator </t>
  </si>
  <si>
    <t>PERTON (ZEECO Sub-Vendor)</t>
  </si>
  <si>
    <t>INCINERATOR PKG - STANDARD FLANGE</t>
  </si>
  <si>
    <t>WUXI PAIKE (ZEECO Sub-Vendor)</t>
  </si>
  <si>
    <t>Blow Down Pump(MR-006)</t>
  </si>
  <si>
    <t>DMW(일본)</t>
  </si>
  <si>
    <t>일본</t>
  </si>
  <si>
    <t>CRACKING HEATER BURNER</t>
  </si>
  <si>
    <t>Air Compressor PKG</t>
  </si>
  <si>
    <t>현대마린엔진(HHI 터보기계 Sub-Vendor)</t>
  </si>
  <si>
    <t>현안미팅</t>
  </si>
  <si>
    <t>HHI 터보기계</t>
  </si>
  <si>
    <t>FBE Coating / Knife gate valve &amp; Strainer</t>
  </si>
  <si>
    <t>우성플로텍</t>
  </si>
  <si>
    <t>FAN</t>
  </si>
  <si>
    <t>서원풍력</t>
  </si>
  <si>
    <t>TS 넥스젠(남광엔지니어링 임대공장)</t>
  </si>
  <si>
    <t>MV Cable</t>
  </si>
  <si>
    <t>Bahra Advanced Cable</t>
  </si>
  <si>
    <t>CRP Panel</t>
  </si>
  <si>
    <t>Hitachi Energy</t>
  </si>
  <si>
    <t>Side Entry Mixer</t>
  </si>
  <si>
    <t>하도</t>
  </si>
  <si>
    <t>Filter</t>
  </si>
  <si>
    <t>Xinxiang Shengda Filtration Technique</t>
  </si>
  <si>
    <t>Ceramic Insulator</t>
  </si>
  <si>
    <t>태성쎄라믹</t>
  </si>
  <si>
    <t>Knife Gate Valve</t>
  </si>
  <si>
    <t>동해밸브</t>
  </si>
  <si>
    <t>Air Dryer Package</t>
  </si>
  <si>
    <t>세양기업</t>
  </si>
  <si>
    <t>업체감사</t>
  </si>
  <si>
    <t>ALOM</t>
  </si>
  <si>
    <t>Exhaust Gas Bypass System</t>
  </si>
  <si>
    <t>티에스넥스젠 인천사업장</t>
  </si>
  <si>
    <t>Air Cooled Condenser Package</t>
  </si>
  <si>
    <t>SPG Dry Cooling Belgum</t>
  </si>
  <si>
    <t>Wrought Fitting</t>
  </si>
  <si>
    <t>태광</t>
  </si>
  <si>
    <t>FBE Coating / Lining</t>
  </si>
  <si>
    <t>세보테크놀로지</t>
  </si>
  <si>
    <t>CSSP</t>
  </si>
  <si>
    <t>Valve</t>
  </si>
  <si>
    <t>DHV VALVE &amp; FOUNDRY</t>
  </si>
  <si>
    <t>SUFA</t>
  </si>
  <si>
    <t>NEWAY VALVE</t>
  </si>
  <si>
    <t>TYHOO</t>
  </si>
  <si>
    <t>Flange / Fitting</t>
  </si>
  <si>
    <t>ZHONGNAN HEAVY INDUSTRIES</t>
  </si>
  <si>
    <t>HV SWGR</t>
  </si>
  <si>
    <t>MV CABLE</t>
  </si>
  <si>
    <t>Habara Cable</t>
  </si>
  <si>
    <t>ANALYZER</t>
  </si>
  <si>
    <t>Yogokawa</t>
  </si>
  <si>
    <t>Ethan Compressor</t>
  </si>
  <si>
    <t>Hitachi</t>
  </si>
  <si>
    <t>Chromalox Inc.</t>
  </si>
  <si>
    <t xml:space="preserve">ECS Panel </t>
  </si>
  <si>
    <t>Oil Skimmer for Storage Tank</t>
  </si>
  <si>
    <t>TTS</t>
  </si>
  <si>
    <t>Spool Fabrication &amp; External/Internal Coating</t>
  </si>
  <si>
    <t>웰텍</t>
  </si>
  <si>
    <t>주성이엔지</t>
  </si>
  <si>
    <t>Knife Gate Valve 표면 처리불량</t>
    <phoneticPr fontId="9" type="noConversion"/>
  </si>
  <si>
    <t>FBE 작업 진행 중</t>
    <phoneticPr fontId="9" type="noConversion"/>
  </si>
  <si>
    <t>N2 Receiver 폭발 사고 관련 추가 제작 Item 검사 절차 협의</t>
    <phoneticPr fontId="9" type="noConversion"/>
  </si>
  <si>
    <t>SVL &amp; Inspection Level 협의 중 (SAIR)</t>
    <phoneticPr fontId="9" type="noConversion"/>
  </si>
  <si>
    <t>Produced Water Booster Pump 관련 Casing 파손</t>
    <phoneticPr fontId="9" type="noConversion"/>
  </si>
  <si>
    <t>결함 판독을 위해 현장에서 RT 수행 예정</t>
    <phoneticPr fontId="9" type="noConversion"/>
  </si>
  <si>
    <t>N2 Generation Package 성능 미달</t>
    <phoneticPr fontId="9" type="noConversion"/>
  </si>
  <si>
    <t>제작 및 검사 진행 중</t>
    <phoneticPr fontId="9" type="noConversion"/>
  </si>
  <si>
    <t>Bypass Valve 현장시험 불합격</t>
    <phoneticPr fontId="9" type="noConversion"/>
  </si>
  <si>
    <t>LV Switchgear 내부 부식 발생</t>
    <phoneticPr fontId="9" type="noConversion"/>
  </si>
  <si>
    <t>재제작 진행 중 (5월말 FAT 예상)</t>
    <phoneticPr fontId="9" type="noConversion"/>
  </si>
  <si>
    <t>원소재 성적서 검토 시스템</t>
    <phoneticPr fontId="9" type="noConversion"/>
  </si>
  <si>
    <t>플랜트구매품질팀</t>
    <phoneticPr fontId="9" type="noConversion"/>
  </si>
  <si>
    <t>경영분석팀 &amp; IT지원팀 협의 중</t>
    <phoneticPr fontId="9" type="noConversion"/>
  </si>
  <si>
    <t>Punch 관리방법 개선</t>
    <phoneticPr fontId="9" type="noConversion"/>
  </si>
  <si>
    <t>추진안 준비 중</t>
    <phoneticPr fontId="9" type="noConversion"/>
  </si>
  <si>
    <t>TPA Workshop</t>
    <phoneticPr fontId="9" type="noConversion"/>
  </si>
  <si>
    <t>금주 중 참석자 확정 및 사전 설문 완료 예정</t>
    <phoneticPr fontId="9" type="noConversion"/>
  </si>
  <si>
    <t>TPA 실행 비용 분석 및 입찰 예산 적정성 검증</t>
    <phoneticPr fontId="9" type="noConversion"/>
  </si>
  <si>
    <t>프로젝트별 TPA 청산자료 1차 가공 완료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</si>
</sst>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2" x14ac:knownFonts="1">
    <font>
      <sz val="11"/>
      <color theme="1"/>
      <name val="맑은 고딕"/>
      <family val="2"/>
      <scheme val="minor"/>
    </font>
    <font>
      <b/>
      <sz val="15"/>
      <color rgb="FF0A2A5E"/>
      <name val="맑은 고딕"/>
      <family val="3"/>
      <charset val="129"/>
    </font>
    <font>
      <b/>
      <sz val="12"/>
      <color rgb="FF0A2A5E"/>
      <name val="맑은 고딕"/>
      <family val="3"/>
      <charset val="129"/>
    </font>
    <font>
      <sz val="10.5"/>
      <color rgb="FF1E293B"/>
      <name val="맑은 고딕"/>
      <family val="3"/>
      <charset val="129"/>
    </font>
    <font>
      <sz val="10.5"/>
      <color rgb="FFB7791F"/>
      <name val="맑은 고딕"/>
      <family val="3"/>
      <charset val="129"/>
    </font>
    <font>
      <b/>
      <sz val="10.5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A2A5E"/>
        <bgColor rgb="FF0A2A5E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41" fontId="8" fillId="0" borderId="2" xfId="1" applyFont="1" applyBorder="1" applyAlignment="1">
      <alignment horizontal="center" vertical="center"/>
    </xf>
    <xf numFmtId="10" fontId="8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10" fontId="8" fillId="0" borderId="2" xfId="2" applyNumberFormat="1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/>
  </sheetViews>
  <sheetFormatPr defaultRowHeight="16.5" x14ac:dyDescent="0.3"/>
  <cols>
    <col min="1" max="1" width="110" customWidth="1"/>
  </cols>
  <sheetData>
    <row r="1" spans="1:1" ht="27.95" customHeight="1" x14ac:dyDescent="0.45">
      <c r="A1" s="1" t="s">
        <v>0</v>
      </c>
    </row>
    <row r="3" spans="1:1" ht="17.25" x14ac:dyDescent="0.3">
      <c r="A3" s="2" t="s">
        <v>1</v>
      </c>
    </row>
    <row r="4" spans="1:1" ht="18" customHeight="1" x14ac:dyDescent="0.3">
      <c r="A4" s="3" t="s">
        <v>2</v>
      </c>
    </row>
    <row r="5" spans="1:1" ht="18" customHeight="1" x14ac:dyDescent="0.3">
      <c r="A5" s="3" t="s">
        <v>3</v>
      </c>
    </row>
    <row r="6" spans="1:1" ht="18" customHeight="1" x14ac:dyDescent="0.3">
      <c r="A6" s="3" t="s">
        <v>4</v>
      </c>
    </row>
    <row r="7" spans="1:1" ht="18" customHeight="1" x14ac:dyDescent="0.3">
      <c r="A7" s="3" t="s">
        <v>5</v>
      </c>
    </row>
    <row r="8" spans="1:1" ht="18" customHeight="1" x14ac:dyDescent="0.3">
      <c r="A8" s="3" t="s">
        <v>6</v>
      </c>
    </row>
    <row r="10" spans="1:1" ht="17.25" x14ac:dyDescent="0.3">
      <c r="A10" s="2" t="s">
        <v>7</v>
      </c>
    </row>
    <row r="11" spans="1:1" ht="18" customHeight="1" x14ac:dyDescent="0.3">
      <c r="A11" s="3" t="s">
        <v>8</v>
      </c>
    </row>
    <row r="12" spans="1:1" ht="18" customHeight="1" x14ac:dyDescent="0.3">
      <c r="A12" s="3" t="s">
        <v>9</v>
      </c>
    </row>
    <row r="13" spans="1:1" ht="18" customHeight="1" x14ac:dyDescent="0.3">
      <c r="A13" s="3" t="s">
        <v>10</v>
      </c>
    </row>
    <row r="14" spans="1:1" ht="18" customHeight="1" x14ac:dyDescent="0.3">
      <c r="A14" s="3" t="s">
        <v>11</v>
      </c>
    </row>
    <row r="15" spans="1:1" ht="18" customHeight="1" x14ac:dyDescent="0.3">
      <c r="A15" s="3" t="s">
        <v>12</v>
      </c>
    </row>
    <row r="16" spans="1:1" ht="18" customHeight="1" x14ac:dyDescent="0.3">
      <c r="A16" s="3" t="s">
        <v>13</v>
      </c>
    </row>
    <row r="18" spans="1:1" ht="17.25" x14ac:dyDescent="0.3">
      <c r="A18" s="2" t="s">
        <v>14</v>
      </c>
    </row>
    <row r="19" spans="1:1" ht="18" customHeight="1" x14ac:dyDescent="0.3">
      <c r="A19" s="4" t="s">
        <v>15</v>
      </c>
    </row>
    <row r="20" spans="1:1" ht="18" customHeight="1" x14ac:dyDescent="0.3">
      <c r="A20" s="4" t="s">
        <v>16</v>
      </c>
    </row>
    <row r="21" spans="1:1" ht="18" customHeight="1" x14ac:dyDescent="0.3">
      <c r="A21" s="4" t="s">
        <v>17</v>
      </c>
    </row>
    <row r="23" spans="1:1" ht="17.25" x14ac:dyDescent="0.3">
      <c r="A23" s="2" t="s">
        <v>18</v>
      </c>
    </row>
    <row r="24" spans="1:1" ht="18" customHeight="1" x14ac:dyDescent="0.3">
      <c r="A24" s="3" t="s">
        <v>19</v>
      </c>
    </row>
    <row r="25" spans="1:1" ht="18" customHeight="1" x14ac:dyDescent="0.3">
      <c r="A25" s="3" t="s">
        <v>20</v>
      </c>
    </row>
  </sheetData>
  <phoneticPr fontId="6" type="noConversion"/>
  <pageMargins left="0.75" right="0.75" top="1" bottom="1" header="0.5" footer="0.5"/>
  <headerFooter>
    <oddHeader>&amp;R&amp;"Aptos"&amp;13&amp;K000000 [ RESTRICTED ]&amp;1#_x000D_</oddHeader>
    <oddFooter>&amp;R_x000D_&amp;1#&amp;"Aptos"&amp;5&amp;K000000 [Secure Minds, Secure Finds] 본 문서는 현대건설㈜의 정보자산이므로 무단 전제 및 복제할 수 없으며, 이를 위반할 시에는 당사 사규 및 관련 법규에 의해 제지를 받을 수 있습니다.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zoomScale="70" zoomScaleNormal="70" workbookViewId="0">
      <pane ySplit="1" topLeftCell="A2" activePane="bottomLeft" state="frozen"/>
      <selection pane="bottomLeft" activeCell="D18" sqref="D18"/>
    </sheetView>
  </sheetViews>
  <sheetFormatPr defaultRowHeight="16.5" x14ac:dyDescent="0.3"/>
  <cols>
    <col min="1" max="1" width="16" customWidth="1"/>
    <col min="2" max="2" width="31" customWidth="1"/>
    <col min="3" max="3" width="32" customWidth="1"/>
    <col min="4" max="4" width="31" customWidth="1"/>
    <col min="5" max="5" width="32" customWidth="1"/>
    <col min="6" max="12" width="16" customWidth="1"/>
  </cols>
  <sheetData>
    <row r="1" spans="1:12" ht="26.1" customHeight="1" x14ac:dyDescent="0.3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</row>
    <row r="2" spans="1:12" ht="21.75" customHeight="1" x14ac:dyDescent="0.3">
      <c r="A2" s="6" t="s">
        <v>74</v>
      </c>
      <c r="B2" s="7">
        <v>1484</v>
      </c>
      <c r="C2" s="7">
        <v>1484</v>
      </c>
      <c r="D2" s="7"/>
      <c r="E2" s="7"/>
      <c r="F2" s="6" t="s">
        <v>75</v>
      </c>
      <c r="G2" s="6" t="s">
        <v>76</v>
      </c>
      <c r="H2" s="6" t="s">
        <v>77</v>
      </c>
      <c r="I2" s="6" t="s">
        <v>77</v>
      </c>
      <c r="J2" s="6" t="s">
        <v>78</v>
      </c>
      <c r="K2" s="8">
        <v>1</v>
      </c>
      <c r="L2" s="6"/>
    </row>
    <row r="3" spans="1:12" ht="21.75" customHeight="1" x14ac:dyDescent="0.3">
      <c r="A3" s="6" t="s">
        <v>79</v>
      </c>
      <c r="B3" s="7">
        <v>1318</v>
      </c>
      <c r="C3" s="7">
        <v>1354</v>
      </c>
      <c r="D3" s="7"/>
      <c r="E3" s="7"/>
      <c r="F3" s="6" t="s">
        <v>75</v>
      </c>
      <c r="G3" s="6" t="s">
        <v>80</v>
      </c>
      <c r="H3" s="6" t="s">
        <v>81</v>
      </c>
      <c r="I3" s="6" t="s">
        <v>82</v>
      </c>
      <c r="J3" s="6" t="s">
        <v>83</v>
      </c>
      <c r="K3" s="8">
        <v>0.99960000000000004</v>
      </c>
      <c r="L3" s="6"/>
    </row>
    <row r="4" spans="1:12" ht="21.75" customHeight="1" x14ac:dyDescent="0.3">
      <c r="A4" s="6" t="s">
        <v>84</v>
      </c>
      <c r="B4" s="7">
        <v>1814</v>
      </c>
      <c r="C4" s="7">
        <v>3778</v>
      </c>
      <c r="D4" s="7"/>
      <c r="E4" s="7"/>
      <c r="F4" s="6" t="s">
        <v>85</v>
      </c>
      <c r="G4" s="6" t="s">
        <v>86</v>
      </c>
      <c r="H4" s="6" t="s">
        <v>87</v>
      </c>
      <c r="I4" s="6" t="s">
        <v>77</v>
      </c>
      <c r="J4" s="6" t="s">
        <v>78</v>
      </c>
      <c r="K4" s="8">
        <v>1</v>
      </c>
      <c r="L4" s="6"/>
    </row>
    <row r="5" spans="1:12" ht="21.75" customHeight="1" x14ac:dyDescent="0.3">
      <c r="A5" s="6" t="s">
        <v>88</v>
      </c>
      <c r="B5" s="7"/>
      <c r="C5" s="7"/>
      <c r="D5" s="7">
        <v>2389100</v>
      </c>
      <c r="E5" s="7">
        <v>5436800</v>
      </c>
      <c r="F5" s="6" t="s">
        <v>89</v>
      </c>
      <c r="G5" s="6" t="s">
        <v>90</v>
      </c>
      <c r="H5" s="6" t="s">
        <v>91</v>
      </c>
      <c r="I5" s="6" t="s">
        <v>92</v>
      </c>
      <c r="J5" s="6" t="s">
        <v>83</v>
      </c>
      <c r="K5" s="8">
        <v>0.95689999999999997</v>
      </c>
      <c r="L5" s="6"/>
    </row>
    <row r="6" spans="1:12" ht="21.75" customHeight="1" x14ac:dyDescent="0.3">
      <c r="A6" s="6" t="s">
        <v>93</v>
      </c>
      <c r="B6" s="7">
        <v>584</v>
      </c>
      <c r="C6" s="7">
        <v>730</v>
      </c>
      <c r="D6" s="7"/>
      <c r="E6" s="7"/>
      <c r="F6" s="6" t="s">
        <v>94</v>
      </c>
      <c r="G6" s="6" t="s">
        <v>95</v>
      </c>
      <c r="H6" s="6" t="s">
        <v>96</v>
      </c>
      <c r="I6" s="6" t="s">
        <v>97</v>
      </c>
      <c r="J6" s="6" t="s">
        <v>83</v>
      </c>
      <c r="K6" s="8">
        <v>0.58960000000000001</v>
      </c>
      <c r="L6" s="6"/>
    </row>
    <row r="7" spans="1:12" ht="21.75" customHeight="1" x14ac:dyDescent="0.3">
      <c r="A7" s="6" t="s">
        <v>98</v>
      </c>
      <c r="B7" s="7">
        <v>952</v>
      </c>
      <c r="C7" s="7">
        <v>1178</v>
      </c>
      <c r="D7" s="7"/>
      <c r="E7" s="7"/>
      <c r="F7" s="6" t="s">
        <v>99</v>
      </c>
      <c r="G7" s="6" t="s">
        <v>100</v>
      </c>
      <c r="H7" s="6" t="s">
        <v>101</v>
      </c>
      <c r="I7" s="6" t="s">
        <v>97</v>
      </c>
      <c r="J7" s="6" t="s">
        <v>83</v>
      </c>
      <c r="K7" s="8">
        <v>0.98950000000000005</v>
      </c>
      <c r="L7" s="6"/>
    </row>
    <row r="8" spans="1:12" ht="21.75" customHeight="1" x14ac:dyDescent="0.3">
      <c r="A8" s="6" t="s">
        <v>102</v>
      </c>
      <c r="B8" s="7">
        <v>2136</v>
      </c>
      <c r="C8" s="7">
        <v>2136</v>
      </c>
      <c r="D8" s="7"/>
      <c r="E8" s="7"/>
      <c r="F8" s="6" t="s">
        <v>103</v>
      </c>
      <c r="G8" s="6" t="s">
        <v>80</v>
      </c>
      <c r="H8" s="6" t="s">
        <v>104</v>
      </c>
      <c r="I8" s="6" t="s">
        <v>105</v>
      </c>
      <c r="J8" s="6" t="s">
        <v>83</v>
      </c>
      <c r="K8" s="8">
        <v>0.87280000000000002</v>
      </c>
      <c r="L8" s="6"/>
    </row>
    <row r="9" spans="1:12" ht="21.75" customHeight="1" x14ac:dyDescent="0.3">
      <c r="A9" s="6" t="s">
        <v>106</v>
      </c>
      <c r="B9" s="7">
        <v>1184</v>
      </c>
      <c r="C9" s="7">
        <v>2369</v>
      </c>
      <c r="D9" s="7"/>
      <c r="E9" s="7"/>
      <c r="F9" s="6" t="s">
        <v>75</v>
      </c>
      <c r="G9" s="6" t="s">
        <v>80</v>
      </c>
      <c r="H9" s="6" t="s">
        <v>107</v>
      </c>
      <c r="I9" s="6" t="s">
        <v>108</v>
      </c>
      <c r="J9" s="6" t="s">
        <v>83</v>
      </c>
      <c r="K9" s="8">
        <v>0.70489999999999997</v>
      </c>
      <c r="L9" s="6"/>
    </row>
    <row r="10" spans="1:12" ht="21.75" customHeight="1" x14ac:dyDescent="0.3">
      <c r="A10" s="6" t="s">
        <v>109</v>
      </c>
      <c r="B10" s="7">
        <v>3160</v>
      </c>
      <c r="C10" s="7">
        <v>3160</v>
      </c>
      <c r="D10" s="7"/>
      <c r="E10" s="7"/>
      <c r="F10" s="6" t="s">
        <v>110</v>
      </c>
      <c r="G10" s="6" t="s">
        <v>111</v>
      </c>
      <c r="H10" s="6" t="s">
        <v>112</v>
      </c>
      <c r="I10" s="6" t="s">
        <v>113</v>
      </c>
      <c r="J10" s="6" t="s">
        <v>83</v>
      </c>
      <c r="K10" s="8">
        <v>6.3E-2</v>
      </c>
      <c r="L10" s="6"/>
    </row>
    <row r="11" spans="1:12" ht="21.75" customHeight="1" x14ac:dyDescent="0.3">
      <c r="A11" s="6" t="s">
        <v>114</v>
      </c>
      <c r="B11" s="7">
        <v>1600</v>
      </c>
      <c r="C11" s="7">
        <v>4000</v>
      </c>
      <c r="D11" s="7"/>
      <c r="E11" s="7"/>
      <c r="F11" s="6" t="s">
        <v>115</v>
      </c>
      <c r="G11" s="6" t="s">
        <v>116</v>
      </c>
      <c r="H11" s="6" t="s">
        <v>117</v>
      </c>
      <c r="I11" s="6" t="s">
        <v>118</v>
      </c>
      <c r="J11" s="6" t="s">
        <v>83</v>
      </c>
      <c r="K11" s="8">
        <v>0</v>
      </c>
      <c r="L11" s="6"/>
    </row>
    <row r="12" spans="1:12" ht="21.75" customHeight="1" x14ac:dyDescent="0.3">
      <c r="A12" s="6" t="s">
        <v>119</v>
      </c>
      <c r="B12" s="7">
        <v>5800</v>
      </c>
      <c r="C12" s="7">
        <v>5800</v>
      </c>
      <c r="D12" s="7"/>
      <c r="E12" s="7"/>
      <c r="F12" s="6" t="s">
        <v>120</v>
      </c>
      <c r="G12" s="6" t="s">
        <v>121</v>
      </c>
      <c r="H12" s="6" t="s">
        <v>122</v>
      </c>
      <c r="I12" s="6" t="s">
        <v>118</v>
      </c>
      <c r="J12" s="6" t="s">
        <v>123</v>
      </c>
      <c r="K12" s="8">
        <v>0</v>
      </c>
      <c r="L12" s="6"/>
    </row>
  </sheetData>
  <phoneticPr fontId="6" type="noConversion"/>
  <pageMargins left="0.75" right="0.75" top="1" bottom="1" header="0.5" footer="0.5"/>
  <headerFooter>
    <oddHeader>&amp;R&amp;"Aptos"&amp;13&amp;K000000 [ RESTRICTED ]&amp;1#_x000D_</oddHeader>
    <oddFooter>&amp;R_x000D_&amp;1#&amp;"Aptos"&amp;5&amp;K000000 [Secure Minds, Secure Finds] 본 문서는 현대건설㈜의 정보자산이므로 무단 전제 및 복제할 수 없으며, 이를 위반할 시에는 당사 사규 및 관련 법규에 의해 제지를 받을 수 있습니다.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pane ySplit="1" topLeftCell="A2" activePane="bottomLeft" state="frozen"/>
      <selection pane="bottomLeft" activeCell="C22" sqref="C22"/>
    </sheetView>
  </sheetViews>
  <sheetFormatPr defaultRowHeight="16.5" x14ac:dyDescent="0.3"/>
  <cols>
    <col min="1" max="1" width="19.25" bestFit="1" customWidth="1"/>
    <col min="2" max="2" width="16" customWidth="1"/>
    <col min="3" max="3" width="28" customWidth="1"/>
    <col min="4" max="4" width="16" customWidth="1"/>
    <col min="5" max="5" width="25.125" bestFit="1" customWidth="1"/>
    <col min="6" max="6" width="16" customWidth="1"/>
  </cols>
  <sheetData>
    <row r="1" spans="1:6" ht="26.1" customHeight="1" x14ac:dyDescent="0.3">
      <c r="A1" s="5" t="s">
        <v>33</v>
      </c>
      <c r="B1" s="5" t="s">
        <v>34</v>
      </c>
      <c r="C1" s="5" t="s">
        <v>35</v>
      </c>
      <c r="D1" s="5" t="s">
        <v>29</v>
      </c>
      <c r="E1" s="5" t="s">
        <v>36</v>
      </c>
      <c r="F1" s="5" t="s">
        <v>37</v>
      </c>
    </row>
    <row r="2" spans="1:6" x14ac:dyDescent="0.3">
      <c r="A2" s="6" t="s">
        <v>124</v>
      </c>
      <c r="B2" s="6" t="s">
        <v>125</v>
      </c>
      <c r="C2" s="6" t="s">
        <v>126</v>
      </c>
      <c r="D2" s="6"/>
      <c r="E2" s="6"/>
      <c r="F2" s="6"/>
    </row>
    <row r="3" spans="1:6" x14ac:dyDescent="0.3">
      <c r="A3" s="6" t="s">
        <v>127</v>
      </c>
      <c r="B3" s="6" t="s">
        <v>125</v>
      </c>
      <c r="C3" s="6" t="s">
        <v>128</v>
      </c>
      <c r="D3" s="6"/>
      <c r="E3" s="6" t="s">
        <v>129</v>
      </c>
      <c r="F3" s="6">
        <v>9</v>
      </c>
    </row>
    <row r="4" spans="1:6" x14ac:dyDescent="0.3">
      <c r="A4" s="6" t="s">
        <v>97</v>
      </c>
      <c r="B4" s="6" t="s">
        <v>125</v>
      </c>
      <c r="C4" s="6" t="s">
        <v>130</v>
      </c>
      <c r="D4" s="6" t="s">
        <v>131</v>
      </c>
      <c r="E4" s="6" t="s">
        <v>132</v>
      </c>
      <c r="F4" s="6">
        <v>38</v>
      </c>
    </row>
    <row r="5" spans="1:6" x14ac:dyDescent="0.3">
      <c r="A5" s="6" t="s">
        <v>133</v>
      </c>
      <c r="B5" s="6" t="s">
        <v>125</v>
      </c>
      <c r="C5" s="6" t="s">
        <v>134</v>
      </c>
      <c r="D5" s="6"/>
      <c r="E5" s="6" t="s">
        <v>135</v>
      </c>
      <c r="F5" s="6">
        <v>46</v>
      </c>
    </row>
    <row r="6" spans="1:6" x14ac:dyDescent="0.3">
      <c r="A6" s="6" t="s">
        <v>82</v>
      </c>
      <c r="B6" s="6" t="s">
        <v>125</v>
      </c>
      <c r="C6" s="6" t="s">
        <v>128</v>
      </c>
      <c r="D6" s="6" t="s">
        <v>79</v>
      </c>
      <c r="E6" s="6" t="s">
        <v>136</v>
      </c>
      <c r="F6" s="6">
        <v>25</v>
      </c>
    </row>
    <row r="7" spans="1:6" x14ac:dyDescent="0.3">
      <c r="A7" s="6" t="s">
        <v>113</v>
      </c>
      <c r="B7" s="6" t="s">
        <v>125</v>
      </c>
      <c r="C7" s="6" t="s">
        <v>137</v>
      </c>
      <c r="D7" s="6" t="s">
        <v>109</v>
      </c>
      <c r="E7" s="6" t="s">
        <v>138</v>
      </c>
      <c r="F7" s="6">
        <v>9</v>
      </c>
    </row>
    <row r="8" spans="1:6" x14ac:dyDescent="0.3">
      <c r="A8" s="6" t="s">
        <v>139</v>
      </c>
      <c r="B8" s="6" t="s">
        <v>125</v>
      </c>
      <c r="C8" s="6" t="s">
        <v>137</v>
      </c>
      <c r="D8" s="6"/>
      <c r="E8" s="6" t="s">
        <v>140</v>
      </c>
      <c r="F8" s="6">
        <v>16</v>
      </c>
    </row>
    <row r="9" spans="1:6" x14ac:dyDescent="0.3">
      <c r="A9" s="6" t="s">
        <v>141</v>
      </c>
      <c r="B9" s="6" t="s">
        <v>142</v>
      </c>
      <c r="C9" s="6" t="s">
        <v>130</v>
      </c>
      <c r="D9" s="6"/>
      <c r="E9" s="6" t="s">
        <v>143</v>
      </c>
      <c r="F9" s="6">
        <v>28</v>
      </c>
    </row>
    <row r="10" spans="1:6" x14ac:dyDescent="0.3">
      <c r="A10" s="6" t="s">
        <v>118</v>
      </c>
      <c r="B10" s="6" t="s">
        <v>125</v>
      </c>
      <c r="C10" s="6" t="s">
        <v>144</v>
      </c>
      <c r="D10" s="6" t="s">
        <v>145</v>
      </c>
      <c r="E10" s="6" t="s">
        <v>146</v>
      </c>
      <c r="F10" s="6">
        <v>39</v>
      </c>
    </row>
    <row r="11" spans="1:6" x14ac:dyDescent="0.3">
      <c r="A11" s="6" t="s">
        <v>92</v>
      </c>
      <c r="B11" s="6" t="s">
        <v>125</v>
      </c>
      <c r="C11" s="6" t="s">
        <v>130</v>
      </c>
      <c r="D11" s="6" t="s">
        <v>88</v>
      </c>
      <c r="E11" s="6" t="s">
        <v>147</v>
      </c>
      <c r="F11" s="6">
        <v>21</v>
      </c>
    </row>
    <row r="12" spans="1:6" x14ac:dyDescent="0.3">
      <c r="A12" s="6" t="s">
        <v>108</v>
      </c>
      <c r="B12" s="6" t="s">
        <v>125</v>
      </c>
      <c r="C12" s="6" t="s">
        <v>130</v>
      </c>
      <c r="D12" s="6" t="s">
        <v>106</v>
      </c>
      <c r="E12" s="6" t="s">
        <v>106</v>
      </c>
      <c r="F12" s="6">
        <v>17</v>
      </c>
    </row>
    <row r="13" spans="1:6" x14ac:dyDescent="0.3">
      <c r="A13" s="6" t="s">
        <v>148</v>
      </c>
      <c r="B13" s="6" t="s">
        <v>125</v>
      </c>
      <c r="C13" s="6" t="s">
        <v>128</v>
      </c>
      <c r="D13" s="6"/>
      <c r="E13" s="6" t="s">
        <v>149</v>
      </c>
      <c r="F13" s="6">
        <v>53</v>
      </c>
    </row>
    <row r="14" spans="1:6" x14ac:dyDescent="0.3">
      <c r="A14" s="6" t="s">
        <v>150</v>
      </c>
      <c r="B14" s="6" t="s">
        <v>125</v>
      </c>
      <c r="C14" s="6" t="s">
        <v>151</v>
      </c>
      <c r="D14" s="6"/>
      <c r="E14" s="6" t="s">
        <v>152</v>
      </c>
      <c r="F14" s="6">
        <v>19</v>
      </c>
    </row>
    <row r="15" spans="1:6" x14ac:dyDescent="0.3">
      <c r="A15" s="6" t="s">
        <v>153</v>
      </c>
      <c r="B15" s="6" t="s">
        <v>125</v>
      </c>
      <c r="C15" s="6" t="s">
        <v>130</v>
      </c>
      <c r="D15" s="6"/>
      <c r="E15" s="6" t="s">
        <v>154</v>
      </c>
      <c r="F15" s="6">
        <v>24</v>
      </c>
    </row>
    <row r="16" spans="1:6" x14ac:dyDescent="0.3">
      <c r="A16" s="6" t="s">
        <v>155</v>
      </c>
      <c r="B16" s="6" t="s">
        <v>125</v>
      </c>
      <c r="C16" s="6" t="s">
        <v>128</v>
      </c>
      <c r="D16" s="6"/>
      <c r="E16" s="6" t="s">
        <v>114</v>
      </c>
      <c r="F16" s="6">
        <v>1</v>
      </c>
    </row>
    <row r="17" spans="1:6" x14ac:dyDescent="0.3">
      <c r="A17" s="6" t="s">
        <v>105</v>
      </c>
      <c r="B17" s="6" t="s">
        <v>102</v>
      </c>
      <c r="C17" s="6" t="s">
        <v>137</v>
      </c>
      <c r="D17" s="6" t="s">
        <v>102</v>
      </c>
      <c r="E17" s="6"/>
      <c r="F17" s="6">
        <v>0</v>
      </c>
    </row>
    <row r="18" spans="1:6" x14ac:dyDescent="0.3">
      <c r="A18" s="6" t="s">
        <v>156</v>
      </c>
      <c r="B18" s="6" t="s">
        <v>102</v>
      </c>
      <c r="C18" s="6" t="s">
        <v>137</v>
      </c>
      <c r="D18" s="6"/>
      <c r="E18" s="6" t="s">
        <v>102</v>
      </c>
      <c r="F18" s="6">
        <v>8</v>
      </c>
    </row>
    <row r="19" spans="1:6" x14ac:dyDescent="0.3">
      <c r="A19" s="6" t="s">
        <v>157</v>
      </c>
      <c r="B19" s="6" t="s">
        <v>102</v>
      </c>
      <c r="C19" s="6" t="s">
        <v>128</v>
      </c>
      <c r="D19" s="6"/>
      <c r="E19" s="6" t="s">
        <v>102</v>
      </c>
      <c r="F19" s="6">
        <v>37</v>
      </c>
    </row>
    <row r="20" spans="1:6" x14ac:dyDescent="0.3">
      <c r="A20" s="6" t="s">
        <v>158</v>
      </c>
      <c r="B20" s="6" t="s">
        <v>106</v>
      </c>
      <c r="C20" s="6" t="s">
        <v>128</v>
      </c>
      <c r="D20" s="6"/>
      <c r="E20" s="6" t="s">
        <v>106</v>
      </c>
      <c r="F20" s="6">
        <v>13</v>
      </c>
    </row>
    <row r="21" spans="1:6" x14ac:dyDescent="0.3">
      <c r="A21" s="6" t="s">
        <v>159</v>
      </c>
      <c r="B21" s="6" t="s">
        <v>160</v>
      </c>
      <c r="C21" s="6" t="s">
        <v>128</v>
      </c>
      <c r="D21" s="6"/>
      <c r="E21" s="6" t="s">
        <v>106</v>
      </c>
      <c r="F21" s="6">
        <v>12</v>
      </c>
    </row>
  </sheetData>
  <phoneticPr fontId="6" type="noConversion"/>
  <pageMargins left="0.75" right="0.75" top="1" bottom="1" header="0.5" footer="0.5"/>
  <headerFooter>
    <oddHeader>&amp;R&amp;"Aptos"&amp;13&amp;K000000 [ RESTRICTED ]&amp;1#_x000D_</oddHeader>
    <oddFooter>&amp;R_x000D_&amp;1#&amp;"Aptos"&amp;5&amp;K000000 [Secure Minds, Secure Finds] 본 문서는 현대건설㈜의 정보자산이므로 무단 전제 및 복제할 수 없으며, 이를 위반할 시에는 당사 사규 및 관련 법규에 의해 제지를 받을 수 있습니다.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"/>
  <sheetViews>
    <sheetView zoomScale="85" zoomScaleNormal="85" workbookViewId="0">
      <pane ySplit="1" topLeftCell="A2" activePane="bottomLeft" state="frozen"/>
      <selection pane="bottomLeft" activeCell="D21" sqref="D21"/>
    </sheetView>
  </sheetViews>
  <sheetFormatPr defaultRowHeight="16.5" x14ac:dyDescent="0.3"/>
  <cols>
    <col min="1" max="9" width="16" customWidth="1"/>
    <col min="10" max="10" width="18" customWidth="1"/>
    <col min="11" max="11" width="17" customWidth="1"/>
    <col min="12" max="13" width="16" customWidth="1"/>
  </cols>
  <sheetData>
    <row r="1" spans="1:13" ht="26.1" customHeight="1" x14ac:dyDescent="0.3">
      <c r="A1" s="5" t="s">
        <v>21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</row>
    <row r="2" spans="1:13" ht="20.25" customHeight="1" x14ac:dyDescent="0.3">
      <c r="A2" s="9" t="s">
        <v>74</v>
      </c>
      <c r="B2" s="9" t="s">
        <v>161</v>
      </c>
      <c r="C2" s="9" t="s">
        <v>161</v>
      </c>
      <c r="D2" s="9" t="s">
        <v>161</v>
      </c>
      <c r="E2" s="9" t="s">
        <v>161</v>
      </c>
      <c r="F2" s="9">
        <v>200</v>
      </c>
      <c r="G2" s="9">
        <v>200</v>
      </c>
      <c r="H2" s="9">
        <v>197</v>
      </c>
      <c r="I2" s="9">
        <v>197</v>
      </c>
      <c r="J2" s="9">
        <v>397</v>
      </c>
      <c r="K2" s="9">
        <v>397</v>
      </c>
      <c r="L2" s="9">
        <v>55</v>
      </c>
      <c r="M2" s="9">
        <v>55</v>
      </c>
    </row>
    <row r="3" spans="1:13" ht="20.25" customHeight="1" x14ac:dyDescent="0.3">
      <c r="A3" s="9" t="s">
        <v>79</v>
      </c>
      <c r="B3" s="9" t="s">
        <v>161</v>
      </c>
      <c r="C3" s="9" t="s">
        <v>161</v>
      </c>
      <c r="D3" s="9" t="s">
        <v>161</v>
      </c>
      <c r="E3" s="9" t="s">
        <v>161</v>
      </c>
      <c r="F3" s="9">
        <v>150</v>
      </c>
      <c r="G3" s="9">
        <v>150</v>
      </c>
      <c r="H3" s="9">
        <v>167</v>
      </c>
      <c r="I3" s="9">
        <v>167</v>
      </c>
      <c r="J3" s="9">
        <v>351</v>
      </c>
      <c r="K3" s="9">
        <v>346</v>
      </c>
      <c r="L3" s="9">
        <v>74</v>
      </c>
      <c r="M3" s="9">
        <v>74</v>
      </c>
    </row>
    <row r="4" spans="1:13" ht="20.25" customHeight="1" x14ac:dyDescent="0.3">
      <c r="A4" s="9" t="s">
        <v>84</v>
      </c>
      <c r="B4" s="9" t="s">
        <v>161</v>
      </c>
      <c r="C4" s="9" t="s">
        <v>161</v>
      </c>
      <c r="D4" s="9" t="s">
        <v>161</v>
      </c>
      <c r="E4" s="9" t="s">
        <v>161</v>
      </c>
      <c r="F4" s="9">
        <v>124</v>
      </c>
      <c r="G4" s="9">
        <v>124</v>
      </c>
      <c r="H4" s="9">
        <v>45</v>
      </c>
      <c r="I4" s="9">
        <v>45</v>
      </c>
      <c r="J4" s="9">
        <v>124</v>
      </c>
      <c r="K4" s="9">
        <v>124</v>
      </c>
      <c r="L4" s="9">
        <v>7</v>
      </c>
      <c r="M4" s="9">
        <v>7</v>
      </c>
    </row>
    <row r="5" spans="1:13" ht="20.25" customHeight="1" x14ac:dyDescent="0.3">
      <c r="A5" s="9" t="s">
        <v>88</v>
      </c>
      <c r="B5" s="9" t="s">
        <v>161</v>
      </c>
      <c r="C5" s="9" t="s">
        <v>161</v>
      </c>
      <c r="D5" s="9" t="s">
        <v>161</v>
      </c>
      <c r="E5" s="9" t="s">
        <v>161</v>
      </c>
      <c r="F5" s="9">
        <v>24</v>
      </c>
      <c r="G5" s="9">
        <v>24</v>
      </c>
      <c r="H5" s="9">
        <v>17</v>
      </c>
      <c r="I5" s="9">
        <v>17</v>
      </c>
      <c r="J5" s="9">
        <v>40</v>
      </c>
      <c r="K5" s="9">
        <v>29</v>
      </c>
      <c r="L5" s="9">
        <v>15</v>
      </c>
      <c r="M5" s="9">
        <v>15</v>
      </c>
    </row>
    <row r="6" spans="1:13" ht="20.25" customHeight="1" x14ac:dyDescent="0.3">
      <c r="A6" s="9" t="s">
        <v>93</v>
      </c>
      <c r="B6" s="9" t="s">
        <v>161</v>
      </c>
      <c r="C6" s="9" t="s">
        <v>161</v>
      </c>
      <c r="D6" s="9" t="s">
        <v>161</v>
      </c>
      <c r="E6" s="9" t="s">
        <v>161</v>
      </c>
      <c r="F6" s="9">
        <v>74</v>
      </c>
      <c r="G6" s="9">
        <v>74</v>
      </c>
      <c r="H6" s="9">
        <v>28</v>
      </c>
      <c r="I6" s="9">
        <v>28</v>
      </c>
      <c r="J6" s="9">
        <v>74</v>
      </c>
      <c r="K6" s="9">
        <v>52</v>
      </c>
      <c r="L6" s="9">
        <v>16</v>
      </c>
      <c r="M6" s="9">
        <v>16</v>
      </c>
    </row>
    <row r="7" spans="1:13" ht="20.25" customHeight="1" x14ac:dyDescent="0.3">
      <c r="A7" s="9" t="s">
        <v>98</v>
      </c>
      <c r="B7" s="9" t="s">
        <v>161</v>
      </c>
      <c r="C7" s="9" t="s">
        <v>161</v>
      </c>
      <c r="D7" s="9" t="s">
        <v>161</v>
      </c>
      <c r="E7" s="9" t="s">
        <v>161</v>
      </c>
      <c r="F7" s="9">
        <v>96</v>
      </c>
      <c r="G7" s="9">
        <v>96</v>
      </c>
      <c r="H7" s="9">
        <v>37</v>
      </c>
      <c r="I7" s="9">
        <v>37</v>
      </c>
      <c r="J7" s="9">
        <v>96</v>
      </c>
      <c r="K7" s="9">
        <v>95</v>
      </c>
      <c r="L7" s="9">
        <v>9</v>
      </c>
      <c r="M7" s="9">
        <v>9</v>
      </c>
    </row>
    <row r="8" spans="1:13" ht="20.25" customHeight="1" x14ac:dyDescent="0.3">
      <c r="A8" s="9" t="s">
        <v>102</v>
      </c>
      <c r="B8" s="9" t="s">
        <v>161</v>
      </c>
      <c r="C8" s="9" t="s">
        <v>161</v>
      </c>
      <c r="D8" s="9" t="s">
        <v>161</v>
      </c>
      <c r="E8" s="9" t="s">
        <v>161</v>
      </c>
      <c r="F8" s="9">
        <v>159</v>
      </c>
      <c r="G8" s="9">
        <v>159</v>
      </c>
      <c r="H8" s="9">
        <v>99</v>
      </c>
      <c r="I8" s="9">
        <v>97</v>
      </c>
      <c r="J8" s="9">
        <v>122</v>
      </c>
      <c r="K8" s="9">
        <v>54</v>
      </c>
      <c r="L8" s="9">
        <v>51</v>
      </c>
      <c r="M8" s="9">
        <v>42</v>
      </c>
    </row>
    <row r="9" spans="1:13" ht="20.25" customHeight="1" x14ac:dyDescent="0.3">
      <c r="A9" s="9" t="s">
        <v>106</v>
      </c>
      <c r="B9" s="9" t="s">
        <v>161</v>
      </c>
      <c r="C9" s="9" t="s">
        <v>161</v>
      </c>
      <c r="D9" s="9" t="s">
        <v>161</v>
      </c>
      <c r="E9" s="9" t="s">
        <v>161</v>
      </c>
      <c r="F9" s="9">
        <v>93</v>
      </c>
      <c r="G9" s="9">
        <v>93</v>
      </c>
      <c r="H9" s="9">
        <v>62</v>
      </c>
      <c r="I9" s="9">
        <v>59</v>
      </c>
      <c r="J9" s="9">
        <v>89</v>
      </c>
      <c r="K9" s="9">
        <v>21</v>
      </c>
      <c r="L9" s="9">
        <v>7</v>
      </c>
      <c r="M9" s="9">
        <v>7</v>
      </c>
    </row>
    <row r="10" spans="1:13" ht="20.25" customHeight="1" x14ac:dyDescent="0.3">
      <c r="A10" s="9" t="s">
        <v>109</v>
      </c>
      <c r="B10" s="9">
        <v>148</v>
      </c>
      <c r="C10" s="9">
        <v>68</v>
      </c>
      <c r="D10" s="9">
        <v>148</v>
      </c>
      <c r="E10" s="9">
        <v>2</v>
      </c>
      <c r="F10" s="9">
        <v>148</v>
      </c>
      <c r="G10" s="9">
        <v>1</v>
      </c>
      <c r="H10" s="9">
        <v>57</v>
      </c>
      <c r="I10" s="9">
        <v>0</v>
      </c>
      <c r="J10" s="9">
        <v>148</v>
      </c>
      <c r="K10" s="9">
        <v>0</v>
      </c>
      <c r="L10" s="9">
        <v>0</v>
      </c>
      <c r="M10" s="9">
        <v>0</v>
      </c>
    </row>
    <row r="11" spans="1:13" ht="20.25" customHeight="1" x14ac:dyDescent="0.3">
      <c r="A11" s="9" t="s">
        <v>114</v>
      </c>
      <c r="B11" s="9">
        <v>30</v>
      </c>
      <c r="C11" s="9">
        <v>10</v>
      </c>
      <c r="D11" s="9">
        <v>30</v>
      </c>
      <c r="E11" s="9">
        <v>5</v>
      </c>
      <c r="F11" s="9">
        <v>30</v>
      </c>
      <c r="G11" s="9">
        <v>2</v>
      </c>
      <c r="H11" s="9">
        <v>17</v>
      </c>
      <c r="I11" s="9">
        <v>0</v>
      </c>
      <c r="J11" s="9">
        <v>30</v>
      </c>
      <c r="K11" s="9">
        <v>0</v>
      </c>
      <c r="L11" s="9">
        <v>0</v>
      </c>
      <c r="M11" s="9">
        <v>0</v>
      </c>
    </row>
    <row r="12" spans="1:13" ht="20.25" customHeight="1" x14ac:dyDescent="0.3">
      <c r="A12" s="9" t="s">
        <v>119</v>
      </c>
      <c r="B12" s="9" t="s">
        <v>162</v>
      </c>
      <c r="C12" s="9" t="s">
        <v>162</v>
      </c>
      <c r="D12" s="9" t="s">
        <v>162</v>
      </c>
      <c r="E12" s="9" t="s">
        <v>162</v>
      </c>
      <c r="F12" s="9" t="s">
        <v>162</v>
      </c>
      <c r="G12" s="9" t="s">
        <v>162</v>
      </c>
      <c r="H12" s="9" t="s">
        <v>162</v>
      </c>
      <c r="I12" s="9" t="s">
        <v>162</v>
      </c>
      <c r="J12" s="9" t="s">
        <v>162</v>
      </c>
      <c r="K12" s="9" t="s">
        <v>162</v>
      </c>
      <c r="L12" s="9" t="s">
        <v>162</v>
      </c>
      <c r="M12" s="9" t="s">
        <v>162</v>
      </c>
    </row>
  </sheetData>
  <phoneticPr fontId="6" type="noConversion"/>
  <pageMargins left="0.75" right="0.75" top="1" bottom="1" header="0.5" footer="0.5"/>
  <headerFooter>
    <oddHeader>&amp;R&amp;"Aptos"&amp;13&amp;K000000 [ RESTRICTED ]&amp;1#_x000D_</oddHeader>
    <oddFooter>&amp;R_x000D_&amp;1#&amp;"Aptos"&amp;5&amp;K000000 [Secure Minds, Secure Finds] 본 문서는 현대건설㈜의 정보자산이므로 무단 전제 및 복제할 수 없으며, 이를 위반할 시에는 당사 사규 및 관련 법규에 의해 제지를 받을 수 있습니다.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zoomScale="85" zoomScaleNormal="85" workbookViewId="0">
      <pane ySplit="1" topLeftCell="A2" activePane="bottomLeft" state="frozen"/>
      <selection pane="bottomLeft" activeCell="I21" sqref="I21"/>
    </sheetView>
  </sheetViews>
  <sheetFormatPr defaultRowHeight="16.5" x14ac:dyDescent="0.3"/>
  <cols>
    <col min="1" max="1" width="14.375" bestFit="1" customWidth="1"/>
    <col min="2" max="2" width="16" customWidth="1"/>
    <col min="3" max="3" width="23.5" bestFit="1" customWidth="1"/>
    <col min="4" max="4" width="20.375" customWidth="1"/>
    <col min="5" max="5" width="16" customWidth="1"/>
    <col min="6" max="6" width="65.25" customWidth="1"/>
    <col min="7" max="9" width="16" customWidth="1"/>
  </cols>
  <sheetData>
    <row r="1" spans="1:9" ht="26.1" customHeight="1" x14ac:dyDescent="0.3">
      <c r="A1" s="5" t="s">
        <v>50</v>
      </c>
      <c r="B1" s="5" t="s">
        <v>21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73</v>
      </c>
    </row>
    <row r="2" spans="1:9" ht="24.75" customHeight="1" x14ac:dyDescent="0.3">
      <c r="A2" s="9">
        <v>1</v>
      </c>
      <c r="B2" s="9" t="s">
        <v>102</v>
      </c>
      <c r="C2" s="10" t="s">
        <v>163</v>
      </c>
      <c r="D2" s="11" t="s">
        <v>164</v>
      </c>
      <c r="E2" s="11" t="s">
        <v>165</v>
      </c>
      <c r="F2" s="12" t="s">
        <v>166</v>
      </c>
      <c r="G2" s="13">
        <v>45898</v>
      </c>
      <c r="H2" s="14">
        <f ca="1">TODAY()-G2</f>
        <v>244</v>
      </c>
      <c r="I2" s="6"/>
    </row>
    <row r="3" spans="1:9" ht="24.75" customHeight="1" x14ac:dyDescent="0.3">
      <c r="A3" s="9">
        <v>2</v>
      </c>
      <c r="B3" s="9" t="s">
        <v>102</v>
      </c>
      <c r="C3" s="10" t="s">
        <v>167</v>
      </c>
      <c r="D3" s="15" t="s">
        <v>168</v>
      </c>
      <c r="E3" s="15" t="s">
        <v>169</v>
      </c>
      <c r="F3" s="10" t="s">
        <v>170</v>
      </c>
      <c r="G3" s="13">
        <v>45963</v>
      </c>
      <c r="H3" s="14">
        <f t="shared" ref="H3:H10" ca="1" si="0">TODAY()-G3</f>
        <v>179</v>
      </c>
      <c r="I3" s="6"/>
    </row>
    <row r="4" spans="1:9" ht="24.75" customHeight="1" x14ac:dyDescent="0.3">
      <c r="A4" s="9">
        <v>3</v>
      </c>
      <c r="B4" s="9" t="s">
        <v>102</v>
      </c>
      <c r="C4" s="10" t="s">
        <v>171</v>
      </c>
      <c r="D4" s="15" t="s">
        <v>172</v>
      </c>
      <c r="E4" s="15" t="s">
        <v>173</v>
      </c>
      <c r="F4" s="10" t="s">
        <v>170</v>
      </c>
      <c r="G4" s="13">
        <v>45968</v>
      </c>
      <c r="H4" s="14">
        <f t="shared" ca="1" si="0"/>
        <v>174</v>
      </c>
      <c r="I4" s="6"/>
    </row>
    <row r="5" spans="1:9" ht="24.75" customHeight="1" x14ac:dyDescent="0.3">
      <c r="A5" s="9">
        <v>4</v>
      </c>
      <c r="B5" s="9" t="s">
        <v>102</v>
      </c>
      <c r="C5" s="10" t="s">
        <v>174</v>
      </c>
      <c r="D5" s="15" t="s">
        <v>175</v>
      </c>
      <c r="E5" s="15" t="s">
        <v>176</v>
      </c>
      <c r="F5" s="10" t="s">
        <v>170</v>
      </c>
      <c r="G5" s="13">
        <v>46010</v>
      </c>
      <c r="H5" s="14">
        <f t="shared" ca="1" si="0"/>
        <v>132</v>
      </c>
      <c r="I5" s="6"/>
    </row>
    <row r="6" spans="1:9" ht="24.75" customHeight="1" x14ac:dyDescent="0.3">
      <c r="A6" s="9">
        <v>5</v>
      </c>
      <c r="B6" s="9" t="s">
        <v>102</v>
      </c>
      <c r="C6" s="10" t="s">
        <v>177</v>
      </c>
      <c r="D6" s="11" t="s">
        <v>164</v>
      </c>
      <c r="E6" s="16" t="s">
        <v>165</v>
      </c>
      <c r="F6" s="17" t="s">
        <v>178</v>
      </c>
      <c r="G6" s="13">
        <v>45995</v>
      </c>
      <c r="H6" s="14">
        <f t="shared" ca="1" si="0"/>
        <v>147</v>
      </c>
      <c r="I6" s="6"/>
    </row>
    <row r="7" spans="1:9" ht="24.75" customHeight="1" x14ac:dyDescent="0.3">
      <c r="A7" s="9">
        <v>6</v>
      </c>
      <c r="B7" s="9" t="s">
        <v>102</v>
      </c>
      <c r="C7" s="10" t="s">
        <v>179</v>
      </c>
      <c r="D7" s="18" t="s">
        <v>180</v>
      </c>
      <c r="E7" s="16" t="s">
        <v>181</v>
      </c>
      <c r="F7" s="17" t="s">
        <v>178</v>
      </c>
      <c r="G7" s="13">
        <v>46042</v>
      </c>
      <c r="H7" s="14">
        <f t="shared" ca="1" si="0"/>
        <v>100</v>
      </c>
      <c r="I7" s="6"/>
    </row>
    <row r="8" spans="1:9" ht="24.75" customHeight="1" x14ac:dyDescent="0.3">
      <c r="A8" s="9">
        <v>7</v>
      </c>
      <c r="B8" s="9" t="s">
        <v>102</v>
      </c>
      <c r="C8" s="10" t="s">
        <v>182</v>
      </c>
      <c r="D8" s="18" t="s">
        <v>183</v>
      </c>
      <c r="E8" s="19" t="s">
        <v>184</v>
      </c>
      <c r="F8" s="17" t="s">
        <v>178</v>
      </c>
      <c r="G8" s="20">
        <v>46107</v>
      </c>
      <c r="H8" s="14">
        <f t="shared" ca="1" si="0"/>
        <v>35</v>
      </c>
      <c r="I8" s="6"/>
    </row>
    <row r="9" spans="1:9" ht="24.75" customHeight="1" x14ac:dyDescent="0.3">
      <c r="A9" s="9">
        <v>8</v>
      </c>
      <c r="B9" s="9" t="s">
        <v>102</v>
      </c>
      <c r="C9" s="10" t="s">
        <v>185</v>
      </c>
      <c r="D9" s="21" t="s">
        <v>180</v>
      </c>
      <c r="E9" s="16" t="s">
        <v>181</v>
      </c>
      <c r="F9" s="17" t="s">
        <v>178</v>
      </c>
      <c r="G9" s="13">
        <v>46087</v>
      </c>
      <c r="H9" s="14">
        <f t="shared" ca="1" si="0"/>
        <v>55</v>
      </c>
      <c r="I9" s="6"/>
    </row>
    <row r="10" spans="1:9" ht="24.75" customHeight="1" x14ac:dyDescent="0.3">
      <c r="A10" s="9">
        <v>9</v>
      </c>
      <c r="B10" s="9" t="s">
        <v>102</v>
      </c>
      <c r="C10" s="10" t="s">
        <v>186</v>
      </c>
      <c r="D10" s="21" t="s">
        <v>187</v>
      </c>
      <c r="E10" s="21" t="s">
        <v>188</v>
      </c>
      <c r="F10" s="17" t="s">
        <v>189</v>
      </c>
      <c r="G10" s="13">
        <v>46120</v>
      </c>
      <c r="H10" s="14">
        <f t="shared" ca="1" si="0"/>
        <v>22</v>
      </c>
      <c r="I10" s="6"/>
    </row>
  </sheetData>
  <phoneticPr fontId="6" type="noConversion"/>
  <pageMargins left="0.75" right="0.75" top="1" bottom="1" header="0.5" footer="0.5"/>
  <headerFooter>
    <oddHeader>&amp;R&amp;"Aptos"&amp;13&amp;K000000 [ RESTRICTED ]&amp;1#_x000D_</oddHeader>
    <oddFooter>&amp;R_x000D_&amp;1#&amp;"Aptos"&amp;5&amp;K000000 [Secure Minds, Secure Finds] 본 문서는 현대건설㈜의 정보자산이므로 무단 전제 및 복제할 수 없으며, 이를 위반할 시에는 당사 사규 및 관련 법규에 의해 제지를 받을 수 있습니다.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workbookViewId="0">
      <pane ySplit="1" topLeftCell="A2" activePane="bottomLeft" state="frozen"/>
      <selection pane="bottomLeft" activeCell="E20" sqref="E20"/>
    </sheetView>
  </sheetViews>
  <sheetFormatPr defaultRowHeight="16.5" x14ac:dyDescent="0.3"/>
  <cols>
    <col min="1" max="10" width="16" customWidth="1"/>
  </cols>
  <sheetData>
    <row r="1" spans="1:10" ht="26.1" customHeight="1" x14ac:dyDescent="0.3">
      <c r="A1" s="5" t="s">
        <v>21</v>
      </c>
      <c r="B1" s="5" t="s">
        <v>30</v>
      </c>
      <c r="C1" s="5" t="s">
        <v>57</v>
      </c>
      <c r="D1" s="5" t="s">
        <v>58</v>
      </c>
      <c r="E1" s="5" t="s">
        <v>59</v>
      </c>
      <c r="F1" s="5" t="s">
        <v>60</v>
      </c>
      <c r="G1" s="5" t="s">
        <v>61</v>
      </c>
      <c r="H1" s="5" t="s">
        <v>62</v>
      </c>
      <c r="I1" s="5" t="s">
        <v>63</v>
      </c>
      <c r="J1" s="5" t="s">
        <v>64</v>
      </c>
    </row>
    <row r="2" spans="1:10" ht="22.5" customHeight="1" x14ac:dyDescent="0.3">
      <c r="A2" s="6" t="s">
        <v>74</v>
      </c>
      <c r="B2" s="6" t="s">
        <v>78</v>
      </c>
      <c r="C2" s="7">
        <v>12511157</v>
      </c>
      <c r="D2" s="7">
        <v>12511157</v>
      </c>
      <c r="E2" s="7">
        <v>12499872</v>
      </c>
      <c r="F2" s="7"/>
      <c r="G2" s="7"/>
      <c r="H2" s="7"/>
      <c r="I2" s="22">
        <f>E2/C2</f>
        <v>0.99909800508458169</v>
      </c>
      <c r="J2" s="22">
        <f>E2/D2</f>
        <v>0.99909800508458169</v>
      </c>
    </row>
    <row r="3" spans="1:10" ht="22.5" customHeight="1" x14ac:dyDescent="0.3">
      <c r="A3" s="6" t="s">
        <v>79</v>
      </c>
      <c r="B3" s="6" t="s">
        <v>83</v>
      </c>
      <c r="C3" s="7">
        <v>9017286</v>
      </c>
      <c r="D3" s="7">
        <v>9017286</v>
      </c>
      <c r="E3" s="7">
        <v>8964816</v>
      </c>
      <c r="F3" s="7"/>
      <c r="G3" s="7"/>
      <c r="H3" s="7"/>
      <c r="I3" s="22">
        <f t="shared" ref="I3:I11" si="0">E3/C3</f>
        <v>0.99418117602125522</v>
      </c>
      <c r="J3" s="22">
        <f t="shared" ref="J3:J4" si="1">E3/D3</f>
        <v>0.99418117602125522</v>
      </c>
    </row>
    <row r="4" spans="1:10" ht="22.5" customHeight="1" x14ac:dyDescent="0.3">
      <c r="A4" s="6" t="s">
        <v>84</v>
      </c>
      <c r="B4" s="6" t="s">
        <v>78</v>
      </c>
      <c r="C4" s="7">
        <v>4024396</v>
      </c>
      <c r="D4" s="7">
        <v>2886653.24</v>
      </c>
      <c r="E4" s="7">
        <v>2588280</v>
      </c>
      <c r="F4" s="7"/>
      <c r="G4" s="7"/>
      <c r="H4" s="7"/>
      <c r="I4" s="22">
        <f t="shared" si="0"/>
        <v>0.64314744374062593</v>
      </c>
      <c r="J4" s="22">
        <f t="shared" si="1"/>
        <v>0.8966369649580771</v>
      </c>
    </row>
    <row r="5" spans="1:10" ht="22.5" customHeight="1" x14ac:dyDescent="0.3">
      <c r="A5" s="6" t="s">
        <v>88</v>
      </c>
      <c r="B5" s="6" t="s">
        <v>83</v>
      </c>
      <c r="C5" s="7"/>
      <c r="D5" s="7"/>
      <c r="E5" s="7"/>
      <c r="F5" s="7">
        <v>3442862995</v>
      </c>
      <c r="G5" s="7">
        <v>3384427737</v>
      </c>
      <c r="H5" s="7">
        <v>2623837243</v>
      </c>
      <c r="I5" s="22"/>
      <c r="J5" s="22">
        <f>H5/G5</f>
        <v>0.77526762185379172</v>
      </c>
    </row>
    <row r="6" spans="1:10" ht="22.5" customHeight="1" x14ac:dyDescent="0.3">
      <c r="A6" s="6" t="s">
        <v>93</v>
      </c>
      <c r="B6" s="6" t="s">
        <v>83</v>
      </c>
      <c r="C6" s="7">
        <v>766265</v>
      </c>
      <c r="D6" s="7">
        <v>766265</v>
      </c>
      <c r="E6" s="7">
        <v>373850</v>
      </c>
      <c r="F6" s="7"/>
      <c r="G6" s="7"/>
      <c r="H6" s="7"/>
      <c r="I6" s="22">
        <f t="shared" si="0"/>
        <v>0.4878860446451293</v>
      </c>
      <c r="J6" s="22">
        <f t="shared" ref="J6:J9" si="2">E6/D6</f>
        <v>0.4878860446451293</v>
      </c>
    </row>
    <row r="7" spans="1:10" ht="22.5" customHeight="1" x14ac:dyDescent="0.3">
      <c r="A7" s="6" t="s">
        <v>98</v>
      </c>
      <c r="B7" s="6" t="s">
        <v>83</v>
      </c>
      <c r="C7" s="7">
        <v>375828</v>
      </c>
      <c r="D7" s="7">
        <v>228937</v>
      </c>
      <c r="E7" s="7">
        <v>203424</v>
      </c>
      <c r="F7" s="7"/>
      <c r="G7" s="7"/>
      <c r="H7" s="7"/>
      <c r="I7" s="22">
        <f t="shared" si="0"/>
        <v>0.5412688783166768</v>
      </c>
      <c r="J7" s="22">
        <f t="shared" si="2"/>
        <v>0.88855886117141392</v>
      </c>
    </row>
    <row r="8" spans="1:10" ht="22.5" customHeight="1" x14ac:dyDescent="0.3">
      <c r="A8" s="6" t="s">
        <v>102</v>
      </c>
      <c r="B8" s="6" t="s">
        <v>83</v>
      </c>
      <c r="C8" s="7">
        <v>8945512</v>
      </c>
      <c r="D8" s="7">
        <f>6660845.4+801807.6</f>
        <v>7462653</v>
      </c>
      <c r="E8" s="7">
        <v>6311810</v>
      </c>
      <c r="F8" s="7"/>
      <c r="G8" s="7"/>
      <c r="H8" s="7"/>
      <c r="I8" s="22">
        <f t="shared" si="0"/>
        <v>0.70558398446058757</v>
      </c>
      <c r="J8" s="22">
        <f t="shared" si="2"/>
        <v>0.84578634434697686</v>
      </c>
    </row>
    <row r="9" spans="1:10" ht="22.5" customHeight="1" x14ac:dyDescent="0.3">
      <c r="A9" s="6" t="s">
        <v>106</v>
      </c>
      <c r="B9" s="6" t="s">
        <v>83</v>
      </c>
      <c r="C9" s="7">
        <v>4791851</v>
      </c>
      <c r="D9" s="7">
        <f>3590000+60000</f>
        <v>3650000</v>
      </c>
      <c r="E9" s="7">
        <v>2276543</v>
      </c>
      <c r="F9" s="7"/>
      <c r="G9" s="7"/>
      <c r="H9" s="7"/>
      <c r="I9" s="22">
        <f t="shared" si="0"/>
        <v>0.47508634972164199</v>
      </c>
      <c r="J9" s="22">
        <f t="shared" si="2"/>
        <v>0.62371041095890412</v>
      </c>
    </row>
    <row r="10" spans="1:10" ht="22.5" customHeight="1" x14ac:dyDescent="0.3">
      <c r="A10" s="6" t="s">
        <v>109</v>
      </c>
      <c r="B10" s="6" t="s">
        <v>83</v>
      </c>
      <c r="C10" s="7">
        <v>5960701</v>
      </c>
      <c r="D10" s="7" t="s">
        <v>162</v>
      </c>
      <c r="E10" s="7">
        <v>0</v>
      </c>
      <c r="F10" s="7"/>
      <c r="G10" s="7"/>
      <c r="H10" s="7"/>
      <c r="I10" s="22">
        <f t="shared" si="0"/>
        <v>0</v>
      </c>
      <c r="J10" s="22" t="s">
        <v>190</v>
      </c>
    </row>
    <row r="11" spans="1:10" ht="22.5" customHeight="1" x14ac:dyDescent="0.3">
      <c r="A11" s="6" t="s">
        <v>114</v>
      </c>
      <c r="B11" s="6" t="s">
        <v>83</v>
      </c>
      <c r="C11" s="7">
        <v>1875089</v>
      </c>
      <c r="D11" s="7" t="s">
        <v>162</v>
      </c>
      <c r="E11" s="7">
        <v>0</v>
      </c>
      <c r="F11" s="7"/>
      <c r="G11" s="7"/>
      <c r="H11" s="7"/>
      <c r="I11" s="22">
        <f t="shared" si="0"/>
        <v>0</v>
      </c>
      <c r="J11" s="22" t="s">
        <v>190</v>
      </c>
    </row>
    <row r="12" spans="1:10" ht="22.5" customHeight="1" x14ac:dyDescent="0.3">
      <c r="A12" s="6" t="s">
        <v>119</v>
      </c>
      <c r="B12" s="6" t="s">
        <v>123</v>
      </c>
      <c r="C12" s="7" t="s">
        <v>162</v>
      </c>
      <c r="D12" s="7" t="s">
        <v>162</v>
      </c>
      <c r="E12" s="7">
        <v>0</v>
      </c>
      <c r="F12" s="7"/>
      <c r="G12" s="7"/>
      <c r="H12" s="7"/>
      <c r="I12" s="22" t="s">
        <v>190</v>
      </c>
      <c r="J12" s="22" t="s">
        <v>190</v>
      </c>
    </row>
  </sheetData>
  <phoneticPr fontId="6" type="noConversion"/>
  <pageMargins left="0.75" right="0.75" top="1" bottom="1" header="0.5" footer="0.5"/>
  <headerFooter>
    <oddHeader>&amp;R&amp;"Aptos"&amp;13&amp;K000000 [ RESTRICTED ]&amp;1#_x000D_</oddHeader>
    <oddFooter>&amp;R_x000D_&amp;1#&amp;"Aptos"&amp;5&amp;K000000 [Secure Minds, Secure Finds] 본 문서는 현대건설㈜의 정보자산이므로 무단 전제 및 복제할 수 없으며, 이를 위반할 시에는 당사 사규 및 관련 법규에 의해 제지를 받을 수 있습니다.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9"/>
  <sheetViews>
    <sheetView workbookViewId="0">
      <pane ySplit="1" topLeftCell="A2" activePane="bottomLeft" state="frozen"/>
      <selection pane="bottomLeft" activeCell="G26" sqref="G26"/>
    </sheetView>
  </sheetViews>
  <sheetFormatPr defaultRowHeight="16.5" x14ac:dyDescent="0.3"/>
  <cols>
    <col min="1" max="8" width="16" customWidth="1"/>
  </cols>
  <sheetData>
    <row r="1" spans="1:8" ht="26.1" customHeight="1" x14ac:dyDescent="0.3">
      <c r="A1" s="5" t="s">
        <v>65</v>
      </c>
      <c r="B1" s="5" t="s">
        <v>66</v>
      </c>
      <c r="C1" s="5" t="s">
        <v>21</v>
      </c>
      <c r="D1" s="5" t="s">
        <v>52</v>
      </c>
      <c r="E1" s="5" t="s">
        <v>53</v>
      </c>
      <c r="F1" s="5" t="s">
        <v>67</v>
      </c>
      <c r="G1" s="5" t="s">
        <v>68</v>
      </c>
      <c r="H1" s="5" t="s">
        <v>69</v>
      </c>
    </row>
    <row r="2" spans="1:8" x14ac:dyDescent="0.3">
      <c r="A2" s="6" t="s">
        <v>148</v>
      </c>
      <c r="B2" s="6" t="s">
        <v>191</v>
      </c>
      <c r="C2" s="6" t="s">
        <v>192</v>
      </c>
      <c r="D2" s="6" t="s">
        <v>193</v>
      </c>
      <c r="E2" s="6" t="s">
        <v>194</v>
      </c>
      <c r="F2" s="6" t="s">
        <v>195</v>
      </c>
      <c r="G2" s="23">
        <v>45662</v>
      </c>
      <c r="H2" s="23">
        <v>45668</v>
      </c>
    </row>
    <row r="3" spans="1:8" x14ac:dyDescent="0.3">
      <c r="A3" s="6" t="s">
        <v>156</v>
      </c>
      <c r="B3" s="6" t="s">
        <v>196</v>
      </c>
      <c r="C3" s="6" t="s">
        <v>197</v>
      </c>
      <c r="D3" s="6" t="s">
        <v>198</v>
      </c>
      <c r="E3" s="6" t="s">
        <v>199</v>
      </c>
      <c r="F3" s="6" t="s">
        <v>195</v>
      </c>
      <c r="G3" s="23">
        <v>45663</v>
      </c>
      <c r="H3" s="23">
        <v>45666</v>
      </c>
    </row>
    <row r="4" spans="1:8" x14ac:dyDescent="0.3">
      <c r="A4" s="6" t="s">
        <v>92</v>
      </c>
      <c r="B4" s="6" t="s">
        <v>191</v>
      </c>
      <c r="C4" s="6" t="s">
        <v>200</v>
      </c>
      <c r="D4" s="6" t="s">
        <v>201</v>
      </c>
      <c r="E4" s="6" t="s">
        <v>202</v>
      </c>
      <c r="F4" s="6" t="s">
        <v>203</v>
      </c>
      <c r="G4" s="23">
        <v>45676</v>
      </c>
      <c r="H4" s="23">
        <v>45680</v>
      </c>
    </row>
    <row r="5" spans="1:8" x14ac:dyDescent="0.3">
      <c r="A5" s="6" t="s">
        <v>127</v>
      </c>
      <c r="B5" s="6" t="s">
        <v>196</v>
      </c>
      <c r="C5" s="6" t="s">
        <v>197</v>
      </c>
      <c r="D5" s="6" t="s">
        <v>204</v>
      </c>
      <c r="E5" s="6" t="s">
        <v>205</v>
      </c>
      <c r="F5" s="6" t="s">
        <v>206</v>
      </c>
      <c r="G5" s="23">
        <v>45677</v>
      </c>
      <c r="H5" s="23">
        <v>45678</v>
      </c>
    </row>
    <row r="6" spans="1:8" x14ac:dyDescent="0.3">
      <c r="A6" s="6" t="s">
        <v>108</v>
      </c>
      <c r="B6" s="6" t="s">
        <v>196</v>
      </c>
      <c r="C6" s="6" t="s">
        <v>207</v>
      </c>
      <c r="D6" s="6" t="s">
        <v>208</v>
      </c>
      <c r="E6" s="6" t="s">
        <v>209</v>
      </c>
      <c r="F6" s="6" t="s">
        <v>206</v>
      </c>
      <c r="G6" s="23">
        <v>45677</v>
      </c>
      <c r="H6" s="23">
        <v>45681</v>
      </c>
    </row>
    <row r="7" spans="1:8" x14ac:dyDescent="0.3">
      <c r="A7" s="6" t="s">
        <v>133</v>
      </c>
      <c r="B7" s="6" t="s">
        <v>196</v>
      </c>
      <c r="C7" s="6" t="s">
        <v>197</v>
      </c>
      <c r="D7" s="6" t="s">
        <v>210</v>
      </c>
      <c r="E7" s="6" t="s">
        <v>211</v>
      </c>
      <c r="F7" s="6" t="s">
        <v>206</v>
      </c>
      <c r="G7" s="23">
        <v>45678</v>
      </c>
      <c r="H7" s="23">
        <v>45681</v>
      </c>
    </row>
    <row r="8" spans="1:8" x14ac:dyDescent="0.3">
      <c r="A8" s="6" t="s">
        <v>127</v>
      </c>
      <c r="B8" s="6" t="s">
        <v>196</v>
      </c>
      <c r="C8" s="6" t="s">
        <v>197</v>
      </c>
      <c r="D8" s="6" t="s">
        <v>212</v>
      </c>
      <c r="E8" s="6" t="s">
        <v>213</v>
      </c>
      <c r="F8" s="6" t="s">
        <v>206</v>
      </c>
      <c r="G8" s="23">
        <v>45679</v>
      </c>
      <c r="H8" s="23">
        <v>45680</v>
      </c>
    </row>
    <row r="9" spans="1:8" x14ac:dyDescent="0.3">
      <c r="A9" s="6" t="s">
        <v>113</v>
      </c>
      <c r="B9" s="6" t="s">
        <v>196</v>
      </c>
      <c r="C9" s="6" t="s">
        <v>197</v>
      </c>
      <c r="D9" s="6" t="s">
        <v>214</v>
      </c>
      <c r="E9" s="6" t="s">
        <v>215</v>
      </c>
      <c r="F9" s="6" t="s">
        <v>216</v>
      </c>
      <c r="G9" s="23">
        <v>45680</v>
      </c>
      <c r="H9" s="23">
        <v>45682</v>
      </c>
    </row>
    <row r="10" spans="1:8" x14ac:dyDescent="0.3">
      <c r="A10" s="6" t="s">
        <v>113</v>
      </c>
      <c r="B10" s="6" t="s">
        <v>196</v>
      </c>
      <c r="C10" s="6" t="s">
        <v>197</v>
      </c>
      <c r="D10" s="6" t="s">
        <v>217</v>
      </c>
      <c r="E10" s="6" t="s">
        <v>218</v>
      </c>
      <c r="F10" s="6" t="s">
        <v>206</v>
      </c>
      <c r="G10" s="23">
        <v>45691</v>
      </c>
      <c r="H10" s="23">
        <v>45695</v>
      </c>
    </row>
    <row r="11" spans="1:8" x14ac:dyDescent="0.3">
      <c r="A11" s="6" t="s">
        <v>105</v>
      </c>
      <c r="B11" s="6" t="s">
        <v>196</v>
      </c>
      <c r="C11" s="6" t="s">
        <v>197</v>
      </c>
      <c r="D11" s="6" t="s">
        <v>217</v>
      </c>
      <c r="E11" s="6" t="s">
        <v>218</v>
      </c>
      <c r="F11" s="6" t="s">
        <v>206</v>
      </c>
      <c r="G11" s="23">
        <v>45691</v>
      </c>
      <c r="H11" s="23">
        <v>45695</v>
      </c>
    </row>
    <row r="12" spans="1:8" x14ac:dyDescent="0.3">
      <c r="A12" s="6" t="s">
        <v>113</v>
      </c>
      <c r="B12" s="6" t="s">
        <v>196</v>
      </c>
      <c r="C12" s="6" t="s">
        <v>197</v>
      </c>
      <c r="D12" s="6" t="s">
        <v>219</v>
      </c>
      <c r="E12" s="6" t="s">
        <v>218</v>
      </c>
      <c r="F12" s="6" t="s">
        <v>206</v>
      </c>
      <c r="G12" s="23">
        <v>45691</v>
      </c>
      <c r="H12" s="23">
        <v>45695</v>
      </c>
    </row>
    <row r="13" spans="1:8" x14ac:dyDescent="0.3">
      <c r="A13" s="6" t="s">
        <v>105</v>
      </c>
      <c r="B13" s="6" t="s">
        <v>196</v>
      </c>
      <c r="C13" s="6" t="s">
        <v>197</v>
      </c>
      <c r="D13" s="6" t="s">
        <v>219</v>
      </c>
      <c r="E13" s="6" t="s">
        <v>218</v>
      </c>
      <c r="F13" s="6" t="s">
        <v>206</v>
      </c>
      <c r="G13" s="23">
        <v>45691</v>
      </c>
      <c r="H13" s="23">
        <v>45695</v>
      </c>
    </row>
    <row r="14" spans="1:8" x14ac:dyDescent="0.3">
      <c r="A14" s="6" t="s">
        <v>139</v>
      </c>
      <c r="B14" s="6" t="s">
        <v>220</v>
      </c>
      <c r="C14" s="6" t="s">
        <v>200</v>
      </c>
      <c r="D14" s="6" t="s">
        <v>221</v>
      </c>
      <c r="E14" s="6" t="s">
        <v>222</v>
      </c>
      <c r="F14" s="6" t="s">
        <v>223</v>
      </c>
      <c r="G14" s="23">
        <v>45694</v>
      </c>
      <c r="H14" s="23">
        <v>45694</v>
      </c>
    </row>
    <row r="15" spans="1:8" x14ac:dyDescent="0.3">
      <c r="A15" s="6" t="s">
        <v>92</v>
      </c>
      <c r="B15" s="6" t="s">
        <v>220</v>
      </c>
      <c r="C15" s="6" t="s">
        <v>200</v>
      </c>
      <c r="D15" s="6" t="s">
        <v>180</v>
      </c>
      <c r="E15" s="6" t="s">
        <v>224</v>
      </c>
      <c r="F15" s="6" t="s">
        <v>223</v>
      </c>
      <c r="G15" s="23">
        <v>45700</v>
      </c>
      <c r="H15" s="23">
        <v>45700</v>
      </c>
    </row>
    <row r="16" spans="1:8" x14ac:dyDescent="0.3">
      <c r="A16" s="6" t="s">
        <v>97</v>
      </c>
      <c r="B16" s="6" t="s">
        <v>191</v>
      </c>
      <c r="C16" s="6" t="s">
        <v>200</v>
      </c>
      <c r="D16" s="6" t="s">
        <v>225</v>
      </c>
      <c r="E16" s="6" t="s">
        <v>226</v>
      </c>
      <c r="F16" s="6" t="s">
        <v>223</v>
      </c>
      <c r="G16" s="23">
        <v>45705</v>
      </c>
      <c r="H16" s="23">
        <v>45707</v>
      </c>
    </row>
    <row r="17" spans="1:8" x14ac:dyDescent="0.3">
      <c r="A17" s="6" t="s">
        <v>139</v>
      </c>
      <c r="B17" s="6" t="s">
        <v>227</v>
      </c>
      <c r="C17" s="6" t="s">
        <v>200</v>
      </c>
      <c r="D17" s="6" t="s">
        <v>228</v>
      </c>
      <c r="E17" s="6" t="s">
        <v>229</v>
      </c>
      <c r="F17" s="6" t="s">
        <v>223</v>
      </c>
      <c r="G17" s="23">
        <v>45705</v>
      </c>
      <c r="H17" s="23">
        <v>45705</v>
      </c>
    </row>
    <row r="18" spans="1:8" x14ac:dyDescent="0.3">
      <c r="A18" s="6" t="s">
        <v>92</v>
      </c>
      <c r="B18" s="6" t="s">
        <v>191</v>
      </c>
      <c r="C18" s="6" t="s">
        <v>200</v>
      </c>
      <c r="D18" s="6" t="s">
        <v>230</v>
      </c>
      <c r="E18" s="6" t="s">
        <v>231</v>
      </c>
      <c r="F18" s="6" t="s">
        <v>223</v>
      </c>
      <c r="G18" s="23">
        <v>45705</v>
      </c>
      <c r="H18" s="23">
        <v>45706</v>
      </c>
    </row>
    <row r="19" spans="1:8" x14ac:dyDescent="0.3">
      <c r="A19" s="6" t="s">
        <v>118</v>
      </c>
      <c r="B19" s="6" t="s">
        <v>196</v>
      </c>
      <c r="C19" s="6" t="s">
        <v>200</v>
      </c>
      <c r="D19" s="6" t="s">
        <v>232</v>
      </c>
      <c r="E19" s="6" t="s">
        <v>233</v>
      </c>
      <c r="F19" s="6" t="s">
        <v>223</v>
      </c>
      <c r="G19" s="23">
        <v>45707</v>
      </c>
      <c r="H19" s="23">
        <v>45708</v>
      </c>
    </row>
    <row r="20" spans="1:8" x14ac:dyDescent="0.3">
      <c r="A20" s="6" t="s">
        <v>156</v>
      </c>
      <c r="B20" s="6" t="s">
        <v>227</v>
      </c>
      <c r="C20" s="6" t="s">
        <v>197</v>
      </c>
      <c r="D20" s="6" t="s">
        <v>234</v>
      </c>
      <c r="E20" s="6" t="s">
        <v>235</v>
      </c>
      <c r="F20" s="6" t="s">
        <v>223</v>
      </c>
      <c r="G20" s="23">
        <v>45720</v>
      </c>
      <c r="H20" s="23">
        <v>45721</v>
      </c>
    </row>
    <row r="21" spans="1:8" x14ac:dyDescent="0.3">
      <c r="A21" s="6" t="s">
        <v>105</v>
      </c>
      <c r="B21" s="6" t="s">
        <v>227</v>
      </c>
      <c r="C21" s="6" t="s">
        <v>197</v>
      </c>
      <c r="D21" s="6" t="s">
        <v>234</v>
      </c>
      <c r="E21" s="6" t="s">
        <v>235</v>
      </c>
      <c r="F21" s="6" t="s">
        <v>223</v>
      </c>
      <c r="G21" s="23">
        <v>45720</v>
      </c>
      <c r="H21" s="23">
        <v>45721</v>
      </c>
    </row>
    <row r="22" spans="1:8" x14ac:dyDescent="0.3">
      <c r="A22" s="6" t="s">
        <v>156</v>
      </c>
      <c r="B22" s="6" t="s">
        <v>220</v>
      </c>
      <c r="C22" s="6" t="s">
        <v>236</v>
      </c>
      <c r="D22" s="6" t="s">
        <v>237</v>
      </c>
      <c r="E22" s="6" t="s">
        <v>238</v>
      </c>
      <c r="F22" s="6" t="s">
        <v>239</v>
      </c>
      <c r="G22" s="23">
        <v>45725</v>
      </c>
      <c r="H22" s="23">
        <v>45732</v>
      </c>
    </row>
    <row r="23" spans="1:8" x14ac:dyDescent="0.3">
      <c r="A23" s="6" t="s">
        <v>156</v>
      </c>
      <c r="B23" s="6" t="s">
        <v>220</v>
      </c>
      <c r="C23" s="6" t="s">
        <v>240</v>
      </c>
      <c r="D23" s="6" t="s">
        <v>237</v>
      </c>
      <c r="E23" s="6" t="s">
        <v>238</v>
      </c>
      <c r="F23" s="6" t="s">
        <v>239</v>
      </c>
      <c r="G23" s="23">
        <v>45725</v>
      </c>
      <c r="H23" s="23">
        <v>45732</v>
      </c>
    </row>
    <row r="24" spans="1:8" x14ac:dyDescent="0.3">
      <c r="A24" s="6" t="s">
        <v>97</v>
      </c>
      <c r="B24" s="6" t="s">
        <v>191</v>
      </c>
      <c r="C24" s="6" t="s">
        <v>197</v>
      </c>
      <c r="D24" s="6" t="s">
        <v>241</v>
      </c>
      <c r="E24" s="6" t="s">
        <v>242</v>
      </c>
      <c r="F24" s="6" t="s">
        <v>195</v>
      </c>
      <c r="G24" s="23">
        <v>45733</v>
      </c>
      <c r="H24" s="23">
        <v>45736</v>
      </c>
    </row>
    <row r="25" spans="1:8" x14ac:dyDescent="0.3">
      <c r="A25" s="6" t="s">
        <v>113</v>
      </c>
      <c r="B25" s="6" t="s">
        <v>196</v>
      </c>
      <c r="C25" s="6" t="s">
        <v>197</v>
      </c>
      <c r="D25" s="6" t="s">
        <v>243</v>
      </c>
      <c r="E25" s="6" t="s">
        <v>244</v>
      </c>
      <c r="F25" s="6" t="s">
        <v>245</v>
      </c>
      <c r="G25" s="23">
        <v>45740</v>
      </c>
      <c r="H25" s="23">
        <v>45742</v>
      </c>
    </row>
    <row r="26" spans="1:8" x14ac:dyDescent="0.3">
      <c r="A26" s="6" t="s">
        <v>105</v>
      </c>
      <c r="B26" s="6" t="s">
        <v>196</v>
      </c>
      <c r="C26" s="6" t="s">
        <v>197</v>
      </c>
      <c r="D26" s="6" t="s">
        <v>243</v>
      </c>
      <c r="E26" s="6" t="s">
        <v>244</v>
      </c>
      <c r="F26" s="6" t="s">
        <v>245</v>
      </c>
      <c r="G26" s="23">
        <v>45740</v>
      </c>
      <c r="H26" s="23">
        <v>45742</v>
      </c>
    </row>
    <row r="27" spans="1:8" x14ac:dyDescent="0.3">
      <c r="A27" s="6" t="s">
        <v>113</v>
      </c>
      <c r="B27" s="6" t="s">
        <v>220</v>
      </c>
      <c r="C27" s="6" t="s">
        <v>197</v>
      </c>
      <c r="D27" s="6" t="s">
        <v>246</v>
      </c>
      <c r="E27" s="6" t="s">
        <v>199</v>
      </c>
      <c r="F27" s="6" t="s">
        <v>195</v>
      </c>
      <c r="G27" s="23">
        <v>45743</v>
      </c>
      <c r="H27" s="23">
        <v>45744</v>
      </c>
    </row>
    <row r="28" spans="1:8" x14ac:dyDescent="0.3">
      <c r="A28" s="6" t="s">
        <v>105</v>
      </c>
      <c r="B28" s="6" t="s">
        <v>220</v>
      </c>
      <c r="C28" s="6" t="s">
        <v>197</v>
      </c>
      <c r="D28" s="6" t="s">
        <v>246</v>
      </c>
      <c r="E28" s="6" t="s">
        <v>199</v>
      </c>
      <c r="F28" s="6" t="s">
        <v>195</v>
      </c>
      <c r="G28" s="23">
        <v>45743</v>
      </c>
      <c r="H28" s="23">
        <v>45744</v>
      </c>
    </row>
    <row r="29" spans="1:8" x14ac:dyDescent="0.3">
      <c r="A29" s="6" t="s">
        <v>92</v>
      </c>
      <c r="B29" s="6" t="s">
        <v>247</v>
      </c>
      <c r="C29" s="6" t="s">
        <v>200</v>
      </c>
      <c r="D29" s="6" t="s">
        <v>248</v>
      </c>
      <c r="E29" s="6" t="s">
        <v>249</v>
      </c>
      <c r="F29" s="6" t="s">
        <v>223</v>
      </c>
      <c r="G29" s="23">
        <v>45750</v>
      </c>
      <c r="H29" s="23">
        <v>45751</v>
      </c>
    </row>
    <row r="30" spans="1:8" x14ac:dyDescent="0.3">
      <c r="A30" s="6" t="s">
        <v>113</v>
      </c>
      <c r="B30" s="6" t="s">
        <v>196</v>
      </c>
      <c r="C30" s="6" t="s">
        <v>197</v>
      </c>
      <c r="D30" s="6" t="s">
        <v>243</v>
      </c>
      <c r="E30" s="6" t="s">
        <v>250</v>
      </c>
      <c r="F30" s="6" t="s">
        <v>251</v>
      </c>
      <c r="G30" s="23">
        <v>45754</v>
      </c>
      <c r="H30" s="23">
        <v>45757</v>
      </c>
    </row>
    <row r="31" spans="1:8" x14ac:dyDescent="0.3">
      <c r="A31" s="6" t="s">
        <v>105</v>
      </c>
      <c r="B31" s="6" t="s">
        <v>196</v>
      </c>
      <c r="C31" s="6" t="s">
        <v>197</v>
      </c>
      <c r="D31" s="6" t="s">
        <v>243</v>
      </c>
      <c r="E31" s="6" t="s">
        <v>250</v>
      </c>
      <c r="F31" s="6" t="s">
        <v>251</v>
      </c>
      <c r="G31" s="23">
        <v>45754</v>
      </c>
      <c r="H31" s="23">
        <v>45757</v>
      </c>
    </row>
    <row r="32" spans="1:8" x14ac:dyDescent="0.3">
      <c r="A32" s="6" t="s">
        <v>133</v>
      </c>
      <c r="B32" s="6" t="s">
        <v>247</v>
      </c>
      <c r="C32" s="6" t="s">
        <v>197</v>
      </c>
      <c r="D32" s="6" t="s">
        <v>252</v>
      </c>
      <c r="E32" s="6" t="s">
        <v>253</v>
      </c>
      <c r="F32" s="6" t="s">
        <v>245</v>
      </c>
      <c r="G32" s="23">
        <v>45760</v>
      </c>
      <c r="H32" s="23">
        <v>45763</v>
      </c>
    </row>
    <row r="33" spans="1:8" x14ac:dyDescent="0.3">
      <c r="A33" s="6" t="s">
        <v>97</v>
      </c>
      <c r="B33" s="6" t="s">
        <v>191</v>
      </c>
      <c r="C33" s="6" t="s">
        <v>200</v>
      </c>
      <c r="D33" s="6" t="s">
        <v>254</v>
      </c>
      <c r="E33" s="6" t="s">
        <v>226</v>
      </c>
      <c r="F33" s="6" t="s">
        <v>223</v>
      </c>
      <c r="G33" s="23">
        <v>45760</v>
      </c>
      <c r="H33" s="23">
        <v>45765</v>
      </c>
    </row>
    <row r="34" spans="1:8" x14ac:dyDescent="0.3">
      <c r="A34" s="6" t="s">
        <v>92</v>
      </c>
      <c r="B34" s="6" t="s">
        <v>247</v>
      </c>
      <c r="C34" s="6" t="s">
        <v>200</v>
      </c>
      <c r="D34" s="6" t="s">
        <v>255</v>
      </c>
      <c r="E34" s="6" t="s">
        <v>256</v>
      </c>
      <c r="F34" s="6" t="s">
        <v>223</v>
      </c>
      <c r="G34" s="23">
        <v>45768</v>
      </c>
      <c r="H34" s="23">
        <v>45768</v>
      </c>
    </row>
    <row r="35" spans="1:8" x14ac:dyDescent="0.3">
      <c r="A35" s="6" t="s">
        <v>105</v>
      </c>
      <c r="B35" s="6" t="s">
        <v>227</v>
      </c>
      <c r="C35" s="6" t="s">
        <v>197</v>
      </c>
      <c r="D35" s="6" t="s">
        <v>257</v>
      </c>
      <c r="E35" s="6" t="s">
        <v>258</v>
      </c>
      <c r="F35" s="6" t="s">
        <v>195</v>
      </c>
      <c r="G35" s="23">
        <v>45768</v>
      </c>
      <c r="H35" s="23">
        <v>45771</v>
      </c>
    </row>
    <row r="36" spans="1:8" x14ac:dyDescent="0.3">
      <c r="A36" s="6" t="s">
        <v>82</v>
      </c>
      <c r="B36" s="6" t="s">
        <v>259</v>
      </c>
      <c r="C36" s="6" t="s">
        <v>77</v>
      </c>
      <c r="D36" s="6" t="s">
        <v>260</v>
      </c>
      <c r="E36" s="6" t="s">
        <v>261</v>
      </c>
      <c r="F36" s="6" t="s">
        <v>223</v>
      </c>
      <c r="G36" s="23">
        <v>45771</v>
      </c>
      <c r="H36" s="23">
        <v>45772</v>
      </c>
    </row>
    <row r="37" spans="1:8" x14ac:dyDescent="0.3">
      <c r="A37" s="6" t="s">
        <v>92</v>
      </c>
      <c r="B37" s="6" t="s">
        <v>191</v>
      </c>
      <c r="C37" s="6" t="s">
        <v>200</v>
      </c>
      <c r="D37" s="6" t="s">
        <v>262</v>
      </c>
      <c r="E37" s="6" t="s">
        <v>263</v>
      </c>
      <c r="F37" s="6" t="s">
        <v>223</v>
      </c>
      <c r="G37" s="23">
        <v>45775</v>
      </c>
      <c r="H37" s="23">
        <v>45776</v>
      </c>
    </row>
    <row r="38" spans="1:8" x14ac:dyDescent="0.3">
      <c r="A38" s="6" t="s">
        <v>139</v>
      </c>
      <c r="B38" s="6" t="s">
        <v>196</v>
      </c>
      <c r="C38" s="6" t="s">
        <v>200</v>
      </c>
      <c r="D38" s="6" t="s">
        <v>232</v>
      </c>
      <c r="E38" s="6" t="s">
        <v>264</v>
      </c>
      <c r="F38" s="6" t="s">
        <v>223</v>
      </c>
      <c r="G38" s="23">
        <v>45785</v>
      </c>
      <c r="H38" s="23">
        <v>45786</v>
      </c>
    </row>
    <row r="39" spans="1:8" x14ac:dyDescent="0.3">
      <c r="A39" s="6" t="s">
        <v>139</v>
      </c>
      <c r="B39" s="6" t="s">
        <v>220</v>
      </c>
      <c r="C39" s="6" t="s">
        <v>200</v>
      </c>
      <c r="D39" s="6" t="s">
        <v>265</v>
      </c>
      <c r="E39" s="6" t="s">
        <v>266</v>
      </c>
      <c r="F39" s="6" t="s">
        <v>223</v>
      </c>
      <c r="G39" s="23">
        <v>45806</v>
      </c>
      <c r="H39" s="23">
        <v>45806</v>
      </c>
    </row>
    <row r="40" spans="1:8" x14ac:dyDescent="0.3">
      <c r="A40" s="6" t="s">
        <v>105</v>
      </c>
      <c r="B40" s="6" t="s">
        <v>227</v>
      </c>
      <c r="C40" s="6" t="s">
        <v>197</v>
      </c>
      <c r="D40" s="6" t="s">
        <v>267</v>
      </c>
      <c r="E40" s="6" t="s">
        <v>268</v>
      </c>
      <c r="F40" s="6" t="s">
        <v>206</v>
      </c>
      <c r="G40" s="23">
        <v>45790</v>
      </c>
      <c r="H40" s="23">
        <v>45799</v>
      </c>
    </row>
    <row r="41" spans="1:8" x14ac:dyDescent="0.3">
      <c r="A41" s="6" t="s">
        <v>113</v>
      </c>
      <c r="B41" s="6" t="s">
        <v>196</v>
      </c>
      <c r="C41" s="6" t="s">
        <v>197</v>
      </c>
      <c r="D41" s="6" t="s">
        <v>269</v>
      </c>
      <c r="E41" s="6" t="s">
        <v>270</v>
      </c>
      <c r="F41" s="6" t="s">
        <v>195</v>
      </c>
      <c r="G41" s="23">
        <v>45797</v>
      </c>
      <c r="H41" s="23">
        <v>45799</v>
      </c>
    </row>
    <row r="42" spans="1:8" x14ac:dyDescent="0.3">
      <c r="A42" s="6" t="s">
        <v>133</v>
      </c>
      <c r="B42" s="6" t="s">
        <v>191</v>
      </c>
      <c r="C42" s="6" t="s">
        <v>197</v>
      </c>
      <c r="D42" s="6" t="s">
        <v>271</v>
      </c>
      <c r="E42" s="6" t="s">
        <v>272</v>
      </c>
      <c r="F42" s="6" t="s">
        <v>273</v>
      </c>
      <c r="G42" s="23">
        <v>45823</v>
      </c>
      <c r="H42" s="23">
        <v>45825</v>
      </c>
    </row>
    <row r="43" spans="1:8" x14ac:dyDescent="0.3">
      <c r="A43" s="6" t="s">
        <v>92</v>
      </c>
      <c r="B43" s="6" t="s">
        <v>196</v>
      </c>
      <c r="C43" s="6" t="s">
        <v>200</v>
      </c>
      <c r="D43" s="6" t="s">
        <v>274</v>
      </c>
      <c r="E43" s="6" t="s">
        <v>256</v>
      </c>
      <c r="F43" s="6" t="s">
        <v>223</v>
      </c>
      <c r="G43" s="23">
        <v>45818</v>
      </c>
      <c r="H43" s="23">
        <v>45818</v>
      </c>
    </row>
    <row r="44" spans="1:8" x14ac:dyDescent="0.3">
      <c r="A44" s="6" t="s">
        <v>133</v>
      </c>
      <c r="B44" s="6" t="s">
        <v>247</v>
      </c>
      <c r="C44" s="6" t="s">
        <v>197</v>
      </c>
      <c r="D44" s="6" t="s">
        <v>275</v>
      </c>
      <c r="E44" s="6" t="s">
        <v>276</v>
      </c>
      <c r="F44" s="6" t="s">
        <v>223</v>
      </c>
      <c r="G44" s="23">
        <v>45853</v>
      </c>
      <c r="H44" s="23">
        <v>45853</v>
      </c>
    </row>
    <row r="45" spans="1:8" x14ac:dyDescent="0.3">
      <c r="A45" s="6" t="s">
        <v>133</v>
      </c>
      <c r="B45" s="6" t="s">
        <v>277</v>
      </c>
      <c r="C45" s="6" t="s">
        <v>197</v>
      </c>
      <c r="D45" s="6" t="s">
        <v>275</v>
      </c>
      <c r="E45" s="6" t="s">
        <v>278</v>
      </c>
      <c r="F45" s="6" t="s">
        <v>223</v>
      </c>
      <c r="G45" s="23">
        <v>45867</v>
      </c>
      <c r="H45" s="23">
        <v>45867</v>
      </c>
    </row>
    <row r="46" spans="1:8" x14ac:dyDescent="0.3">
      <c r="A46" s="6" t="s">
        <v>124</v>
      </c>
      <c r="B46" s="6" t="s">
        <v>227</v>
      </c>
      <c r="C46" s="6" t="s">
        <v>197</v>
      </c>
      <c r="D46" s="6" t="s">
        <v>279</v>
      </c>
      <c r="E46" s="6" t="s">
        <v>280</v>
      </c>
      <c r="F46" s="6" t="s">
        <v>223</v>
      </c>
      <c r="G46" s="23">
        <v>45869</v>
      </c>
      <c r="H46" s="23">
        <v>45870</v>
      </c>
    </row>
    <row r="47" spans="1:8" x14ac:dyDescent="0.3">
      <c r="A47" s="6" t="s">
        <v>139</v>
      </c>
      <c r="B47" s="6" t="s">
        <v>191</v>
      </c>
      <c r="C47" s="6" t="s">
        <v>200</v>
      </c>
      <c r="D47" s="6" t="s">
        <v>281</v>
      </c>
      <c r="E47" s="6" t="s">
        <v>282</v>
      </c>
      <c r="F47" s="6" t="s">
        <v>223</v>
      </c>
      <c r="G47" s="23">
        <v>45853</v>
      </c>
      <c r="H47" s="23">
        <v>45853</v>
      </c>
    </row>
    <row r="48" spans="1:8" x14ac:dyDescent="0.3">
      <c r="A48" s="6" t="s">
        <v>139</v>
      </c>
      <c r="B48" s="6" t="s">
        <v>191</v>
      </c>
      <c r="C48" s="6" t="s">
        <v>200</v>
      </c>
      <c r="D48" s="6" t="s">
        <v>228</v>
      </c>
      <c r="E48" s="6" t="s">
        <v>283</v>
      </c>
      <c r="F48" s="6" t="s">
        <v>223</v>
      </c>
      <c r="G48" s="23">
        <v>45863</v>
      </c>
      <c r="H48" s="23">
        <v>45866</v>
      </c>
    </row>
    <row r="49" spans="1:8" x14ac:dyDescent="0.3">
      <c r="A49" s="6" t="s">
        <v>97</v>
      </c>
      <c r="B49" s="6" t="s">
        <v>247</v>
      </c>
      <c r="C49" s="6" t="s">
        <v>197</v>
      </c>
      <c r="D49" s="6" t="s">
        <v>284</v>
      </c>
      <c r="E49" s="6" t="s">
        <v>285</v>
      </c>
      <c r="F49" s="6" t="s">
        <v>206</v>
      </c>
      <c r="G49" s="23">
        <v>45877</v>
      </c>
      <c r="H49" s="23">
        <v>45881</v>
      </c>
    </row>
    <row r="50" spans="1:8" x14ac:dyDescent="0.3">
      <c r="A50" s="6" t="s">
        <v>97</v>
      </c>
      <c r="B50" s="6" t="s">
        <v>247</v>
      </c>
      <c r="C50" s="6" t="s">
        <v>197</v>
      </c>
      <c r="D50" s="6" t="s">
        <v>286</v>
      </c>
      <c r="E50" s="6" t="s">
        <v>287</v>
      </c>
      <c r="F50" s="6" t="s">
        <v>206</v>
      </c>
      <c r="G50" s="23">
        <v>45882</v>
      </c>
      <c r="H50" s="23">
        <v>45885</v>
      </c>
    </row>
    <row r="51" spans="1:8" x14ac:dyDescent="0.3">
      <c r="A51" s="6" t="s">
        <v>133</v>
      </c>
      <c r="B51" s="6" t="s">
        <v>227</v>
      </c>
      <c r="C51" s="6" t="s">
        <v>197</v>
      </c>
      <c r="D51" s="6" t="s">
        <v>288</v>
      </c>
      <c r="E51" s="6" t="s">
        <v>289</v>
      </c>
      <c r="F51" s="6" t="s">
        <v>223</v>
      </c>
      <c r="G51" s="23">
        <v>45881</v>
      </c>
      <c r="H51" s="23">
        <v>45881</v>
      </c>
    </row>
    <row r="52" spans="1:8" x14ac:dyDescent="0.3">
      <c r="A52" s="6" t="s">
        <v>133</v>
      </c>
      <c r="B52" s="6" t="s">
        <v>247</v>
      </c>
      <c r="C52" s="6" t="s">
        <v>197</v>
      </c>
      <c r="D52" s="6" t="s">
        <v>275</v>
      </c>
      <c r="E52" s="6" t="s">
        <v>278</v>
      </c>
      <c r="F52" s="6" t="s">
        <v>223</v>
      </c>
      <c r="G52" s="23">
        <v>45889</v>
      </c>
      <c r="H52" s="23">
        <v>45889</v>
      </c>
    </row>
    <row r="53" spans="1:8" x14ac:dyDescent="0.3">
      <c r="A53" s="6" t="s">
        <v>133</v>
      </c>
      <c r="B53" s="6" t="s">
        <v>191</v>
      </c>
      <c r="C53" s="6" t="s">
        <v>197</v>
      </c>
      <c r="D53" s="6" t="s">
        <v>275</v>
      </c>
      <c r="E53" s="6" t="s">
        <v>278</v>
      </c>
      <c r="F53" s="6" t="s">
        <v>223</v>
      </c>
      <c r="G53" s="23">
        <v>45901</v>
      </c>
      <c r="H53" s="23">
        <v>45902</v>
      </c>
    </row>
    <row r="54" spans="1:8" x14ac:dyDescent="0.3">
      <c r="A54" s="6" t="s">
        <v>133</v>
      </c>
      <c r="B54" s="6" t="s">
        <v>247</v>
      </c>
      <c r="C54" s="6" t="s">
        <v>197</v>
      </c>
      <c r="D54" s="6" t="s">
        <v>275</v>
      </c>
      <c r="E54" s="6" t="s">
        <v>278</v>
      </c>
      <c r="F54" s="6" t="s">
        <v>223</v>
      </c>
      <c r="G54" s="23">
        <v>45904</v>
      </c>
      <c r="H54" s="23">
        <v>45904</v>
      </c>
    </row>
    <row r="55" spans="1:8" x14ac:dyDescent="0.3">
      <c r="A55" s="6" t="s">
        <v>113</v>
      </c>
      <c r="B55" s="6" t="s">
        <v>247</v>
      </c>
      <c r="C55" s="6" t="s">
        <v>197</v>
      </c>
      <c r="D55" s="6" t="s">
        <v>290</v>
      </c>
      <c r="E55" s="6" t="s">
        <v>291</v>
      </c>
      <c r="F55" s="6" t="s">
        <v>195</v>
      </c>
      <c r="G55" s="23">
        <v>45902</v>
      </c>
      <c r="H55" s="23">
        <v>45904</v>
      </c>
    </row>
    <row r="56" spans="1:8" x14ac:dyDescent="0.3">
      <c r="A56" s="6" t="s">
        <v>133</v>
      </c>
      <c r="B56" s="6" t="s">
        <v>191</v>
      </c>
      <c r="C56" s="6" t="s">
        <v>197</v>
      </c>
      <c r="D56" s="6" t="s">
        <v>275</v>
      </c>
      <c r="E56" s="6" t="s">
        <v>278</v>
      </c>
      <c r="F56" s="6" t="s">
        <v>223</v>
      </c>
      <c r="G56" s="23">
        <v>45908</v>
      </c>
      <c r="H56" s="23">
        <v>45909</v>
      </c>
    </row>
    <row r="57" spans="1:8" x14ac:dyDescent="0.3">
      <c r="A57" s="6" t="s">
        <v>97</v>
      </c>
      <c r="B57" s="6" t="s">
        <v>220</v>
      </c>
      <c r="C57" s="6" t="s">
        <v>200</v>
      </c>
      <c r="D57" s="6" t="s">
        <v>292</v>
      </c>
      <c r="E57" s="6" t="s">
        <v>293</v>
      </c>
      <c r="F57" s="6" t="s">
        <v>223</v>
      </c>
      <c r="G57" s="23">
        <v>45924</v>
      </c>
      <c r="H57" s="23">
        <v>45924</v>
      </c>
    </row>
    <row r="58" spans="1:8" x14ac:dyDescent="0.3">
      <c r="A58" s="6" t="s">
        <v>133</v>
      </c>
      <c r="B58" s="6" t="s">
        <v>247</v>
      </c>
      <c r="C58" s="6" t="s">
        <v>197</v>
      </c>
      <c r="D58" s="6" t="s">
        <v>275</v>
      </c>
      <c r="E58" s="6" t="s">
        <v>278</v>
      </c>
      <c r="F58" s="6" t="s">
        <v>223</v>
      </c>
      <c r="G58" s="23">
        <v>45926</v>
      </c>
      <c r="H58" s="23">
        <v>45926</v>
      </c>
    </row>
    <row r="59" spans="1:8" x14ac:dyDescent="0.3">
      <c r="A59" s="6" t="s">
        <v>133</v>
      </c>
      <c r="B59" s="6" t="s">
        <v>247</v>
      </c>
      <c r="C59" s="6" t="s">
        <v>197</v>
      </c>
      <c r="D59" s="6" t="s">
        <v>275</v>
      </c>
      <c r="E59" s="6" t="s">
        <v>278</v>
      </c>
      <c r="F59" s="6" t="s">
        <v>223</v>
      </c>
      <c r="G59" s="23">
        <v>45930</v>
      </c>
      <c r="H59" s="23">
        <v>45930</v>
      </c>
    </row>
    <row r="60" spans="1:8" x14ac:dyDescent="0.3">
      <c r="A60" s="6" t="s">
        <v>133</v>
      </c>
      <c r="B60" s="6" t="s">
        <v>191</v>
      </c>
      <c r="C60" s="6" t="s">
        <v>197</v>
      </c>
      <c r="D60" s="6" t="s">
        <v>275</v>
      </c>
      <c r="E60" s="6" t="s">
        <v>278</v>
      </c>
      <c r="F60" s="6" t="s">
        <v>223</v>
      </c>
      <c r="G60" s="23">
        <v>45943</v>
      </c>
      <c r="H60" s="23">
        <v>45944</v>
      </c>
    </row>
    <row r="61" spans="1:8" x14ac:dyDescent="0.3">
      <c r="A61" s="6" t="s">
        <v>82</v>
      </c>
      <c r="B61" s="6" t="s">
        <v>247</v>
      </c>
      <c r="C61" s="6" t="s">
        <v>197</v>
      </c>
      <c r="D61" s="6" t="s">
        <v>294</v>
      </c>
      <c r="E61" s="6" t="s">
        <v>295</v>
      </c>
      <c r="F61" s="6" t="s">
        <v>223</v>
      </c>
      <c r="G61" s="23">
        <v>45952</v>
      </c>
      <c r="H61" s="23">
        <v>45952</v>
      </c>
    </row>
    <row r="62" spans="1:8" x14ac:dyDescent="0.3">
      <c r="A62" s="6" t="s">
        <v>113</v>
      </c>
      <c r="B62" s="6" t="s">
        <v>247</v>
      </c>
      <c r="C62" s="6" t="s">
        <v>197</v>
      </c>
      <c r="D62" s="6" t="s">
        <v>296</v>
      </c>
      <c r="E62" s="6" t="s">
        <v>297</v>
      </c>
      <c r="F62" s="6" t="s">
        <v>223</v>
      </c>
      <c r="G62" s="23">
        <v>45954</v>
      </c>
      <c r="H62" s="23">
        <v>45954</v>
      </c>
    </row>
    <row r="63" spans="1:8" x14ac:dyDescent="0.3">
      <c r="A63" s="6" t="s">
        <v>133</v>
      </c>
      <c r="B63" s="6" t="s">
        <v>247</v>
      </c>
      <c r="C63" s="6" t="s">
        <v>197</v>
      </c>
      <c r="D63" s="6" t="s">
        <v>275</v>
      </c>
      <c r="E63" s="6" t="s">
        <v>278</v>
      </c>
      <c r="F63" s="6" t="s">
        <v>223</v>
      </c>
      <c r="G63" s="23">
        <v>45967</v>
      </c>
      <c r="H63" s="23">
        <v>45967</v>
      </c>
    </row>
    <row r="64" spans="1:8" x14ac:dyDescent="0.3">
      <c r="A64" s="6" t="s">
        <v>118</v>
      </c>
      <c r="B64" s="6" t="s">
        <v>298</v>
      </c>
      <c r="C64" s="6" t="s">
        <v>299</v>
      </c>
      <c r="D64" s="6" t="s">
        <v>300</v>
      </c>
      <c r="E64" s="6" t="s">
        <v>301</v>
      </c>
      <c r="F64" s="6" t="s">
        <v>223</v>
      </c>
      <c r="G64" s="23">
        <v>45946</v>
      </c>
      <c r="H64" s="23">
        <v>45947</v>
      </c>
    </row>
    <row r="65" spans="1:8" x14ac:dyDescent="0.3">
      <c r="A65" s="6" t="s">
        <v>118</v>
      </c>
      <c r="B65" s="6" t="s">
        <v>298</v>
      </c>
      <c r="C65" s="6" t="s">
        <v>299</v>
      </c>
      <c r="D65" s="6" t="s">
        <v>300</v>
      </c>
      <c r="E65" s="6" t="s">
        <v>301</v>
      </c>
      <c r="F65" s="6" t="s">
        <v>223</v>
      </c>
      <c r="G65" s="23">
        <v>45953</v>
      </c>
      <c r="H65" s="23">
        <v>45953</v>
      </c>
    </row>
    <row r="66" spans="1:8" x14ac:dyDescent="0.3">
      <c r="A66" s="6" t="s">
        <v>139</v>
      </c>
      <c r="B66" s="6" t="s">
        <v>196</v>
      </c>
      <c r="C66" s="6" t="s">
        <v>299</v>
      </c>
      <c r="D66" s="6" t="s">
        <v>302</v>
      </c>
      <c r="E66" s="6" t="s">
        <v>303</v>
      </c>
      <c r="F66" s="6" t="s">
        <v>195</v>
      </c>
      <c r="G66" s="23">
        <v>45965</v>
      </c>
      <c r="H66" s="23">
        <v>45968</v>
      </c>
    </row>
    <row r="67" spans="1:8" x14ac:dyDescent="0.3">
      <c r="A67" s="6" t="s">
        <v>118</v>
      </c>
      <c r="B67" s="6" t="s">
        <v>247</v>
      </c>
      <c r="C67" s="6" t="s">
        <v>197</v>
      </c>
      <c r="D67" s="6" t="s">
        <v>304</v>
      </c>
      <c r="E67" s="6" t="s">
        <v>305</v>
      </c>
      <c r="F67" s="6" t="s">
        <v>223</v>
      </c>
      <c r="G67" s="23">
        <v>45967</v>
      </c>
      <c r="H67" s="23">
        <v>45967</v>
      </c>
    </row>
    <row r="68" spans="1:8" x14ac:dyDescent="0.3">
      <c r="A68" s="6" t="s">
        <v>118</v>
      </c>
      <c r="B68" s="6" t="s">
        <v>247</v>
      </c>
      <c r="C68" s="6" t="s">
        <v>197</v>
      </c>
      <c r="D68" s="6" t="s">
        <v>306</v>
      </c>
      <c r="E68" s="6" t="s">
        <v>307</v>
      </c>
      <c r="F68" s="6" t="s">
        <v>223</v>
      </c>
      <c r="G68" s="23">
        <v>45978</v>
      </c>
      <c r="H68" s="23">
        <v>45978</v>
      </c>
    </row>
    <row r="69" spans="1:8" x14ac:dyDescent="0.3">
      <c r="A69" s="6" t="s">
        <v>133</v>
      </c>
      <c r="B69" s="6" t="s">
        <v>247</v>
      </c>
      <c r="C69" s="6" t="s">
        <v>197</v>
      </c>
      <c r="D69" s="6" t="s">
        <v>275</v>
      </c>
      <c r="E69" s="6" t="s">
        <v>278</v>
      </c>
      <c r="F69" s="6" t="s">
        <v>223</v>
      </c>
      <c r="G69" s="23">
        <v>45979</v>
      </c>
      <c r="H69" s="23">
        <v>45980</v>
      </c>
    </row>
    <row r="70" spans="1:8" x14ac:dyDescent="0.3">
      <c r="A70" s="6" t="s">
        <v>133</v>
      </c>
      <c r="B70" s="6" t="s">
        <v>247</v>
      </c>
      <c r="C70" s="6" t="s">
        <v>197</v>
      </c>
      <c r="D70" s="6" t="s">
        <v>275</v>
      </c>
      <c r="E70" s="6" t="s">
        <v>278</v>
      </c>
      <c r="F70" s="6" t="s">
        <v>223</v>
      </c>
      <c r="G70" s="23">
        <v>45982</v>
      </c>
      <c r="H70" s="23">
        <v>45982</v>
      </c>
    </row>
    <row r="71" spans="1:8" x14ac:dyDescent="0.3">
      <c r="A71" s="6" t="s">
        <v>118</v>
      </c>
      <c r="B71" s="6" t="s">
        <v>227</v>
      </c>
      <c r="C71" s="6" t="s">
        <v>308</v>
      </c>
      <c r="D71" s="6" t="s">
        <v>309</v>
      </c>
      <c r="E71" s="6" t="s">
        <v>310</v>
      </c>
      <c r="F71" s="6" t="s">
        <v>195</v>
      </c>
      <c r="G71" s="23">
        <v>45985</v>
      </c>
      <c r="H71" s="23">
        <v>45985</v>
      </c>
    </row>
    <row r="72" spans="1:8" x14ac:dyDescent="0.3">
      <c r="A72" s="6" t="s">
        <v>118</v>
      </c>
      <c r="B72" s="6" t="s">
        <v>227</v>
      </c>
      <c r="C72" s="6" t="s">
        <v>308</v>
      </c>
      <c r="D72" s="6" t="s">
        <v>309</v>
      </c>
      <c r="E72" s="6" t="s">
        <v>311</v>
      </c>
      <c r="F72" s="6" t="s">
        <v>195</v>
      </c>
      <c r="G72" s="23">
        <v>45986</v>
      </c>
      <c r="H72" s="23">
        <v>45986</v>
      </c>
    </row>
    <row r="73" spans="1:8" x14ac:dyDescent="0.3">
      <c r="A73" s="6" t="s">
        <v>118</v>
      </c>
      <c r="B73" s="6" t="s">
        <v>227</v>
      </c>
      <c r="C73" s="6" t="s">
        <v>308</v>
      </c>
      <c r="D73" s="6" t="s">
        <v>309</v>
      </c>
      <c r="E73" s="6" t="s">
        <v>312</v>
      </c>
      <c r="F73" s="6" t="s">
        <v>195</v>
      </c>
      <c r="G73" s="23">
        <v>45987</v>
      </c>
      <c r="H73" s="23">
        <v>45987</v>
      </c>
    </row>
    <row r="74" spans="1:8" x14ac:dyDescent="0.3">
      <c r="A74" s="6" t="s">
        <v>118</v>
      </c>
      <c r="B74" s="6" t="s">
        <v>227</v>
      </c>
      <c r="C74" s="6" t="s">
        <v>308</v>
      </c>
      <c r="D74" s="6" t="s">
        <v>306</v>
      </c>
      <c r="E74" s="6" t="s">
        <v>313</v>
      </c>
      <c r="F74" s="6" t="s">
        <v>195</v>
      </c>
      <c r="G74" s="23">
        <v>45988</v>
      </c>
      <c r="H74" s="23">
        <v>45988</v>
      </c>
    </row>
    <row r="75" spans="1:8" x14ac:dyDescent="0.3">
      <c r="A75" s="6" t="s">
        <v>118</v>
      </c>
      <c r="B75" s="6" t="s">
        <v>227</v>
      </c>
      <c r="C75" s="6" t="s">
        <v>308</v>
      </c>
      <c r="D75" s="6" t="s">
        <v>314</v>
      </c>
      <c r="E75" s="6" t="s">
        <v>315</v>
      </c>
      <c r="F75" s="6" t="s">
        <v>195</v>
      </c>
      <c r="G75" s="23">
        <v>45989</v>
      </c>
      <c r="H75" s="23">
        <v>45989</v>
      </c>
    </row>
    <row r="76" spans="1:8" x14ac:dyDescent="0.3">
      <c r="A76" s="6" t="s">
        <v>133</v>
      </c>
      <c r="B76" s="6" t="s">
        <v>247</v>
      </c>
      <c r="C76" s="6" t="s">
        <v>197</v>
      </c>
      <c r="D76" s="6" t="s">
        <v>275</v>
      </c>
      <c r="E76" s="6" t="s">
        <v>278</v>
      </c>
      <c r="F76" s="6" t="s">
        <v>223</v>
      </c>
      <c r="G76" s="23">
        <v>45987</v>
      </c>
      <c r="H76" s="23">
        <v>45988</v>
      </c>
    </row>
    <row r="77" spans="1:8" x14ac:dyDescent="0.3">
      <c r="A77" s="6" t="s">
        <v>141</v>
      </c>
      <c r="B77" s="6" t="s">
        <v>247</v>
      </c>
      <c r="C77" s="6" t="s">
        <v>197</v>
      </c>
      <c r="D77" s="6" t="s">
        <v>316</v>
      </c>
      <c r="E77" s="6" t="s">
        <v>176</v>
      </c>
      <c r="F77" s="6" t="s">
        <v>206</v>
      </c>
      <c r="G77" s="23">
        <v>45986</v>
      </c>
      <c r="H77" s="23">
        <v>46002</v>
      </c>
    </row>
    <row r="78" spans="1:8" x14ac:dyDescent="0.3">
      <c r="A78" s="6" t="s">
        <v>141</v>
      </c>
      <c r="B78" s="6" t="s">
        <v>247</v>
      </c>
      <c r="C78" s="6" t="s">
        <v>197</v>
      </c>
      <c r="D78" s="6" t="s">
        <v>317</v>
      </c>
      <c r="E78" s="6" t="s">
        <v>318</v>
      </c>
      <c r="F78" s="6" t="s">
        <v>206</v>
      </c>
      <c r="G78" s="23">
        <v>45992</v>
      </c>
      <c r="H78" s="23">
        <v>45992</v>
      </c>
    </row>
    <row r="79" spans="1:8" x14ac:dyDescent="0.3">
      <c r="A79" s="6" t="s">
        <v>141</v>
      </c>
      <c r="B79" s="6" t="s">
        <v>247</v>
      </c>
      <c r="C79" s="6" t="s">
        <v>197</v>
      </c>
      <c r="D79" s="6" t="s">
        <v>319</v>
      </c>
      <c r="E79" s="6" t="s">
        <v>320</v>
      </c>
      <c r="F79" s="6" t="s">
        <v>206</v>
      </c>
      <c r="G79" s="23">
        <v>45994</v>
      </c>
      <c r="H79" s="23">
        <v>45994</v>
      </c>
    </row>
    <row r="80" spans="1:8" x14ac:dyDescent="0.3">
      <c r="A80" s="6" t="s">
        <v>97</v>
      </c>
      <c r="B80" s="6" t="s">
        <v>247</v>
      </c>
      <c r="C80" s="6" t="s">
        <v>197</v>
      </c>
      <c r="D80" s="6" t="s">
        <v>321</v>
      </c>
      <c r="E80" s="6" t="s">
        <v>322</v>
      </c>
      <c r="F80" s="6" t="s">
        <v>273</v>
      </c>
      <c r="G80" s="23">
        <v>45998</v>
      </c>
      <c r="H80" s="23">
        <v>46001</v>
      </c>
    </row>
    <row r="81" spans="1:8" x14ac:dyDescent="0.3">
      <c r="A81" s="6" t="s">
        <v>127</v>
      </c>
      <c r="B81" s="6" t="s">
        <v>220</v>
      </c>
      <c r="C81" s="6" t="s">
        <v>197</v>
      </c>
      <c r="D81" s="6" t="s">
        <v>294</v>
      </c>
      <c r="E81" s="6" t="s">
        <v>295</v>
      </c>
      <c r="F81" s="6" t="s">
        <v>223</v>
      </c>
      <c r="G81" s="23">
        <v>46014</v>
      </c>
      <c r="H81" s="23">
        <v>46014</v>
      </c>
    </row>
    <row r="82" spans="1:8" x14ac:dyDescent="0.3">
      <c r="A82" s="6" t="s">
        <v>139</v>
      </c>
      <c r="B82" s="6" t="s">
        <v>220</v>
      </c>
      <c r="C82" s="6" t="s">
        <v>236</v>
      </c>
      <c r="D82" s="6" t="s">
        <v>237</v>
      </c>
      <c r="E82" s="6" t="s">
        <v>323</v>
      </c>
      <c r="F82" s="6" t="s">
        <v>239</v>
      </c>
      <c r="G82" s="23">
        <v>46042</v>
      </c>
      <c r="H82" s="23">
        <v>46059</v>
      </c>
    </row>
    <row r="83" spans="1:8" x14ac:dyDescent="0.3">
      <c r="A83" s="6" t="s">
        <v>127</v>
      </c>
      <c r="B83" s="6" t="s">
        <v>247</v>
      </c>
      <c r="C83" s="6" t="s">
        <v>197</v>
      </c>
      <c r="D83" s="6" t="s">
        <v>294</v>
      </c>
      <c r="E83" s="6" t="s">
        <v>295</v>
      </c>
      <c r="F83" s="6" t="s">
        <v>223</v>
      </c>
      <c r="G83" s="23">
        <v>46063</v>
      </c>
      <c r="H83" s="23">
        <v>46063</v>
      </c>
    </row>
    <row r="84" spans="1:8" x14ac:dyDescent="0.3">
      <c r="A84" s="6" t="s">
        <v>141</v>
      </c>
      <c r="B84" s="6" t="s">
        <v>191</v>
      </c>
      <c r="C84" s="6" t="s">
        <v>197</v>
      </c>
      <c r="D84" s="6" t="s">
        <v>324</v>
      </c>
      <c r="E84" s="6" t="s">
        <v>176</v>
      </c>
      <c r="F84" s="6" t="s">
        <v>206</v>
      </c>
      <c r="G84" s="23">
        <v>46076</v>
      </c>
      <c r="H84" s="23">
        <v>46090</v>
      </c>
    </row>
    <row r="85" spans="1:8" x14ac:dyDescent="0.3">
      <c r="A85" s="6" t="s">
        <v>124</v>
      </c>
      <c r="B85" s="6" t="s">
        <v>227</v>
      </c>
      <c r="C85" s="6" t="s">
        <v>197</v>
      </c>
      <c r="D85" s="6" t="s">
        <v>325</v>
      </c>
      <c r="E85" s="6" t="s">
        <v>326</v>
      </c>
      <c r="F85" s="6" t="s">
        <v>223</v>
      </c>
      <c r="G85" s="23">
        <v>46079</v>
      </c>
      <c r="H85" s="23">
        <v>46079</v>
      </c>
    </row>
    <row r="86" spans="1:8" x14ac:dyDescent="0.3">
      <c r="A86" s="6" t="s">
        <v>118</v>
      </c>
      <c r="B86" s="6" t="s">
        <v>227</v>
      </c>
      <c r="C86" s="6" t="s">
        <v>197</v>
      </c>
      <c r="D86" s="6" t="s">
        <v>325</v>
      </c>
      <c r="E86" s="6" t="s">
        <v>326</v>
      </c>
      <c r="F86" s="6" t="s">
        <v>223</v>
      </c>
      <c r="G86" s="23">
        <v>46079</v>
      </c>
      <c r="H86" s="23">
        <v>46079</v>
      </c>
    </row>
    <row r="87" spans="1:8" x14ac:dyDescent="0.3">
      <c r="A87" s="6" t="s">
        <v>118</v>
      </c>
      <c r="B87" s="6" t="s">
        <v>227</v>
      </c>
      <c r="C87" s="6" t="s">
        <v>308</v>
      </c>
      <c r="D87" s="6" t="s">
        <v>327</v>
      </c>
      <c r="E87" s="6" t="s">
        <v>328</v>
      </c>
      <c r="F87" s="6" t="s">
        <v>223</v>
      </c>
      <c r="G87" s="23">
        <v>46085</v>
      </c>
      <c r="H87" s="23">
        <v>46085</v>
      </c>
    </row>
    <row r="88" spans="1:8" x14ac:dyDescent="0.3">
      <c r="A88" s="6" t="s">
        <v>124</v>
      </c>
      <c r="B88" s="6" t="s">
        <v>227</v>
      </c>
      <c r="C88" s="6" t="s">
        <v>308</v>
      </c>
      <c r="D88" s="6" t="s">
        <v>327</v>
      </c>
      <c r="E88" s="6" t="s">
        <v>329</v>
      </c>
      <c r="F88" s="6" t="s">
        <v>223</v>
      </c>
      <c r="G88" s="23">
        <v>46086</v>
      </c>
      <c r="H88" s="23">
        <v>46086</v>
      </c>
    </row>
    <row r="89" spans="1:8" x14ac:dyDescent="0.3">
      <c r="A89" s="6" t="s">
        <v>118</v>
      </c>
      <c r="B89" s="6" t="s">
        <v>227</v>
      </c>
      <c r="C89" s="6" t="s">
        <v>308</v>
      </c>
      <c r="D89" s="6" t="s">
        <v>327</v>
      </c>
      <c r="E89" s="6" t="s">
        <v>329</v>
      </c>
      <c r="F89" s="6" t="s">
        <v>223</v>
      </c>
      <c r="G89" s="23">
        <v>46086</v>
      </c>
      <c r="H89" s="23">
        <v>46086</v>
      </c>
    </row>
  </sheetData>
  <phoneticPr fontId="6" type="noConversion"/>
  <pageMargins left="0.75" right="0.75" top="1" bottom="1" header="0.5" footer="0.5"/>
  <headerFooter>
    <oddHeader>&amp;R&amp;"Aptos"&amp;13&amp;K000000 [ RESTRICTED ]&amp;1#_x000D_</oddHeader>
    <oddFooter>&amp;R_x000D_&amp;1#&amp;"Aptos"&amp;5&amp;K000000 [Secure Minds, Secure Finds] 본 문서는 현대건설㈜의 정보자산이므로 무단 전제 및 복제할 수 없으며, 이를 위반할 시에는 당사 사규 및 관련 법규에 의해 제지를 받을 수 있습니다.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tabSelected="1" workbookViewId="0">
      <pane ySplit="1" topLeftCell="A2" activePane="bottomLeft" state="frozen"/>
      <selection pane="bottomLeft" activeCell="E16" sqref="E16"/>
    </sheetView>
  </sheetViews>
  <sheetFormatPr defaultRowHeight="16.5" x14ac:dyDescent="0.3"/>
  <cols>
    <col min="1" max="3" width="16" customWidth="1"/>
    <col min="4" max="4" width="35.875" customWidth="1"/>
  </cols>
  <sheetData>
    <row r="1" spans="1:4" ht="26.1" customHeight="1" x14ac:dyDescent="0.3">
      <c r="A1" s="5" t="s">
        <v>70</v>
      </c>
      <c r="B1" s="5" t="s">
        <v>71</v>
      </c>
      <c r="C1" s="5" t="s">
        <v>21</v>
      </c>
      <c r="D1" s="5" t="s">
        <v>72</v>
      </c>
    </row>
    <row r="2" spans="1:4" x14ac:dyDescent="0.3">
      <c r="A2" s="24" t="s">
        <v>330</v>
      </c>
      <c r="B2" s="6" t="s">
        <v>157</v>
      </c>
      <c r="C2" s="6" t="s">
        <v>102</v>
      </c>
      <c r="D2" s="6" t="s">
        <v>331</v>
      </c>
    </row>
    <row r="3" spans="1:4" x14ac:dyDescent="0.3">
      <c r="A3" s="24" t="s">
        <v>332</v>
      </c>
      <c r="B3" s="6" t="s">
        <v>82</v>
      </c>
      <c r="C3" s="6" t="s">
        <v>79</v>
      </c>
      <c r="D3" s="6" t="s">
        <v>333</v>
      </c>
    </row>
    <row r="4" spans="1:4" x14ac:dyDescent="0.3">
      <c r="A4" s="24" t="s">
        <v>334</v>
      </c>
      <c r="B4" s="6" t="s">
        <v>133</v>
      </c>
      <c r="C4" s="6" t="s">
        <v>74</v>
      </c>
      <c r="D4" s="6" t="s">
        <v>335</v>
      </c>
    </row>
    <row r="5" spans="1:4" x14ac:dyDescent="0.3">
      <c r="A5" s="24" t="s">
        <v>336</v>
      </c>
      <c r="B5" s="6" t="s">
        <v>82</v>
      </c>
      <c r="C5" s="6" t="s">
        <v>84</v>
      </c>
      <c r="D5" s="6" t="s">
        <v>337</v>
      </c>
    </row>
    <row r="6" spans="1:4" x14ac:dyDescent="0.3">
      <c r="A6" s="24" t="s">
        <v>338</v>
      </c>
      <c r="B6" s="6" t="s">
        <v>148</v>
      </c>
      <c r="C6" s="6" t="s">
        <v>98</v>
      </c>
      <c r="D6" s="6"/>
    </row>
    <row r="7" spans="1:4" x14ac:dyDescent="0.3">
      <c r="A7" s="24" t="s">
        <v>339</v>
      </c>
      <c r="B7" s="6" t="s">
        <v>97</v>
      </c>
      <c r="C7" s="6" t="s">
        <v>93</v>
      </c>
      <c r="D7" s="6" t="s">
        <v>340</v>
      </c>
    </row>
    <row r="8" spans="1:4" x14ac:dyDescent="0.3">
      <c r="A8" s="24" t="s">
        <v>341</v>
      </c>
      <c r="B8" s="6" t="s">
        <v>82</v>
      </c>
      <c r="C8" s="6" t="s">
        <v>342</v>
      </c>
      <c r="D8" s="6" t="s">
        <v>343</v>
      </c>
    </row>
    <row r="9" spans="1:4" x14ac:dyDescent="0.3">
      <c r="A9" s="24" t="s">
        <v>344</v>
      </c>
      <c r="B9" s="6" t="s">
        <v>92</v>
      </c>
      <c r="C9" s="6" t="s">
        <v>342</v>
      </c>
      <c r="D9" s="6" t="s">
        <v>345</v>
      </c>
    </row>
    <row r="10" spans="1:4" x14ac:dyDescent="0.3">
      <c r="A10" s="24" t="s">
        <v>346</v>
      </c>
      <c r="B10" s="6" t="s">
        <v>82</v>
      </c>
      <c r="C10" s="6" t="s">
        <v>342</v>
      </c>
      <c r="D10" s="6" t="s">
        <v>347</v>
      </c>
    </row>
    <row r="11" spans="1:4" x14ac:dyDescent="0.3">
      <c r="A11" s="24" t="s">
        <v>348</v>
      </c>
      <c r="B11" s="6" t="s">
        <v>118</v>
      </c>
      <c r="C11" s="6" t="s">
        <v>342</v>
      </c>
      <c r="D11" s="6" t="s">
        <v>349</v>
      </c>
    </row>
  </sheetData>
  <phoneticPr fontId="6" type="noConversion"/>
  <pageMargins left="0.75" right="0.75" top="1" bottom="1" header="0.5" footer="0.5"/>
  <headerFooter>
    <oddHeader>&amp;R&amp;"Aptos"&amp;13&amp;K000000 [ RESTRICTED ]&amp;1#_x000D_</oddHeader>
    <oddFooter>&amp;R_x000D_&amp;1#&amp;"Aptos"&amp;5&amp;K000000 [Secure Minds, Secure Finds] 본 문서는 현대건설㈜의 정보자산이므로 무단 전제 및 복제할 수 없으며, 이를 위반할 시에는 당사 사규 및 관련 법규에 의해 제지를 받을 수 있습니다.</oddFooter>
  </headerFooter>
  <legacyDrawing r:id="rId1"/>
</worksheet>
</file>

<file path=docMetadata/LabelInfo.xml><?xml version="1.0" encoding="utf-8"?>
<clbl:labelList xmlns:clbl="http://schemas.microsoft.com/office/2020/mipLabelMetadata">
  <clbl:label id="{5fcb0def-a698-40ce-a73a-ea61130c13c6}" enabled="0" method="" siteId="{5fcb0def-a698-40ce-a73a-ea61130c13c6}" actionId="{326439d9-0a9e-411d-b7ae-eccc30b0ea4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modified xsi:type="dcterms:W3CDTF">2026-04-30T04:36:17Z</dcterms:modified>
  <cp:lastModifiedBy>강태준(TAEJUN KANG) 플랜트구매품질팀 책임매니저</cp:lastModifiedBy>
  <dcterms:created xsi:type="dcterms:W3CDTF">2026-04-29T20:37:22Z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f914a6-c39c-4dca-a0cf-8a9e676d0735_SiteId">
    <vt:lpwstr>5fcb0def-a698-40ce-a73a-ea61130c13c6</vt:lpwstr>
  </property>
  <property fmtid="{D5CDD505-2E9C-101B-9397-08002B2CF9AE}" pid="3" name="MSIP_Label_b3f914a6-c39c-4dca-a0cf-8a9e676d0735_SetDate">
    <vt:lpwstr>2026-04-30T02:31:44Z</vt:lpwstr>
  </property>
  <property fmtid="{D5CDD505-2E9C-101B-9397-08002B2CF9AE}" pid="4" name="MSIP_Label_b3f914a6-c39c-4dca-a0cf-8a9e676d0735_Name">
    <vt:lpwstr>RESTRICTED-01</vt:lpwstr>
  </property>
  <property fmtid="{D5CDD505-2E9C-101B-9397-08002B2CF9AE}" pid="5" name="MSIP_Label_b3f914a6-c39c-4dca-a0cf-8a9e676d0735_Method">
    <vt:lpwstr>Privileged</vt:lpwstr>
  </property>
  <property fmtid="{D5CDD505-2E9C-101B-9397-08002B2CF9AE}" pid="6" name="MSIP_Label_b3f914a6-c39c-4dca-a0cf-8a9e676d0735_Enabled">
    <vt:lpwstr>true</vt:lpwstr>
  </property>
  <property fmtid="{D5CDD505-2E9C-101B-9397-08002B2CF9AE}" pid="7" name="MSIP_Label_b3f914a6-c39c-4dca-a0cf-8a9e676d0735_ContentBits">
    <vt:lpwstr>8</vt:lpwstr>
  </property>
</Properties>
</file>