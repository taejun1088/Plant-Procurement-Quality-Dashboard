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99. Github\Plant-Procurement-Quality-Dashboard\"/>
    </mc:Choice>
  </mc:AlternateContent>
  <bookViews>
    <workbookView xWindow="-25320" yWindow="105" windowWidth="25440" windowHeight="15270" tabRatio="797" firstSheet="2" activeTab="2" xr2:uid="{00000000-000D-0000-FFFF-FFFF00000000}"/>
  </bookViews>
  <sheets>
    <sheet name="📖 README" sheetId="1" r:id="rId1"/>
    <sheet name="프로젝트_현황" sheetId="2" r:id="rId2"/>
    <sheet name="프로젝트_구매품질 실적" sheetId="3" r:id="rId3"/>
    <sheet name="프로젝트_NCR처리현황" sheetId="4" r:id="rId4"/>
    <sheet name="PQAN" sheetId="5" r:id="rId5"/>
    <sheet name="TPA_목록" sheetId="6" r:id="rId6"/>
    <sheet name="TPA_집행현황" sheetId="7" r:id="rId7"/>
    <sheet name="TPA_월별대금청구현황" sheetId="8" r:id="rId8"/>
    <sheet name="인력운영_현황" sheetId="9" r:id="rId9"/>
    <sheet name="인력운영_세부내역" sheetId="10" r:id="rId10"/>
    <sheet name="출장현황" sheetId="11" r:id="rId11"/>
    <sheet name="주요현안" sheetId="12" r:id="rId12"/>
  </sheets>
  <externalReferences>
    <externalReference r:id="rId13"/>
  </externalReferences>
  <definedNames>
    <definedName name="_xlnm._FilterDatabase" localSheetId="7" hidden="1">TPA_월별대금청구현황!$A$1:$F$1409</definedName>
    <definedName name="_xlnm._FilterDatabase" localSheetId="9" hidden="1">인력운영_세부내역!$A$1:$K$1038</definedName>
    <definedName name="_xlnm._FilterDatabase" localSheetId="10" hidden="1">출장현황!$A$1:$H$89</definedName>
    <definedName name="_xlnm._FilterDatabase" localSheetId="3" hidden="1">프로젝트_NCR처리현황!$A$1:$S$1</definedName>
    <definedName name="대공종">[1]!표1[대공종]</definedName>
    <definedName name="대분류">[1]!표30[대분류]</definedName>
    <definedName name="소공종">[1]!표8[소공종]</definedName>
    <definedName name="처리분류">[1]!표20[처리분류]</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38" i="10" l="1"/>
  <c r="A1037" i="10"/>
  <c r="A1036" i="10"/>
  <c r="A1035" i="10"/>
  <c r="A1034" i="10"/>
  <c r="A1033" i="10"/>
  <c r="A1032" i="10"/>
  <c r="A1031" i="10"/>
  <c r="A1030" i="10"/>
  <c r="A1029" i="10"/>
  <c r="A1028" i="10"/>
  <c r="A1027" i="10"/>
  <c r="A1026" i="10"/>
  <c r="A1025" i="10"/>
  <c r="A1024" i="10"/>
  <c r="A1023" i="10"/>
  <c r="A1022" i="10"/>
  <c r="A1021" i="10"/>
  <c r="A1020" i="10"/>
  <c r="A1019" i="10"/>
  <c r="A1018" i="10"/>
  <c r="A1017" i="10"/>
  <c r="A1016" i="10"/>
  <c r="A1015" i="10"/>
  <c r="A1014" i="10"/>
  <c r="A1013" i="10"/>
  <c r="A1012" i="10"/>
  <c r="A1011" i="10"/>
  <c r="A1010" i="10"/>
  <c r="A1009" i="10"/>
  <c r="A1008" i="10"/>
  <c r="A1007" i="10"/>
  <c r="A1006" i="10"/>
  <c r="A1005" i="10"/>
  <c r="A1004" i="10"/>
  <c r="A1003" i="10"/>
  <c r="A1002" i="10"/>
  <c r="A1001" i="10"/>
  <c r="A1000" i="10"/>
  <c r="A999" i="10"/>
  <c r="A998" i="10"/>
  <c r="A997" i="10"/>
  <c r="A996" i="10"/>
  <c r="A995" i="10"/>
  <c r="A994" i="10"/>
  <c r="A993" i="10"/>
  <c r="A992" i="10"/>
  <c r="A991" i="10"/>
  <c r="A990" i="10"/>
  <c r="A989" i="10"/>
  <c r="A988" i="10"/>
  <c r="A987" i="10"/>
  <c r="A986" i="10"/>
  <c r="A985" i="10"/>
  <c r="A984" i="10"/>
  <c r="A983" i="10"/>
  <c r="A982" i="10"/>
  <c r="A981" i="10"/>
  <c r="A980" i="10"/>
  <c r="A979" i="10"/>
  <c r="A978" i="10"/>
  <c r="A977" i="10"/>
  <c r="A976" i="10"/>
  <c r="A975" i="10"/>
  <c r="A974" i="10"/>
  <c r="A973" i="10"/>
  <c r="A972" i="10"/>
  <c r="A971" i="10"/>
  <c r="A970" i="10"/>
  <c r="A969" i="10"/>
  <c r="A968" i="10"/>
  <c r="A967" i="10"/>
  <c r="A966" i="10"/>
  <c r="A965" i="10"/>
  <c r="A964" i="10"/>
  <c r="A963" i="10"/>
  <c r="A962" i="10"/>
  <c r="A961" i="10"/>
  <c r="A960" i="10"/>
  <c r="A959" i="10"/>
  <c r="A958" i="10"/>
  <c r="A957" i="10"/>
  <c r="A956" i="10"/>
  <c r="A955" i="10"/>
  <c r="A954" i="10"/>
  <c r="A953" i="10"/>
  <c r="A952" i="10"/>
  <c r="A951" i="10"/>
  <c r="A950" i="10"/>
  <c r="A949" i="10"/>
  <c r="A948" i="10"/>
  <c r="A947" i="10"/>
  <c r="A946" i="10"/>
  <c r="A945" i="10"/>
  <c r="A944" i="10"/>
  <c r="A943" i="10"/>
  <c r="A942" i="10"/>
  <c r="A941" i="10"/>
  <c r="A940" i="10"/>
  <c r="A939" i="10"/>
  <c r="A938" i="10"/>
  <c r="A937" i="10"/>
  <c r="A936" i="10"/>
  <c r="A935" i="10"/>
  <c r="A934" i="10"/>
  <c r="A933" i="10"/>
  <c r="A932" i="10"/>
  <c r="A931" i="10"/>
  <c r="A930" i="10"/>
  <c r="A929" i="10"/>
  <c r="A928" i="10"/>
  <c r="A927" i="10"/>
  <c r="A926" i="10"/>
  <c r="A925" i="10"/>
  <c r="A924" i="10"/>
  <c r="A923" i="10"/>
  <c r="A922" i="10"/>
  <c r="A921" i="10"/>
  <c r="A920" i="10"/>
  <c r="A919" i="10"/>
  <c r="A918" i="10"/>
  <c r="A917" i="10"/>
  <c r="A916" i="10"/>
  <c r="A915" i="10"/>
  <c r="A914" i="10"/>
  <c r="A913" i="10"/>
  <c r="A912" i="10"/>
  <c r="A911" i="10"/>
  <c r="A910" i="10"/>
  <c r="A909" i="10"/>
  <c r="A908" i="10"/>
  <c r="A907" i="10"/>
  <c r="A906" i="10"/>
  <c r="A905" i="10"/>
  <c r="A904" i="10"/>
  <c r="A903" i="10"/>
  <c r="A902" i="10"/>
  <c r="A901" i="10"/>
  <c r="A900" i="10"/>
  <c r="A899" i="10"/>
  <c r="A898" i="10"/>
  <c r="A897" i="10"/>
  <c r="A896" i="10"/>
  <c r="A895" i="10"/>
  <c r="A894" i="10"/>
  <c r="A893" i="10"/>
  <c r="A892" i="10"/>
  <c r="A891" i="10"/>
  <c r="A890" i="10"/>
  <c r="A889" i="10"/>
  <c r="A888" i="10"/>
  <c r="A887" i="10"/>
  <c r="A886" i="10"/>
  <c r="A885" i="10"/>
  <c r="A884" i="10"/>
  <c r="A883" i="10"/>
  <c r="A882" i="10"/>
  <c r="A881" i="10"/>
  <c r="A880" i="10"/>
  <c r="A879" i="10"/>
  <c r="A878" i="10"/>
  <c r="A877" i="10"/>
  <c r="A876" i="10"/>
  <c r="A875" i="10"/>
  <c r="A874" i="10"/>
  <c r="A873" i="10"/>
  <c r="A872" i="10"/>
  <c r="A871" i="10"/>
  <c r="A870" i="10"/>
  <c r="A869" i="10"/>
  <c r="A868" i="10"/>
  <c r="A867" i="10"/>
  <c r="A866" i="10"/>
  <c r="A865" i="10"/>
  <c r="A864" i="10"/>
  <c r="A863" i="10"/>
  <c r="A862" i="10"/>
  <c r="A861" i="10"/>
  <c r="A860" i="10"/>
  <c r="A859" i="10"/>
  <c r="A858" i="10"/>
  <c r="A857" i="10"/>
  <c r="A856" i="10"/>
  <c r="A855" i="10"/>
  <c r="A854" i="10"/>
  <c r="A853" i="10"/>
  <c r="A852" i="10"/>
  <c r="A851" i="10"/>
  <c r="A850" i="10"/>
  <c r="A849" i="10"/>
  <c r="A848" i="10"/>
  <c r="A847" i="10"/>
  <c r="A846" i="10"/>
  <c r="A845" i="10"/>
  <c r="A844" i="10"/>
  <c r="A843" i="10"/>
  <c r="A842" i="10"/>
  <c r="A841" i="10"/>
  <c r="A840" i="10"/>
  <c r="A839" i="10"/>
  <c r="A838" i="10"/>
  <c r="A837" i="10"/>
  <c r="A836" i="10"/>
  <c r="A835" i="10"/>
  <c r="A834" i="10"/>
  <c r="A833" i="10"/>
  <c r="A832" i="10"/>
  <c r="A831" i="10"/>
  <c r="A830" i="10"/>
  <c r="A829" i="10"/>
  <c r="A828" i="10"/>
  <c r="A827" i="10"/>
  <c r="A826" i="10"/>
  <c r="A825" i="10"/>
  <c r="A824" i="10"/>
  <c r="A823" i="10"/>
  <c r="A822" i="10"/>
  <c r="A821" i="10"/>
  <c r="A820" i="10"/>
  <c r="A819" i="10"/>
  <c r="A818" i="10"/>
  <c r="A817" i="10"/>
  <c r="A816" i="10"/>
  <c r="A815" i="10"/>
  <c r="A814" i="10"/>
  <c r="A813" i="10"/>
  <c r="A812" i="10"/>
  <c r="A811" i="10"/>
  <c r="A810" i="10"/>
  <c r="A809" i="10"/>
  <c r="A808" i="10"/>
  <c r="A807" i="10"/>
  <c r="A806" i="10"/>
  <c r="A805" i="10"/>
  <c r="A804" i="10"/>
  <c r="A803" i="10"/>
  <c r="A802" i="10"/>
  <c r="A801" i="10"/>
  <c r="A800" i="10"/>
  <c r="A799" i="10"/>
  <c r="A798" i="10"/>
  <c r="A797" i="10"/>
  <c r="A796" i="10"/>
  <c r="A795" i="10"/>
  <c r="A794" i="10"/>
  <c r="A793" i="10"/>
  <c r="A792" i="10"/>
  <c r="A791" i="10"/>
  <c r="A790" i="10"/>
  <c r="A789" i="10"/>
  <c r="A788" i="10"/>
  <c r="A787" i="10"/>
  <c r="A786" i="10"/>
  <c r="A785" i="10"/>
  <c r="A784" i="10"/>
  <c r="A783" i="10"/>
  <c r="A782" i="10"/>
  <c r="A781" i="10"/>
  <c r="A780" i="10"/>
  <c r="A779" i="10"/>
  <c r="A778" i="10"/>
  <c r="A777" i="10"/>
  <c r="A776" i="10"/>
  <c r="A775" i="10"/>
  <c r="A774" i="10"/>
  <c r="A773" i="10"/>
  <c r="A772" i="10"/>
  <c r="A771" i="10"/>
  <c r="A770" i="10"/>
  <c r="A769" i="10"/>
  <c r="A768" i="10"/>
  <c r="A767" i="10"/>
  <c r="A766" i="10"/>
  <c r="A765" i="10"/>
  <c r="A764" i="10"/>
  <c r="A763" i="10"/>
  <c r="A762" i="10"/>
  <c r="A761" i="10"/>
  <c r="A760" i="10"/>
  <c r="A759" i="10"/>
  <c r="A758" i="10"/>
  <c r="A757" i="10"/>
  <c r="A756" i="10"/>
  <c r="A755" i="10"/>
  <c r="A754" i="10"/>
  <c r="A753" i="10"/>
  <c r="A752" i="10"/>
  <c r="A751" i="10"/>
  <c r="A750" i="10"/>
  <c r="A749" i="10"/>
  <c r="A748" i="10"/>
  <c r="A747" i="10"/>
  <c r="A746" i="10"/>
  <c r="A745" i="10"/>
  <c r="A744" i="10"/>
  <c r="A743" i="10"/>
  <c r="A742" i="10"/>
  <c r="A741" i="10"/>
  <c r="A740" i="10"/>
  <c r="A739" i="10"/>
  <c r="A738" i="10"/>
  <c r="A737" i="10"/>
  <c r="A736" i="10"/>
  <c r="A735" i="10"/>
  <c r="A734" i="10"/>
  <c r="A733" i="10"/>
  <c r="A732" i="10"/>
  <c r="A731" i="10"/>
  <c r="A730" i="10"/>
  <c r="A729" i="10"/>
  <c r="A728" i="10"/>
  <c r="A727" i="10"/>
  <c r="A726" i="10"/>
  <c r="A725" i="10"/>
  <c r="A724" i="10"/>
  <c r="A723" i="10"/>
  <c r="A722" i="10"/>
  <c r="A721" i="10"/>
  <c r="A720" i="10"/>
  <c r="A719" i="10"/>
  <c r="A718" i="10"/>
  <c r="A717" i="10"/>
  <c r="A716" i="10"/>
  <c r="A715" i="10"/>
  <c r="A714" i="10"/>
  <c r="A713" i="10"/>
  <c r="A712" i="10"/>
  <c r="A711" i="10"/>
  <c r="A710" i="10"/>
  <c r="A709" i="10"/>
  <c r="A708" i="10"/>
  <c r="A707" i="10"/>
  <c r="A706" i="10"/>
  <c r="A705" i="10"/>
  <c r="A704" i="10"/>
  <c r="A703" i="10"/>
  <c r="A702" i="10"/>
  <c r="A701" i="10"/>
  <c r="A700" i="10"/>
  <c r="A699" i="10"/>
  <c r="A698" i="10"/>
  <c r="A697" i="10"/>
  <c r="A696" i="10"/>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4" i="8" l="1"/>
  <c r="A3" i="8"/>
  <c r="A6" i="8"/>
  <c r="A5" i="8"/>
  <c r="A20" i="8"/>
  <c r="A19" i="8"/>
  <c r="A18" i="8"/>
  <c r="A23" i="8"/>
  <c r="A22" i="8"/>
  <c r="A21" i="8"/>
  <c r="J23" i="9"/>
  <c r="J22" i="9"/>
  <c r="J20" i="9"/>
  <c r="J19" i="9"/>
  <c r="J18" i="9"/>
  <c r="J17" i="9"/>
  <c r="J15" i="9"/>
  <c r="J14" i="9"/>
  <c r="J13" i="9"/>
  <c r="J12" i="9"/>
  <c r="J11" i="9"/>
  <c r="J10" i="9"/>
  <c r="J9" i="9"/>
  <c r="J8" i="9"/>
  <c r="J7" i="9"/>
  <c r="J6" i="9"/>
  <c r="J5" i="9"/>
  <c r="J4" i="9"/>
  <c r="J3" i="9"/>
  <c r="H5" i="7"/>
  <c r="E9" i="7"/>
  <c r="E8" i="7"/>
  <c r="E7" i="7"/>
  <c r="E6" i="7"/>
  <c r="E4" i="7"/>
  <c r="E3" i="7"/>
  <c r="E2" i="7"/>
  <c r="A26" i="9" l="1"/>
  <c r="A25" i="9"/>
  <c r="A24" i="9"/>
  <c r="A23" i="9"/>
  <c r="A22" i="9"/>
  <c r="A21" i="9"/>
  <c r="A20" i="9"/>
  <c r="A19" i="9"/>
  <c r="A18" i="9"/>
  <c r="A17" i="9"/>
  <c r="A16" i="9"/>
  <c r="A15" i="9"/>
  <c r="A14" i="9"/>
  <c r="A13" i="9"/>
  <c r="A12" i="9"/>
  <c r="A11" i="9"/>
  <c r="A10" i="9"/>
  <c r="A9" i="9"/>
  <c r="A8" i="9"/>
  <c r="A7" i="9"/>
  <c r="A6" i="9"/>
  <c r="A5" i="9"/>
  <c r="A4" i="9"/>
  <c r="A3" i="9"/>
  <c r="A2" i="9"/>
  <c r="A1409" i="8"/>
  <c r="A1408" i="8"/>
  <c r="A1407" i="8"/>
  <c r="A1406" i="8"/>
  <c r="A1405" i="8"/>
  <c r="A1404" i="8"/>
  <c r="A1403" i="8"/>
  <c r="A1402" i="8"/>
  <c r="A1401" i="8"/>
  <c r="A1400" i="8"/>
  <c r="A1399" i="8"/>
  <c r="A1398" i="8"/>
  <c r="A1397" i="8"/>
  <c r="A1396" i="8"/>
  <c r="A1395" i="8"/>
  <c r="A1394" i="8"/>
  <c r="A1393" i="8"/>
  <c r="A1392" i="8"/>
  <c r="A1391" i="8"/>
  <c r="A1390" i="8"/>
  <c r="A1389" i="8"/>
  <c r="A1388" i="8"/>
  <c r="A1387" i="8"/>
  <c r="A1386" i="8"/>
  <c r="A1385" i="8"/>
  <c r="A1384" i="8"/>
  <c r="A1383" i="8"/>
  <c r="A1382" i="8"/>
  <c r="A1381" i="8"/>
  <c r="A1380" i="8"/>
  <c r="A1379" i="8"/>
  <c r="A1378" i="8"/>
  <c r="A1377" i="8"/>
  <c r="A1376" i="8"/>
  <c r="A1375" i="8"/>
  <c r="A1374" i="8"/>
  <c r="A1373" i="8"/>
  <c r="A1372" i="8"/>
  <c r="A1371" i="8"/>
  <c r="A1370" i="8"/>
  <c r="A1369" i="8"/>
  <c r="A1368" i="8"/>
  <c r="A1367" i="8"/>
  <c r="A1366" i="8"/>
  <c r="A1365" i="8"/>
  <c r="A1364" i="8"/>
  <c r="A1363" i="8"/>
  <c r="A1362" i="8"/>
  <c r="A1361" i="8"/>
  <c r="A1360" i="8"/>
  <c r="A1359" i="8"/>
  <c r="A1358" i="8"/>
  <c r="A1357" i="8"/>
  <c r="A1356" i="8"/>
  <c r="A1355" i="8"/>
  <c r="A1354" i="8"/>
  <c r="A1353" i="8"/>
  <c r="A1352" i="8"/>
  <c r="A1351" i="8"/>
  <c r="A1350" i="8"/>
  <c r="A1349" i="8"/>
  <c r="A1348" i="8"/>
  <c r="A1347" i="8"/>
  <c r="A1346" i="8"/>
  <c r="A1345" i="8"/>
  <c r="A1344" i="8"/>
  <c r="A1343" i="8"/>
  <c r="A1342" i="8"/>
  <c r="A1341" i="8"/>
  <c r="A1340" i="8"/>
  <c r="A1339" i="8"/>
  <c r="A1338" i="8"/>
  <c r="A1337" i="8"/>
  <c r="A1336" i="8"/>
  <c r="A1335" i="8"/>
  <c r="A1334" i="8"/>
  <c r="A1333" i="8"/>
  <c r="A1332" i="8"/>
  <c r="A1331" i="8"/>
  <c r="A1330" i="8"/>
  <c r="A1329" i="8"/>
  <c r="A1328" i="8"/>
  <c r="A1327" i="8"/>
  <c r="A1326" i="8"/>
  <c r="A1325" i="8"/>
  <c r="A1324" i="8"/>
  <c r="A1323" i="8"/>
  <c r="A1322" i="8"/>
  <c r="A1321" i="8"/>
  <c r="A1320" i="8"/>
  <c r="A1319" i="8"/>
  <c r="A1318" i="8"/>
  <c r="A1317" i="8"/>
  <c r="A1316" i="8"/>
  <c r="A1315" i="8"/>
  <c r="A1314" i="8"/>
  <c r="A1313" i="8"/>
  <c r="A1312" i="8"/>
  <c r="A1311" i="8"/>
  <c r="A1310" i="8"/>
  <c r="A1309" i="8"/>
  <c r="A1308" i="8"/>
  <c r="A1307" i="8"/>
  <c r="A1306" i="8"/>
  <c r="A1305" i="8"/>
  <c r="A1304" i="8"/>
  <c r="A1303" i="8"/>
  <c r="A1302" i="8"/>
  <c r="A1301" i="8"/>
  <c r="A1300" i="8"/>
  <c r="A1299" i="8"/>
  <c r="A1298" i="8"/>
  <c r="A1297" i="8"/>
  <c r="A1296" i="8"/>
  <c r="A1295" i="8"/>
  <c r="A1294" i="8"/>
  <c r="A1293" i="8"/>
  <c r="A1292" i="8"/>
  <c r="A1291" i="8"/>
  <c r="A1290" i="8"/>
  <c r="A1289" i="8"/>
  <c r="A1288" i="8"/>
  <c r="A1287" i="8"/>
  <c r="A1286" i="8"/>
  <c r="A1285" i="8"/>
  <c r="A1284" i="8"/>
  <c r="A1283" i="8"/>
  <c r="A1282" i="8"/>
  <c r="A1281" i="8"/>
  <c r="A1280" i="8"/>
  <c r="A1279" i="8"/>
  <c r="A1278" i="8"/>
  <c r="A1277" i="8"/>
  <c r="A1276" i="8"/>
  <c r="A1275" i="8"/>
  <c r="A1274" i="8"/>
  <c r="A1273" i="8"/>
  <c r="A1272" i="8"/>
  <c r="A1271" i="8"/>
  <c r="A1270" i="8"/>
  <c r="A1269" i="8"/>
  <c r="A1268" i="8"/>
  <c r="A1267" i="8"/>
  <c r="A1266" i="8"/>
  <c r="A1265" i="8"/>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1173" i="8"/>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17" i="8"/>
  <c r="A16" i="8"/>
  <c r="A15" i="8"/>
  <c r="A14" i="8"/>
  <c r="A13" i="8"/>
  <c r="A12" i="8"/>
  <c r="A11" i="8"/>
  <c r="A10" i="8"/>
  <c r="A9" i="8"/>
  <c r="A8" i="8"/>
  <c r="A7" i="8"/>
  <c r="A2" i="8"/>
  <c r="I11" i="7"/>
  <c r="I10" i="7"/>
  <c r="J9" i="7"/>
  <c r="D9" i="7"/>
  <c r="J8" i="7"/>
  <c r="D8" i="7"/>
  <c r="J7" i="7"/>
  <c r="I6" i="7"/>
  <c r="J5" i="7"/>
  <c r="J4" i="7"/>
  <c r="J3" i="7"/>
  <c r="I2" i="7"/>
  <c r="A28" i="6"/>
  <c r="A27" i="6"/>
  <c r="A26" i="6"/>
  <c r="A25" i="6"/>
  <c r="A24" i="6"/>
  <c r="A23" i="6"/>
  <c r="A22" i="6"/>
  <c r="A21" i="6"/>
  <c r="A20" i="6"/>
  <c r="A19" i="6"/>
  <c r="A18" i="6"/>
  <c r="A17" i="6"/>
  <c r="A16" i="6"/>
  <c r="A15" i="6"/>
  <c r="A14" i="6"/>
  <c r="A13" i="6"/>
  <c r="A12" i="6"/>
  <c r="A11" i="6"/>
  <c r="A10" i="6"/>
  <c r="A9" i="6"/>
  <c r="A8" i="6"/>
  <c r="A7" i="6"/>
  <c r="A6" i="6"/>
  <c r="A5" i="6"/>
  <c r="A4" i="6"/>
  <c r="A3" i="6"/>
  <c r="A2" i="6"/>
  <c r="A17" i="5"/>
  <c r="A16" i="5"/>
  <c r="A15" i="5"/>
  <c r="A14" i="5"/>
  <c r="A13" i="5"/>
  <c r="A12" i="5"/>
  <c r="A11" i="5"/>
  <c r="A10" i="5"/>
  <c r="A9" i="5"/>
  <c r="A8" i="5"/>
  <c r="A7" i="5"/>
  <c r="A6" i="5"/>
  <c r="A5" i="5"/>
  <c r="A4" i="5"/>
  <c r="A3" i="5"/>
  <c r="A2" i="5"/>
  <c r="J2" i="7" l="1"/>
  <c r="I7" i="7"/>
  <c r="J6" i="7"/>
  <c r="I8" i="7"/>
  <c r="I3" i="7"/>
  <c r="I4" i="7"/>
  <c r="I5" i="7"/>
  <c r="I9" i="7"/>
</calcChain>
</file>

<file path=xl/sharedStrings.xml><?xml version="1.0" encoding="utf-8"?>
<sst xmlns="http://schemas.openxmlformats.org/spreadsheetml/2006/main" count="15902" uniqueCount="3623">
  <si>
    <t>플랜트구매품질팀 통합관리 대시보드 - Excel 입력 양식</t>
  </si>
  <si>
    <t>사용 방법</t>
  </si>
  <si>
    <t>2. 1행의 컬럼명(헤더)은 절대 변경하지 마세요. 시트명도 그대로 유지해야 합니다.</t>
  </si>
  <si>
    <t>3. 데이터는 2행부터 입력합니다. 컬럼 순서는 자유롭게 변경해도 됩니다.</t>
  </si>
  <si>
    <t>4. 작성이 끝나면 이 파일을 저장하고, 대시보드 HTML을 열어 'Excel 업로드' 버튼으로 불러옵니다.</t>
  </si>
  <si>
    <t>5. 모든 KPI · 표 · 차트 · 조직도 · PQAN · TPA가 자동으로 채워집니다.</t>
  </si>
  <si>
    <t>주요 입력 규칙</t>
  </si>
  <si>
    <t>• 프로젝트_구매품질 실적 시트: 단계 컬럼(MR/TBE/PO/PIM/IRC)에 '완료'를 입력하면 100%로 처리됩니다.</t>
  </si>
  <si>
    <t>• TPA_집행현황 시트: 금액은 USD 또는 KRW 중 한쪽만 입력해도 환율로 자동 환산됩니다 (USD 단위, 백만 단위 아님).</t>
  </si>
  <si>
    <t>• 단계 컬럼: 'Active', 'Mechanical Completion', 'Bid' 중 하나로 입력해주세요.</t>
  </si>
  <si>
    <t>• Mechanical Completion 상태 프로젝트는 TPA Warning 로직에서 자동 제외됩니다.</t>
  </si>
  <si>
    <t>• 프로젝트_현황 시트의 계약가는 백만 단위 (USD M / KRW M)로 입력합니다.</t>
  </si>
  <si>
    <t>신규 시트 입력 가이드</t>
  </si>
  <si>
    <t>• PQAN 시트: 동일 PQAN No. 중복 입력 허용 (이미지/내용을 여러 행으로 분리). 대시보드는 자동으로 통합 표시합니다.</t>
  </si>
  <si>
    <t xml:space="preserve">  - 이미지 URL (Teams) 컬럼은 Teams 채널 메시지의 공유 링크를 그대로 입력합니다. 화면에는 직접 노출되지 않고 hover/click 팝오버로 표시됩니다.</t>
  </si>
  <si>
    <t>• TPA_목록 시트: 등록평가 · 정기평가 점수는 100점 만점 기준 숫자(예: 71, 93.3) 또는 텍스트(N/A 등)로 입력합니다.</t>
  </si>
  <si>
    <t>• TPA_집행현황 시트: 기존 TPA 시트 데이터를 그대로 사용합니다. 단계 컬럼은 프로젝트_현황과 동일 규칙.</t>
  </si>
  <si>
    <t>• TPA_월별대금청구현황 시트: 청구연월은 YYYY-MM 형식, 단위는 USD 또는 KRW 입력 (대시보드 환율로 USD 환산).</t>
  </si>
  <si>
    <t>• 인력운영_현황 시트: 직급(예: G3, M2)을 추가 입력하면 조직도/표에 그대로 표시됩니다.</t>
  </si>
  <si>
    <t>• 인력운영_세부내역 시트: PO 단위 담당자/IRC 진행률을 입력합니다 (담당자(정), 담당자(부)).</t>
  </si>
  <si>
    <t>• 출장현황 시트: 출장목적(FAT / PIM / Monitoring / 공장검사 / 업체실사 / 업체감사 / 교육 / 현안미팅)에 따라 색상이 자동 적용됩니다.</t>
  </si>
  <si>
    <t>TPA Warning 기준 (참고)</t>
  </si>
  <si>
    <t>• 예산 대비 집행 70% 초과 → '1차 청산추정 필요'</t>
  </si>
  <si>
    <t>단계별 가중치 (참고)</t>
  </si>
  <si>
    <t>• MR 10% · TBE 10% · PO 10% · PIM 20% · IRC 100% 50%</t>
  </si>
  <si>
    <t>• 가중 진척률 = (각 단계 진행률 × 가중치)의 합</t>
  </si>
  <si>
    <t>프로젝트</t>
  </si>
  <si>
    <t>HDEC 계약고 (USD)</t>
  </si>
  <si>
    <t>전체 계약고 (USD)</t>
  </si>
  <si>
    <t>HDEC 계약고 (KRW)</t>
  </si>
  <si>
    <t>전체 계약고 (KRW)</t>
  </si>
  <si>
    <t>발주처</t>
  </si>
  <si>
    <t>국가</t>
  </si>
  <si>
    <t>PQCM</t>
  </si>
  <si>
    <t>단계</t>
  </si>
  <si>
    <t>공정률</t>
  </si>
  <si>
    <t>비고</t>
  </si>
  <si>
    <t>MR_Total</t>
  </si>
  <si>
    <t>MR_Done</t>
  </si>
  <si>
    <t>TBE_Total</t>
  </si>
  <si>
    <t>TBE_Done</t>
  </si>
  <si>
    <t>PO_Total</t>
  </si>
  <si>
    <t>PO_Done</t>
  </si>
  <si>
    <t>PIM_Total</t>
  </si>
  <si>
    <t>PIM_Done</t>
  </si>
  <si>
    <t>IRC_100%_Total</t>
  </si>
  <si>
    <t>IRC_100%_Done</t>
  </si>
  <si>
    <t>NCR_Total</t>
  </si>
  <si>
    <t>NCR_Done</t>
  </si>
  <si>
    <t>Project_Code</t>
  </si>
  <si>
    <t>Vendor</t>
  </si>
  <si>
    <t>순번</t>
  </si>
  <si>
    <t>PQAN No.</t>
  </si>
  <si>
    <t>PQAN 배포일자</t>
  </si>
  <si>
    <t>연</t>
  </si>
  <si>
    <t>월</t>
  </si>
  <si>
    <t>Feedback</t>
  </si>
  <si>
    <t>검토자</t>
  </si>
  <si>
    <t>공종</t>
  </si>
  <si>
    <t>PO No.</t>
  </si>
  <si>
    <t>NCR No.</t>
  </si>
  <si>
    <t>Transmittal No.</t>
  </si>
  <si>
    <t>제목</t>
  </si>
  <si>
    <t>품목</t>
  </si>
  <si>
    <t>공급업체</t>
  </si>
  <si>
    <t>지역</t>
  </si>
  <si>
    <t>발견 시기</t>
  </si>
  <si>
    <t>발견 장소</t>
  </si>
  <si>
    <t>개요</t>
  </si>
  <si>
    <t>원인</t>
  </si>
  <si>
    <t>후속/예방 조치 (권고)</t>
  </si>
  <si>
    <t>이미지 URL (Teams)</t>
  </si>
  <si>
    <t>TPA</t>
  </si>
  <si>
    <t>등록평가</t>
  </si>
  <si>
    <t>정기평가 (2025)</t>
  </si>
  <si>
    <t>TPA 예산 (USD)</t>
  </si>
  <si>
    <t>TPA 계약고 (USD)</t>
  </si>
  <si>
    <t>집행비용 (USD)</t>
  </si>
  <si>
    <t>TPA 예산 (KRW)</t>
  </si>
  <si>
    <t>TPA 계약고 (KRW)</t>
  </si>
  <si>
    <t>집행비용 (KRW)</t>
  </si>
  <si>
    <t>예산 소진율</t>
  </si>
  <si>
    <t>現 계약고 소진율</t>
  </si>
  <si>
    <t>청구연월</t>
  </si>
  <si>
    <t>지급대금</t>
  </si>
  <si>
    <t>단위</t>
  </si>
  <si>
    <t>이름</t>
  </si>
  <si>
    <t>근무지</t>
  </si>
  <si>
    <t>직급</t>
  </si>
  <si>
    <t>PQC_Engineer</t>
  </si>
  <si>
    <t>Number_of_PO</t>
  </si>
  <si>
    <t>PO</t>
  </si>
  <si>
    <t>PO Description</t>
  </si>
  <si>
    <t>Quantity</t>
  </si>
  <si>
    <t>업무 종료 예상 시기</t>
  </si>
  <si>
    <t>IRC %</t>
  </si>
  <si>
    <t>담당자(정)</t>
  </si>
  <si>
    <t>담당자(부)</t>
  </si>
  <si>
    <t>출장자</t>
  </si>
  <si>
    <t>출장목적</t>
  </si>
  <si>
    <t>방문업체</t>
  </si>
  <si>
    <t>출발일</t>
  </si>
  <si>
    <t>복귀일</t>
  </si>
  <si>
    <t>Title</t>
  </si>
  <si>
    <t>Owner</t>
  </si>
  <si>
    <t>Action_Required</t>
  </si>
  <si>
    <t>소속</t>
    <phoneticPr fontId="4" type="noConversion"/>
  </si>
  <si>
    <t>파트</t>
    <phoneticPr fontId="4" type="noConversion"/>
  </si>
  <si>
    <t>MIP6</t>
    <phoneticPr fontId="4" type="noConversion"/>
  </si>
  <si>
    <t>Aramco</t>
    <phoneticPr fontId="4" type="noConversion"/>
  </si>
  <si>
    <t>-</t>
    <phoneticPr fontId="4" type="noConversion"/>
  </si>
  <si>
    <t>Mechanical Completion</t>
    <phoneticPr fontId="4" type="noConversion"/>
  </si>
  <si>
    <t>SM12</t>
    <phoneticPr fontId="4" type="noConversion"/>
  </si>
  <si>
    <t>정준택 상무</t>
    <phoneticPr fontId="4" type="noConversion"/>
  </si>
  <si>
    <t>장동철 책임</t>
    <phoneticPr fontId="4" type="noConversion"/>
  </si>
  <si>
    <t>Active</t>
  </si>
  <si>
    <t>IBRU</t>
    <phoneticPr fontId="4" type="noConversion"/>
  </si>
  <si>
    <t>BOC</t>
    <phoneticPr fontId="4" type="noConversion"/>
  </si>
  <si>
    <t>정태수 소장</t>
    <phoneticPr fontId="4" type="noConversion"/>
  </si>
  <si>
    <t>SHN1</t>
    <phoneticPr fontId="4" type="noConversion"/>
  </si>
  <si>
    <t>S-Oil</t>
    <phoneticPr fontId="4" type="noConversion"/>
  </si>
  <si>
    <t>이현영 실장</t>
    <phoneticPr fontId="4" type="noConversion"/>
  </si>
  <si>
    <t>이해석 책임</t>
    <phoneticPr fontId="4" type="noConversion"/>
  </si>
  <si>
    <t>ALOM</t>
    <phoneticPr fontId="4" type="noConversion"/>
  </si>
  <si>
    <t>Hyenco</t>
    <phoneticPr fontId="4" type="noConversion"/>
  </si>
  <si>
    <t>정민권 소장</t>
    <phoneticPr fontId="4" type="noConversion"/>
  </si>
  <si>
    <t>윤희수 책임</t>
    <phoneticPr fontId="4" type="noConversion"/>
  </si>
  <si>
    <t>VEQU</t>
    <phoneticPr fontId="4" type="noConversion"/>
  </si>
  <si>
    <t>EVN</t>
    <phoneticPr fontId="4" type="noConversion"/>
  </si>
  <si>
    <t>이윤석 소장</t>
    <phoneticPr fontId="4" type="noConversion"/>
  </si>
  <si>
    <t>STA4</t>
    <phoneticPr fontId="4" type="noConversion"/>
  </si>
  <si>
    <t>satorp</t>
    <phoneticPr fontId="4" type="noConversion"/>
  </si>
  <si>
    <t>임영빈 상무</t>
    <phoneticPr fontId="4" type="noConversion"/>
  </si>
  <si>
    <t>최우석 책임</t>
    <phoneticPr fontId="4" type="noConversion"/>
  </si>
  <si>
    <t>SAC2</t>
    <phoneticPr fontId="4" type="noConversion"/>
  </si>
  <si>
    <t>김형철 실장</t>
    <phoneticPr fontId="4" type="noConversion"/>
  </si>
  <si>
    <t>최종현 책임</t>
    <phoneticPr fontId="4" type="noConversion"/>
  </si>
  <si>
    <t>CSSP</t>
    <phoneticPr fontId="4" type="noConversion"/>
  </si>
  <si>
    <t>TotalEnergies</t>
    <phoneticPr fontId="4" type="noConversion"/>
  </si>
  <si>
    <t>박수철 상무</t>
    <phoneticPr fontId="4" type="noConversion"/>
  </si>
  <si>
    <t>정진우 책임</t>
    <phoneticPr fontId="4" type="noConversion"/>
  </si>
  <si>
    <t>PNG1</t>
    <phoneticPr fontId="4" type="noConversion"/>
  </si>
  <si>
    <t>ExxonMobil</t>
    <phoneticPr fontId="4" type="noConversion"/>
  </si>
  <si>
    <t>최성식 팀장</t>
    <phoneticPr fontId="4" type="noConversion"/>
  </si>
  <si>
    <t>강태준 책임</t>
    <phoneticPr fontId="4" type="noConversion"/>
  </si>
  <si>
    <t>ALSM</t>
    <phoneticPr fontId="4" type="noConversion"/>
  </si>
  <si>
    <t>HPLS</t>
    <phoneticPr fontId="4" type="noConversion"/>
  </si>
  <si>
    <t>백철욱 상무</t>
    <phoneticPr fontId="4" type="noConversion"/>
  </si>
  <si>
    <t>Bid</t>
    <phoneticPr fontId="4" type="noConversion"/>
  </si>
  <si>
    <t>완료</t>
    <phoneticPr fontId="4" type="noConversion"/>
  </si>
  <si>
    <t>미정</t>
    <phoneticPr fontId="4" type="noConversion"/>
  </si>
  <si>
    <t>Al-Fanar</t>
  </si>
  <si>
    <t>PCS</t>
  </si>
  <si>
    <t>PQAN-2025-001</t>
  </si>
  <si>
    <t>유요석</t>
  </si>
  <si>
    <t>배관</t>
  </si>
  <si>
    <t>SM12</t>
  </si>
  <si>
    <t>PI016</t>
  </si>
  <si>
    <t>-</t>
  </si>
  <si>
    <t>대구경 Lateral Tee 수압 시험 후 변형</t>
  </si>
  <si>
    <t>Fabricated Lateral Tee</t>
  </si>
  <si>
    <t>GAS METAL TECH</t>
  </si>
  <si>
    <t>사우디아라비아</t>
  </si>
  <si>
    <t>DAMMAM</t>
  </si>
  <si>
    <t>Hydrostatic Test</t>
  </si>
  <si>
    <t>대구경 Lateral Tee (84” x 80”, 68” x 54”, 48” x 30” 등)에 대한 수압 시험 후 Heel Side Notch 부분 변형 (Bulging) 발생</t>
  </si>
  <si>
    <t>Header – Branch 연결부에 국부적인 과부하 (압력) 발생 (타 구역 대비 수압시험 압력 ↑)
사업주 요건에 따른 수압시험 압력 계산식은 실제 재료의 강도 검증 목적으로 (실제 재료 두께 적용)_x000B_90% SMYS (Specified Material Yield Strength)을 고려한 Barlow’s Formula를 적용하기 때문에_x000B_계산된 수압시험 압력이 일반적인 계산 방식 (ASME B31.3 / 설계 압력 &amp; 온도에 따른 두께 적용) 대비 높음</t>
  </si>
  <si>
    <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t>
    <phoneticPr fontId="9" type="noConversion"/>
  </si>
  <si>
    <t>PQAN-2025-002</t>
  </si>
  <si>
    <t>회전</t>
  </si>
  <si>
    <t>STA4</t>
  </si>
  <si>
    <t>MR001</t>
  </si>
  <si>
    <t>NCR-STA4-MR001-HTC-ABB-001</t>
  </si>
  <si>
    <t>Centrifugal Compressor의 Main Motor FAT 중 Trip 발생</t>
  </si>
  <si>
    <t>Main Motor for Centrifugal Compressor</t>
  </si>
  <si>
    <t>ABB Finland</t>
  </si>
  <si>
    <t>핀란드</t>
  </si>
  <si>
    <t>HELSINKI</t>
  </si>
  <si>
    <t>Factory Acceptance Test</t>
  </si>
  <si>
    <t>Sub-Vendor</t>
  </si>
  <si>
    <t>Motor FAT (Routine &amp; Type Test)를 위한 기동 후 Rated Speed에서 고 진동 및 급격한 Voltage 저하 발생하였고 Load Generator에 의해
Motor 가동 중지됨. 분해 점검 결과, Rotor / Bearing / Labyrinth Seal 손상 확인되어 납기 지연 (재 제작) 발생</t>
  </si>
  <si>
    <t>해당 Motor는 Forced Lubrication System을 통해 Lube Oil이 공급되는 Type으로 Motor 기동 시 Oil Pump 가동이 우선 요구되나
Vendor 시험 운전원의 실수로 Oil Pump 미 가동 상태에서 Motor 기동하였음 (FAT 절차 미준수)</t>
  </si>
  <si>
    <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t>
    <phoneticPr fontId="9" type="noConversion"/>
  </si>
  <si>
    <t>PQAN-2025-003</t>
  </si>
  <si>
    <t>장치</t>
  </si>
  <si>
    <t>Refractory Lining 균열</t>
  </si>
  <si>
    <t>Refractory Lining (Castable) in Fired Equipment</t>
  </si>
  <si>
    <t>아이플랜트</t>
  </si>
  <si>
    <t>Final Inspection</t>
  </si>
  <si>
    <t>Fired Heater의 Refractory Lining (Castable) 시공 &amp; Pre-Dry out 후 균열 발생
Incinerator의 현장 설치 후 내부 확인 시 균열 발견</t>
  </si>
  <si>
    <t>제작
    ① 내화물의 배합 조건 (대기 / 물 / Mixing 온도, Dry Mixing, 배합 비율 등) 미 준수
    ② 내화물 시공 후 잔존 수분 제거 시 (Pre-Dry out) 열팽창/수축 (Heating/Cooling Rate) 관리 미흡
    ③ 내화물 작업 후 Full Curing 전, 후속작업을 위한 Lifting에 따른 충격과 Pre-Dry out 시 Castable 타설 부위의 국부하중-처짐
        (임시 지지대 수량 및 위치) 관리 미흡
운송 및 설치 (시간이 지남에 따라 미세 균열이 Crack으로 성장)
    ① 운송 과정의 진동과 하역 시 발생하는 충격, 설치과정에서의 미세한 뒤틀림 (구조적 응력)</t>
  </si>
  <si>
    <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t>
    <phoneticPr fontId="9" type="noConversion"/>
  </si>
  <si>
    <t>PQAN-2025-004</t>
  </si>
  <si>
    <t>Coating film 균열/박리 (Cracking/Flaking)</t>
  </si>
  <si>
    <t>Seal Drum &amp; PTFE Lining Piping spools</t>
  </si>
  <si>
    <t>After delivery (Site)</t>
  </si>
  <si>
    <t>Site</t>
  </si>
  <si>
    <t>Seal Drum 현장 설치 후 Internal Painting의 Flaking 발견됨
PTFE Lined Piping 현장 설치 후 External Painting의 Flaking 발생함</t>
  </si>
  <si>
    <t>Surface preparation 불량
    ① 기기 Internal 설치 상태에서 (탈착 불가) 도장 작업 수행으로, 표면 처리 (Surface preparation) 위한 Access 확보 애로 (표면 조도 불량)
    ② 도장작업 前, 표면 cleaning 작업 미흡 (이물질 잔존)
Painting Control 미흡
    ① Excessive coating film 적용에 따른 도막 Internal stress 증가  크랙 유발
    ② 도장 작업 관리 부족 (전체 Spool Inspection Report에 표면처리, 1st, 2nd, 3rd Coat 치수 동일)</t>
  </si>
  <si>
    <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t>
    <phoneticPr fontId="9" type="noConversion"/>
  </si>
  <si>
    <t>PQAN-2025-005</t>
  </si>
  <si>
    <t>Cracking Heater용 Burner 제작/조립 불량</t>
  </si>
  <si>
    <t>Hearth Burner (Cracking Heater)</t>
  </si>
  <si>
    <t>John Zink</t>
  </si>
  <si>
    <t>미국</t>
  </si>
  <si>
    <t>TULSA</t>
  </si>
  <si>
    <t>Hearth Burner 내부  S/S Liner Plate 마감 불량으로 Gap 발생 및 내부 보온재 돌출 
Hearth Burner와 Burner Tile 조립 시 Burner 상단의 Primary Riser Tip 과 Tile Hole의 Alignment가 허용 공차 (±3mm) 벗어남</t>
  </si>
  <si>
    <t>-  By Vendor 
    ① 작업자 기량 &amp; 제작 관리 수준 미흡 (균일 하지 않은 제품 품질) 
        : 현장 입고된 480개 Hearth Burner 중 436개 불량판정 &amp; 수리, Primary Riser Tip 1440ea (버너당 3개) 중 297개 불량 &amp; 재 제작   
    ② 공장 품질 관리 절차 미흡 : 합/부 기준 및 Internal 검사 절차 부재 (Random Sample 검사 Only)
- By Contractor 
    ① Trial Fit 수량 불충분 : (Primary Riser Tip과 tile Hole간) alignment 검사 수량 선정 미흡으로 전반적인 품질 수준 판단 기회 상실
        → Spec. 요건 (One per each type) 적용 시, 전체 수량 및 검사 중요도 고려 미흡
    ② Licensor(Proprietary) 품목에 대한 품질 관리 방안 개선 요구 및 적용 애로 (검사 빈도, 수량 등)</t>
  </si>
  <si>
    <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t>
    <phoneticPr fontId="9" type="noConversion"/>
  </si>
  <si>
    <t>PQAN-2025-006</t>
  </si>
  <si>
    <t>Pipe Inside Surface Imperfection</t>
  </si>
  <si>
    <t>Carbon Steel Seamless Pipe</t>
  </si>
  <si>
    <t>Tenaris</t>
  </si>
  <si>
    <t>이탈리아</t>
    <phoneticPr fontId="9" type="noConversion"/>
  </si>
  <si>
    <t>DALMINE</t>
  </si>
  <si>
    <t>현장 입고 후 Pipe 외관 검사 중 내부 표면에서 Expanding Mark, Pit, Heavy Mill scale 등이 발견됨</t>
  </si>
  <si>
    <t>Rotary expansion 공정 중 노후화로 마모된 Expanding Mandrel의 형상이 PIPE 내면에 전사되어 자국 형성
Pipe 생산 중 생성된 Mill scale 제거부위에 (후처리 공정) Pit 형상의 고르지 못한 Surface Imperfection 발생
수압 시험 중 떨어진 Scale이 완전 제거되지 않고 Pipe 벽면에 재 부착 &amp; 두꺼운 Scale층 형성
Pipe 생산 중 열처리 (Normalizing, Quenching &amp; Tempering 등)에 사용되는 연소 gas의 Oxygen content, Temperature 범위 &amp; Holding Time 관리 불량
Pipe 생산 후처리 공정 중 내면 Blowing &amp; Grinding 작업 미흡</t>
  </si>
  <si>
    <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t>
    <phoneticPr fontId="9" type="noConversion"/>
  </si>
  <si>
    <t>PQAN-2025-007</t>
  </si>
  <si>
    <t>전기</t>
  </si>
  <si>
    <t>변압기 탱크의 누유</t>
  </si>
  <si>
    <t>Power Transformer</t>
  </si>
  <si>
    <t>현대일렉트릭</t>
  </si>
  <si>
    <t>현장 입고 된 변압기의 외부에서 Oil Leak 흔적이 발견됨</t>
  </si>
  <si>
    <t>공장 압력시험 (0.35kgf/㎠, 24시간 Holding) 중에는 Oil Leak 확인되지 않았으나 현장 인도/설치 이후 모래먼지 포집 흔적 등으로 Oil Leak가 발견되었고, 세부 조사 결과 변압기 Tank 제작 시 다수의 용접 결함이 발생한 것으로 확인됨
변압기 탱크 구조 및 형상 제한에 따른 용접 작업 애로 → 결함 발생  
형식적인 용접부 외관 검사 및 비파괴 (PT) 수행으로 표면 용접결함 확인 실패</t>
  </si>
  <si>
    <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t>
    <phoneticPr fontId="9" type="noConversion"/>
  </si>
  <si>
    <t>PQAN-2025-008</t>
  </si>
  <si>
    <t>Casting Valve - Stem Packing 누설</t>
  </si>
  <si>
    <t>Casting Valve</t>
  </si>
  <si>
    <t>Neway</t>
  </si>
  <si>
    <t>중국</t>
  </si>
  <si>
    <t>모듈샵 수압시험 중 Casting Valve의 Stem Packing 부위에서 지속적으로 누설 발생함</t>
  </si>
  <si>
    <t>프로젝트 Piping Material Spec.은 451℃ ~ 800℃ 고온 조건만 고려하여 Packing 재질 (MICA or Equivalent)을 규정하고 있음 (압력 미 고려) 
Packing 재질로써 MICA만 적용할 경우, 재질 특성상 고온에는 강하지만 고압에서는 Sealing 성능이 저하될 수 있음
TBE 시 타 업체는 대안으로 MICA + α (적층구조)를 제시하였으나, 본 공급업체는 프로젝트 요구사항에 따른 MICA 단일 재질을 적용하였음
고압 (Class 2500) Valve에서 집중적으로 누설 발생  MICA + Graphite로 설계 변경 추진</t>
  </si>
  <si>
    <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t>
    <phoneticPr fontId="9" type="noConversion"/>
  </si>
  <si>
    <t>PQAN-2025-009</t>
  </si>
  <si>
    <t>애관 외관 결함
Bushing Surface Defect</t>
  </si>
  <si>
    <t>Bushing Insulator (Ceramic Type)</t>
  </si>
  <si>
    <t>메인: 삼화컨덴서
제작: 태성 세라믹
조립: 남도전기</t>
  </si>
  <si>
    <t>-Power Capacitor의 현장 자재 인수 검사 중, 애관 표면에 Hole 형태의 외관 결함 발견됨
-Power Transformer의 현장 자재 인수 검사 중, 애관 표면에 Crack 발견됨</t>
  </si>
  <si>
    <t>-Ceramic 애관 제작은 수작업으로 이뤄지며 (도자기 제작과 유사), 작업자 숙련도에 따라 제품 품질 상이
-애관 제작 관련 PJT Spec.  / Code  요건이 계약에 반영되어 있지 않고 Vendor 자체 육안 검사(형식적) 외에 품질관리 요건 미적용 (KS 3801 / 3802, IEC 60137 등 관련 Code 있으나 전기 Item의 Sub-sub component로 품질 관리 대상에서 제외됨)
-애관 설치 시, Over torque 적용 / Bolt 체결 순서 미 준수 / Clamp 모서리 Notch에 애관이 눌리며 Crack 발생</t>
  </si>
  <si>
    <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t>
    <phoneticPr fontId="9" type="noConversion"/>
  </si>
  <si>
    <t>PQAN-2025-010</t>
  </si>
  <si>
    <t>열교환기 내부의 수압시험 잔류수/응축수</t>
  </si>
  <si>
    <t>열교환기</t>
  </si>
  <si>
    <t xml:space="preserve">중국: Dongfang
미국: Chromalox
한국: </t>
  </si>
  <si>
    <t>-열교환기의 현장 자재 인수 검사 중, 기기 내부에서 수압시험 잔류수 또는 부적절한 N2 Purging에 따른 응축수 발견됨
-수압시험 잔류수 / 응축수의 장기 노출에 따른 Shell / Tube side에 Rust contamination 발생함</t>
  </si>
  <si>
    <t xml:space="preserve">-기기 configuration을 고려한 Drain 절차 미수립으로 (Floating Head 하단과 tubesheet의 높이차 미고려) 수압시험 잔류수 잔존
-Drain &amp; Dry out 후 부적절한 검사 수행 (Borescope 등을 활용한 기기 내부 잔류수 확인 절차 미적용)
-수압시험 시 녹 발생 방지용 Inhibitor 미적용
-부적절한 N2 Purging 수행 (N2 Purging 반복 : Air → N2 치환) 및 기기 내부 이슬점 온도 미확인 </t>
  </si>
  <si>
    <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t>
    <phoneticPr fontId="9" type="noConversion"/>
  </si>
  <si>
    <t>PQAN-2026-001</t>
  </si>
  <si>
    <t>도장 색상 불일치</t>
  </si>
  <si>
    <t>Deaerator</t>
  </si>
  <si>
    <t>Stork</t>
  </si>
  <si>
    <t>네덜란드</t>
  </si>
  <si>
    <t>Painting Inspection</t>
  </si>
  <si>
    <t>도장 검사 중 일부 기자재의 Final 도장 색상이 요구 사항과 상이함이 발견됨
Deaerator Saddle Part (요구사항: RAL 7042 / 실제적용: RAL 7032)
Power Distribution Board (요구사항: RAL 7042 / 실제적용: RAL 7035)</t>
  </si>
  <si>
    <t xml:space="preserve">-도장 제조사 / International의 Silicone Acrylic 계열 도장재의 가용 색상(RAL 7042) 확인 없이 절차서 작성, 유사 색상(RAL7032) 임의 적용 
-도장 사양 및 도장절차서 상에 명기되어 있는 색상 확인 절차 누락
</t>
  </si>
  <si>
    <t xml:space="preserve">-도장절차서 제출 시, 제조사 Datasheet + 색상 가용 확인 Letter 검토
-검사 시, RAL-Munsell Code 활용 의무화 (MR 반영)
</t>
  </si>
  <si>
    <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t>
    <phoneticPr fontId="9" type="noConversion"/>
  </si>
  <si>
    <t>Power Distribution Board</t>
  </si>
  <si>
    <t>사우디아라비아</t>
    <phoneticPr fontId="9" type="noConversion"/>
  </si>
  <si>
    <t>PQAN-2026-002</t>
  </si>
  <si>
    <t>Pump Casing 주조결함
(1. Pump Casing Casting 결함)</t>
  </si>
  <si>
    <t>Centrifugal Pump</t>
  </si>
  <si>
    <t>Flowserve / Peekay Steel</t>
  </si>
  <si>
    <t>인도</t>
    <phoneticPr fontId="9" type="noConversion"/>
  </si>
  <si>
    <t>Visual Inspection</t>
  </si>
  <si>
    <t xml:space="preserve">Super Duplex Stainless Steel (SDSS)로 제작된 Pump Casing의 Casting 결함에 따른 Pump 제작 지연 및 시운전 중 Leak 발생 </t>
  </si>
  <si>
    <t>-Casting 결함 – Porosity, Shrinkage, Crack 등
  - Casting 전, Pump Model별 Pattern 및 주조 관리 역량 검증 미흡</t>
  </si>
  <si>
    <t>-NORSOK M-650 Certificate 등 Casting Foundry 제조 역량 사전 검증
-신규 Pattern에 대해 주물 유동, 응고 해석 등 주조 관리 방안 시뮬레이션 검증
-SDSS 용접 보수 시, Post-Weld Heat Treatment 적용</t>
  </si>
  <si>
    <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t>
    <phoneticPr fontId="9" type="noConversion"/>
  </si>
  <si>
    <t>Pump Casing 주조결함
(2. Casting Cleaning window 관리)</t>
  </si>
  <si>
    <t>Sulzer Saudi / Ultimate Alloy</t>
  </si>
  <si>
    <t>-Cleaning Window 임의 적용
  - Casting 단계에서 Cleaning Window 적용 여부 미확인</t>
  </si>
  <si>
    <t xml:space="preserve">-제작 전, Casing에 Cleaning Window 적용 여부 확인
-Cleaning Window 적용 시, Window Closing을 위한 WPS/PQR, Welding Map 검토 및 용접부 건전성 확인 (UT / RT)
</t>
  </si>
  <si>
    <t>PQAN-2026-003</t>
  </si>
  <si>
    <t>Oxygen Service Valve의 Cleanliness 요건 불만족(EIGA 33) - 포장손상</t>
  </si>
  <si>
    <t>Forged Valve (Oxygen Servie)</t>
  </si>
  <si>
    <t>OMB</t>
  </si>
  <si>
    <t xml:space="preserve">Oxygen Valve에 대한 현장 자재인수검사 중 포장 손상, 밀봉 손상, 표면 오염이 발견되었고, 이는 EIGA Doc 33/18에 따라 확보한 Cleanliness의 훼손을 의미함
※ EIGA Doc 33/18, Para. 10: Clean Room에서 Cleanliness 검사 완료 직후 오염 방지를 위한 밀봉 작업이 이루어져야 함
</t>
  </si>
  <si>
    <t xml:space="preserve">Cleanliness Requirements를 고려하지 않은 
 Packing Method 적용
  - 개별 Seal Packing 손상 방지를 위한 
     Wooden Box – Valve 간 보호조치 미흡
  - Valve 간 충돌 방지를 위한 보호조치 및 충분한 
     이격거리 미확보 (밀집 포장)
Valve 외부 표면 오염 
  - Seal Packing 손상 또는 Seal Packing 
     작업 미흡으로 인해 산소 유입 
  - Valve 표면에 흡착된 철가루가 산화하여 녹 발생 추정
</t>
  </si>
  <si>
    <t xml:space="preserve">개별 Seal Packing 등 내부 손상 방지를 위한 Packing Procedure 수립 및 이행
  - Valve – Valve, Wooden Box – Valve 간 Protection 방안 
     (Ex. Seal Packing - Bubble Wrap 이중포장) 
  - Nail이 아닌 Screw를 사용한 Boxing 작업 수행
Vendor 반송 (Vendor Guarantee) &amp; 하기 검사항목 100% 입회검사 진행 (by TPI) 
  - Cleaning &amp; Cleanliness Inspection / Seal Packing Process (at Clean Room) 
  - Packing (Wooden Box Closing) Inspection
</t>
  </si>
  <si>
    <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t>
    <phoneticPr fontId="9" type="noConversion"/>
  </si>
  <si>
    <t>PQAN-2026-004</t>
  </si>
  <si>
    <t>철골</t>
  </si>
  <si>
    <t>Steel Structure 도장 박리</t>
  </si>
  <si>
    <t>Steel Structure</t>
  </si>
  <si>
    <t>KIC</t>
  </si>
  <si>
    <t>배관 Spool &amp; 철골 도장 후 자재 인수검사 / 현장설치 후 도장박리 발생으로 Bare Steel 노출</t>
  </si>
  <si>
    <t xml:space="preserve">일반 Inorganic Zinc 도료는 상대적으로 높은 온도와 습도 조건에서 경화 성능 발현
  - 동절기 저온/저습 환경에서 경화 지연 및 경화 시간 
     불충분으로 불완전 경화
Inorganic Zinc Primer Coat의 불완전 경화 (Curing)로 인한 Substrate와의 계면 접착력 저하
Intermediate Coat의 경화 (Curing) 과정에서 발생한 수축 응력이 불완전 경화된 Primer Coat에 인장 응력으로 작용하여 계면 박리 발생 (철골)    
</t>
  </si>
  <si>
    <t xml:space="preserve">Paint Maker의 Technical Data Sheet (TDS) 및 Application Guide의 도장 요건 준수
계절별 충분한 온도/습도 및 경화시간 확보
Inorganic Zinc의 불완전 경화가 의심되는 경우 MEK Test 실시
Substrate 표면처리 적합성 확인 검사 수행
  - Press O Film Test, Dust Test,  Salt Contamination Test
Production Paint 수행 전 Paint Panel Test (Mock-up Test) 수행
</t>
  </si>
  <si>
    <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t>
    <phoneticPr fontId="9" type="noConversion"/>
  </si>
  <si>
    <t>3P</t>
    <phoneticPr fontId="9" type="noConversion"/>
  </si>
  <si>
    <t>N/A (2025 실적 없음)</t>
    <phoneticPr fontId="9" type="noConversion"/>
  </si>
  <si>
    <t>A&amp;A</t>
    <phoneticPr fontId="9" type="noConversion"/>
  </si>
  <si>
    <t>ACES</t>
    <phoneticPr fontId="9" type="noConversion"/>
  </si>
  <si>
    <t>APAVE</t>
    <phoneticPr fontId="9" type="noConversion"/>
  </si>
  <si>
    <t>APPLUS</t>
    <phoneticPr fontId="9" type="noConversion"/>
  </si>
  <si>
    <t>BROOKE</t>
    <phoneticPr fontId="9" type="noConversion"/>
  </si>
  <si>
    <t>BV</t>
    <phoneticPr fontId="9" type="noConversion"/>
  </si>
  <si>
    <t>DNV</t>
    <phoneticPr fontId="9" type="noConversion"/>
  </si>
  <si>
    <t>ERAM</t>
    <phoneticPr fontId="9" type="noConversion"/>
  </si>
  <si>
    <t>FE</t>
    <phoneticPr fontId="9" type="noConversion"/>
  </si>
  <si>
    <t>GISCO</t>
    <phoneticPr fontId="9" type="noConversion"/>
  </si>
  <si>
    <t>GOODIN</t>
    <phoneticPr fontId="9" type="noConversion"/>
  </si>
  <si>
    <t>INTERTEK</t>
    <phoneticPr fontId="9" type="noConversion"/>
  </si>
  <si>
    <t>KOTEC</t>
    <phoneticPr fontId="9" type="noConversion"/>
  </si>
  <si>
    <t>PETRO-Q</t>
    <phoneticPr fontId="9" type="noConversion"/>
  </si>
  <si>
    <t>PETROZONE</t>
    <phoneticPr fontId="9" type="noConversion"/>
  </si>
  <si>
    <t>RINA</t>
    <phoneticPr fontId="9" type="noConversion"/>
  </si>
  <si>
    <t>SGS</t>
    <phoneticPr fontId="9" type="noConversion"/>
  </si>
  <si>
    <t>TEXIN</t>
    <phoneticPr fontId="9" type="noConversion"/>
  </si>
  <si>
    <t>TQ CERT</t>
    <phoneticPr fontId="9" type="noConversion"/>
  </si>
  <si>
    <t>TECHNOCRAT</t>
    <phoneticPr fontId="9" type="noConversion"/>
  </si>
  <si>
    <t>TUV NORD</t>
    <phoneticPr fontId="9" type="noConversion"/>
  </si>
  <si>
    <t>TUV RHEINLAND</t>
    <phoneticPr fontId="9" type="noConversion"/>
  </si>
  <si>
    <t>ACE PLANTECH</t>
    <phoneticPr fontId="9" type="noConversion"/>
  </si>
  <si>
    <t>AMO</t>
    <phoneticPr fontId="9" type="noConversion"/>
  </si>
  <si>
    <t>HEBO</t>
    <phoneticPr fontId="9" type="noConversion"/>
  </si>
  <si>
    <t>SITCO</t>
    <phoneticPr fontId="9" type="noConversion"/>
  </si>
  <si>
    <t>N/A</t>
    <phoneticPr fontId="4" type="noConversion"/>
  </si>
  <si>
    <t>SAC2</t>
    <phoneticPr fontId="9" type="noConversion"/>
  </si>
  <si>
    <t>USD</t>
    <phoneticPr fontId="9" type="noConversion"/>
  </si>
  <si>
    <t>ALOM</t>
    <phoneticPr fontId="9" type="noConversion"/>
  </si>
  <si>
    <t>MIP6</t>
    <phoneticPr fontId="9" type="noConversion"/>
  </si>
  <si>
    <t>SM12</t>
    <phoneticPr fontId="9" type="noConversion"/>
  </si>
  <si>
    <t>STA4</t>
    <phoneticPr fontId="9" type="noConversion"/>
  </si>
  <si>
    <t>IBRU</t>
    <phoneticPr fontId="9" type="noConversion"/>
  </si>
  <si>
    <t>SHN1</t>
    <phoneticPr fontId="9" type="noConversion"/>
  </si>
  <si>
    <t>KRW</t>
    <phoneticPr fontId="9" type="noConversion"/>
  </si>
  <si>
    <t>VEQU</t>
    <phoneticPr fontId="9" type="noConversion"/>
  </si>
  <si>
    <t>유요석 팀장</t>
    <phoneticPr fontId="4" type="noConversion"/>
  </si>
  <si>
    <t>플랜트구매품질팀</t>
    <phoneticPr fontId="4" type="noConversion"/>
  </si>
  <si>
    <t>본사</t>
    <phoneticPr fontId="4" type="noConversion"/>
  </si>
  <si>
    <t>G3</t>
    <phoneticPr fontId="4" type="noConversion"/>
  </si>
  <si>
    <t>해당없음</t>
    <phoneticPr fontId="9" type="noConversion"/>
  </si>
  <si>
    <t>강택기 책임</t>
    <phoneticPr fontId="4" type="noConversion"/>
  </si>
  <si>
    <t>Piping</t>
    <phoneticPr fontId="4" type="noConversion"/>
  </si>
  <si>
    <t>SAC2 / VEQU</t>
    <phoneticPr fontId="4" type="noConversion"/>
  </si>
  <si>
    <t>Electrical &amp; Instrument</t>
    <phoneticPr fontId="4" type="noConversion"/>
  </si>
  <si>
    <t>ALOM / VEQU</t>
    <phoneticPr fontId="4" type="noConversion"/>
  </si>
  <si>
    <t>STA4 / ALOM / CSSP</t>
    <phoneticPr fontId="4" type="noConversion"/>
  </si>
  <si>
    <t>서민 책임</t>
    <phoneticPr fontId="4" type="noConversion"/>
  </si>
  <si>
    <t>Rotating</t>
    <phoneticPr fontId="4" type="noConversion"/>
  </si>
  <si>
    <t>STA4 / CSSP / PNG1</t>
    <phoneticPr fontId="4" type="noConversion"/>
  </si>
  <si>
    <t>SM12 / IBRU / CSSP / PNG1</t>
    <phoneticPr fontId="4" type="noConversion"/>
  </si>
  <si>
    <t>Static</t>
    <phoneticPr fontId="4" type="noConversion"/>
  </si>
  <si>
    <t>SM12 / ALOM / CSSP</t>
    <phoneticPr fontId="4" type="noConversion"/>
  </si>
  <si>
    <t>나광조 책임</t>
    <phoneticPr fontId="4" type="noConversion"/>
  </si>
  <si>
    <t>G2</t>
    <phoneticPr fontId="4" type="noConversion"/>
  </si>
  <si>
    <t>SHN1 / ALOM / CSSP / PNG1</t>
    <phoneticPr fontId="4" type="noConversion"/>
  </si>
  <si>
    <t>PNG1 / ALSM</t>
    <phoneticPr fontId="4" type="noConversion"/>
  </si>
  <si>
    <t>VEQU / CSSP / PNG1</t>
    <phoneticPr fontId="4" type="noConversion"/>
  </si>
  <si>
    <t>STA4 / SHN1</t>
    <phoneticPr fontId="4" type="noConversion"/>
  </si>
  <si>
    <t>석우경 매니저</t>
    <phoneticPr fontId="4" type="noConversion"/>
  </si>
  <si>
    <t>G1</t>
    <phoneticPr fontId="4" type="noConversion"/>
  </si>
  <si>
    <t>ALOM / CSSP / PNG1</t>
    <phoneticPr fontId="4" type="noConversion"/>
  </si>
  <si>
    <t>고팔라크리스낸 매니저</t>
    <phoneticPr fontId="4" type="noConversion"/>
  </si>
  <si>
    <t>GS</t>
    <phoneticPr fontId="4" type="noConversion"/>
  </si>
  <si>
    <t>STA4 / VEQU / CSSP / PNG1</t>
    <phoneticPr fontId="4" type="noConversion"/>
  </si>
  <si>
    <t>술탄 매니저</t>
    <phoneticPr fontId="4" type="noConversion"/>
  </si>
  <si>
    <t>VEQU / CSSP</t>
    <phoneticPr fontId="4" type="noConversion"/>
  </si>
  <si>
    <t>엥흐철멍 매니저</t>
    <phoneticPr fontId="4" type="noConversion"/>
  </si>
  <si>
    <t>현장</t>
    <phoneticPr fontId="4" type="noConversion"/>
  </si>
  <si>
    <t>강인묵 책임</t>
    <phoneticPr fontId="4" type="noConversion"/>
  </si>
  <si>
    <t>서울사무소</t>
    <phoneticPr fontId="4" type="noConversion"/>
  </si>
  <si>
    <t>STA4 / CSSP</t>
    <phoneticPr fontId="4" type="noConversion"/>
  </si>
  <si>
    <t>최영준 책임</t>
    <phoneticPr fontId="4" type="noConversion"/>
  </si>
  <si>
    <t>임효원 책임</t>
    <phoneticPr fontId="4" type="noConversion"/>
  </si>
  <si>
    <t>P6</t>
    <phoneticPr fontId="4" type="noConversion"/>
  </si>
  <si>
    <t>황윤섭 책임</t>
    <phoneticPr fontId="4" type="noConversion"/>
  </si>
  <si>
    <t>P5</t>
    <phoneticPr fontId="4" type="noConversion"/>
  </si>
  <si>
    <t>조상래 매니저</t>
    <phoneticPr fontId="4" type="noConversion"/>
  </si>
  <si>
    <t>박지애 매니저</t>
    <phoneticPr fontId="4" type="noConversion"/>
  </si>
  <si>
    <t>P2</t>
    <phoneticPr fontId="4" type="noConversion"/>
  </si>
  <si>
    <t>박재석 책임</t>
    <phoneticPr fontId="4" type="noConversion"/>
  </si>
  <si>
    <t>유녕희 매니저</t>
    <phoneticPr fontId="4" type="noConversion"/>
  </si>
  <si>
    <t>P3</t>
    <phoneticPr fontId="9" type="noConversion"/>
  </si>
  <si>
    <t>Inspection Coordinator</t>
    <phoneticPr fontId="9" type="noConversion"/>
  </si>
  <si>
    <t>최보윤 매니저</t>
    <phoneticPr fontId="4" type="noConversion"/>
  </si>
  <si>
    <t>P1</t>
    <phoneticPr fontId="9" type="noConversion"/>
  </si>
  <si>
    <t>성유진 매니저</t>
    <phoneticPr fontId="4" type="noConversion"/>
  </si>
  <si>
    <t>STA4</t>
    <phoneticPr fontId="15" type="noConversion"/>
  </si>
  <si>
    <t>장치</t>
    <phoneticPr fontId="15" type="noConversion"/>
  </si>
  <si>
    <t>MS001</t>
    <phoneticPr fontId="15" type="noConversion"/>
  </si>
  <si>
    <t>PRESSURE VESSEL I</t>
  </si>
  <si>
    <t>12 ea</t>
    <phoneticPr fontId="15" type="noConversion"/>
  </si>
  <si>
    <t>고팔라크리스낸 매니저</t>
    <phoneticPr fontId="15" type="noConversion"/>
  </si>
  <si>
    <t>최영준 책임</t>
    <phoneticPr fontId="15" type="noConversion"/>
  </si>
  <si>
    <t>MS002</t>
    <phoneticPr fontId="15" type="noConversion"/>
  </si>
  <si>
    <t>PRESSURE VESSEL II</t>
  </si>
  <si>
    <t>13 ea</t>
    <phoneticPr fontId="15" type="noConversion"/>
  </si>
  <si>
    <t>MS003</t>
  </si>
  <si>
    <t>PRESSURE VESSEL III</t>
  </si>
  <si>
    <t>1 ea</t>
    <phoneticPr fontId="15" type="noConversion"/>
  </si>
  <si>
    <t>완료</t>
    <phoneticPr fontId="15" type="noConversion"/>
  </si>
  <si>
    <t>MS004</t>
  </si>
  <si>
    <t>FILTER</t>
  </si>
  <si>
    <t>7 ea</t>
    <phoneticPr fontId="15" type="noConversion"/>
  </si>
  <si>
    <t>정진우</t>
    <phoneticPr fontId="15" type="noConversion"/>
  </si>
  <si>
    <t>MS005</t>
  </si>
  <si>
    <t>SHELL AND TUBE HEAT EXCHANGER</t>
  </si>
  <si>
    <t>3 ea</t>
    <phoneticPr fontId="15" type="noConversion"/>
  </si>
  <si>
    <t>MS006</t>
  </si>
  <si>
    <t>AIR COOLED HEAT EXCHANGER</t>
  </si>
  <si>
    <t>MS007</t>
  </si>
  <si>
    <t>PLATE &amp; FRAME HEAT EXCHANGER</t>
  </si>
  <si>
    <t>MS008</t>
  </si>
  <si>
    <t>SALINE COOLING WATER FILTER PACKAGE</t>
  </si>
  <si>
    <t>33 ea</t>
    <phoneticPr fontId="15" type="noConversion"/>
  </si>
  <si>
    <t>정진우 책임</t>
    <phoneticPr fontId="15" type="noConversion"/>
  </si>
  <si>
    <t>MS011</t>
    <phoneticPr fontId="15" type="noConversion"/>
  </si>
  <si>
    <t>STORAGE TANK</t>
  </si>
  <si>
    <t>17 ea</t>
    <phoneticPr fontId="15" type="noConversion"/>
  </si>
  <si>
    <t>MS012</t>
    <phoneticPr fontId="15" type="noConversion"/>
  </si>
  <si>
    <t>EDUCTOR</t>
  </si>
  <si>
    <t>IDR 필요없음 / VIRB 제출완료</t>
    <phoneticPr fontId="15" type="noConversion"/>
  </si>
  <si>
    <t>MS013</t>
  </si>
  <si>
    <t>STATIC MIXER</t>
  </si>
  <si>
    <t>MS014</t>
  </si>
  <si>
    <t>DESUPER HEATER</t>
  </si>
  <si>
    <t>IDR 체출완료 / VIRB 제출완료</t>
    <phoneticPr fontId="15" type="noConversion"/>
  </si>
  <si>
    <t>MS015</t>
  </si>
  <si>
    <t>SILENCER</t>
  </si>
  <si>
    <t>NA</t>
    <phoneticPr fontId="15" type="noConversion"/>
  </si>
  <si>
    <t>Non inspectable</t>
    <phoneticPr fontId="15" type="noConversion"/>
  </si>
  <si>
    <t>MS016</t>
  </si>
  <si>
    <t>DEAERATOR</t>
  </si>
  <si>
    <t>MS017</t>
  </si>
  <si>
    <t>AIR DRYER PACKAGE</t>
  </si>
  <si>
    <t>AIR DRYER PACKAGE 1 lot</t>
    <phoneticPr fontId="15" type="noConversion"/>
  </si>
  <si>
    <t>Loose Supplied Valve 검사 완료</t>
    <phoneticPr fontId="15" type="noConversion"/>
  </si>
  <si>
    <t>MS018</t>
  </si>
  <si>
    <t>LIN STORAGE &amp; VAPORIZATION SYSTEM</t>
  </si>
  <si>
    <t>LIN STORAGE &amp; VAPORIZATION 1 lot
-. LIN Storage Vessel (6ea) (Inner / outer)
-. Steam Bath Vaporizer (3ea)
-. Nitrogen Pressure Built-up Vaporizer (6ea) - 완료
-. Nitrogen boil off heater (2ea) - 완료
-. Interconnecting piping
-. Piping Skid (1set)</t>
    <phoneticPr fontId="15" type="noConversion"/>
  </si>
  <si>
    <t>MS019</t>
  </si>
  <si>
    <t>ACTIVATED CARBON FILTER PACKAGE</t>
  </si>
  <si>
    <t>ACFP (FILTREX SRL) 3 Skid
Filter Vessel (Fabtech) 3 EA</t>
    <phoneticPr fontId="15" type="noConversion"/>
  </si>
  <si>
    <t>MS020</t>
  </si>
  <si>
    <t>INCINERATOR PACKAGE</t>
  </si>
  <si>
    <t>Incinerator Package 1 lot (ZEECO)
Chamber &amp; Stack 4 set (Morimatsu) - 완료
Air blower 4 set
Burner 2 set - 완료</t>
    <phoneticPr fontId="15" type="noConversion"/>
  </si>
  <si>
    <t>Skid IRC 발급 기준 / Anchor bolt IRC 발행 완료 / Chamber &amp; Stack STD Flange 수급으로 11월 말 납품가능</t>
    <phoneticPr fontId="15" type="noConversion"/>
  </si>
  <si>
    <t>고팔라크리스낸 매니저</t>
  </si>
  <si>
    <t>MS021</t>
  </si>
  <si>
    <t>FLARE PACKAGE</t>
  </si>
  <si>
    <t>LPEF 1 lot (ZEECO)
MPGF 1 lot (ZEECO)
Derrick Structure 1 lot (FMC) 
Water Seal Drum 1 lot (SAMIF)
Dish Head for WSD 2 ea (AOI)
Radiation Fence 1 lot (Al Kabii)</t>
    <phoneticPr fontId="15" type="noConversion"/>
  </si>
  <si>
    <t xml:space="preserve">Stack Riser 7기 모두 IRC 발행 (ZEECO), Derrick Structure IRC 100% (FMC), Derrick 2nd Structure IRC 90% (Al Kaabi), LPEF &amp; MPGF 납기지연 공문 접수 </t>
  </si>
  <si>
    <t>MS023</t>
    <phoneticPr fontId="15" type="noConversion"/>
  </si>
  <si>
    <t>FLARE GAS RECOVERY PACKAGE</t>
  </si>
  <si>
    <t>FGRP 1 lot
Centri. Pump 1 lot
Air Cooler 1 lot - 완료
Spearator Vessel 1 lot
Motor 1 lot - 완료</t>
    <phoneticPr fontId="15" type="noConversion"/>
  </si>
  <si>
    <t>MS024</t>
    <phoneticPr fontId="15" type="noConversion"/>
  </si>
  <si>
    <t>EXPLOSION HATCH</t>
  </si>
  <si>
    <t>완료</t>
  </si>
  <si>
    <t>307.5 MT</t>
  </si>
  <si>
    <t>IDR 필요없음 / VIRB 진행필요</t>
    <phoneticPr fontId="15" type="noConversion"/>
  </si>
  <si>
    <t>최우석 책임</t>
    <phoneticPr fontId="15" type="noConversion"/>
  </si>
  <si>
    <t>철골</t>
    <phoneticPr fontId="15" type="noConversion"/>
  </si>
  <si>
    <t>SS001</t>
    <phoneticPr fontId="15" type="noConversion"/>
  </si>
  <si>
    <t xml:space="preserve">STRUCTURAL STEEL </t>
  </si>
  <si>
    <t>22500 MT</t>
  </si>
  <si>
    <t>IDR 작성필요 / VIRB 제출필요</t>
    <phoneticPr fontId="15" type="noConversion"/>
  </si>
  <si>
    <t>SC002</t>
    <phoneticPr fontId="15" type="noConversion"/>
  </si>
  <si>
    <t>2150 MT</t>
  </si>
  <si>
    <t>IDR 필요없음 / VIRB 진행필요없음</t>
    <phoneticPr fontId="15" type="noConversion"/>
  </si>
  <si>
    <t>회전</t>
    <phoneticPr fontId="15" type="noConversion"/>
  </si>
  <si>
    <t>MR001</t>
    <phoneticPr fontId="15" type="noConversion"/>
  </si>
  <si>
    <t>CENTRIFUGAL COMPRESSOR (API 617)</t>
  </si>
  <si>
    <t>CENTRIFUGAL COMPRESSOR (API 617) : 1 ea
MOTOR FOR CENTRIFUGAL COMPRESSOR (API 617) : 1 ea
Gear Box FOR CENTRIFUGAL COMPRESSOR (API 617) : 1 ea
Lube Oil Unit FOR CENTRIFUGAL COMPRESSOR (API 617) : 1 ea</t>
    <phoneticPr fontId="15" type="noConversion"/>
  </si>
  <si>
    <t>100%
100%
100%
100%</t>
    <phoneticPr fontId="15" type="noConversion"/>
  </si>
  <si>
    <t>VIRB 진행필요 / IDR 작성필요</t>
    <phoneticPr fontId="15" type="noConversion"/>
  </si>
  <si>
    <t>서민 책임</t>
    <phoneticPr fontId="15" type="noConversion"/>
  </si>
  <si>
    <t>장동철 책임</t>
    <phoneticPr fontId="15" type="noConversion"/>
  </si>
  <si>
    <t>MR003</t>
    <phoneticPr fontId="15" type="noConversion"/>
  </si>
  <si>
    <t>AIR COMPRESSOR PACKAGE (API 672)</t>
  </si>
  <si>
    <t>AIR COMPRESSOR PACKAGE (API 672) : 4 ea
Motor for AIR COMPRESSOR PACKAGE (API 672) : 4 ea</t>
    <phoneticPr fontId="15" type="noConversion"/>
  </si>
  <si>
    <t>100%
100%</t>
    <phoneticPr fontId="15" type="noConversion"/>
  </si>
  <si>
    <t>MR004</t>
    <phoneticPr fontId="15" type="noConversion"/>
  </si>
  <si>
    <t>BOILER FEED WATER PUMP (API 610 BB)</t>
  </si>
  <si>
    <t>BOILER FEED WATER PUMP (API 610 BB) : 3 ea
Motor for BOILER FEED WATER PUMP (API 610 BB) : 3 ea</t>
    <phoneticPr fontId="15" type="noConversion"/>
  </si>
  <si>
    <t>VIRB 진행 중 / IDR 작성 필요</t>
    <phoneticPr fontId="15" type="noConversion"/>
  </si>
  <si>
    <t>MR005</t>
    <phoneticPr fontId="15" type="noConversion"/>
  </si>
  <si>
    <t>COOLING WATER PUMP (API 610 BB)</t>
  </si>
  <si>
    <t>COOLING WATER PUMP (API 610 BB) : 34 ea
MOTOR FOR COOLING WATER PUMP (API 610 BB) : 34 ea</t>
    <phoneticPr fontId="15" type="noConversion"/>
  </si>
  <si>
    <t>MR006</t>
  </si>
  <si>
    <t xml:space="preserve">CENTRIFUGAL PUMP (API 610 BB) -BLOW DOWN PUMP </t>
  </si>
  <si>
    <t>CENTRIFUGAL PUMP (API 610 BB) -Blow Down Pump : 3 ea
Motor for CENTRIFUGAL PUMP (API 610 BB) -Blow Down Pump : 3 ea</t>
    <phoneticPr fontId="15" type="noConversion"/>
  </si>
  <si>
    <t>MR007</t>
  </si>
  <si>
    <t>CENTRIFUGAL PUMP (OH TYPE)</t>
  </si>
  <si>
    <t>CENTRIFUGAL PUMP (OH TYPE) : 32 ea
MOTOR FOR CENTRIFUGAL PUMP (OH TYPE) : 2 ea</t>
    <phoneticPr fontId="15" type="noConversion"/>
  </si>
  <si>
    <t>MR007(VO)</t>
    <phoneticPr fontId="15" type="noConversion"/>
  </si>
  <si>
    <t>CENTRIFUGAL PUMP (OH TYPE) : 6 ea</t>
    <phoneticPr fontId="15" type="noConversion"/>
  </si>
  <si>
    <t>430-G-0041-A/B, 430-G-0043-A/B, 405-G-0010-A/B 추가됨</t>
    <phoneticPr fontId="15" type="noConversion"/>
  </si>
  <si>
    <t>MR008</t>
  </si>
  <si>
    <t>CENTRIFUGAL PUMP (VERTICAL TYPE)</t>
  </si>
  <si>
    <t>CENTRIFUGAL PUMP (VERTICAL TYPE) : 10 EA</t>
    <phoneticPr fontId="15" type="noConversion"/>
  </si>
  <si>
    <t>　 401-G-0001-A/B/C/D 추가됨</t>
    <phoneticPr fontId="15" type="noConversion"/>
  </si>
  <si>
    <t>MR010</t>
    <phoneticPr fontId="15" type="noConversion"/>
  </si>
  <si>
    <t>SEALLESS PUMP (API 685)</t>
  </si>
  <si>
    <t>SEALLESS PUMP (API 685) : 2 ea</t>
    <phoneticPr fontId="15" type="noConversion"/>
  </si>
  <si>
    <t>Impeller Diameter 문제 확인으로 현재 NCR 발행 및 Waiver Request 제출, Conditional IRC issue, VIRB 진행필요</t>
    <phoneticPr fontId="15" type="noConversion"/>
  </si>
  <si>
    <t>MR010(VO)</t>
    <phoneticPr fontId="15" type="noConversion"/>
  </si>
  <si>
    <t>420-G-0045-A/B 추가</t>
    <phoneticPr fontId="15" type="noConversion"/>
  </si>
  <si>
    <t>MR011</t>
    <phoneticPr fontId="15" type="noConversion"/>
  </si>
  <si>
    <t>SUBMERSIBLE PUMP (NON-API)</t>
  </si>
  <si>
    <t>29 ea</t>
    <phoneticPr fontId="15" type="noConversion"/>
  </si>
  <si>
    <t>MR012</t>
    <phoneticPr fontId="15" type="noConversion"/>
  </si>
  <si>
    <t>FIRE WATER PUMP (NFPA 20)</t>
  </si>
  <si>
    <t>FIRE WATER PUMP (NFPA 20) : 9 ea
MOTOR FOR FIRE WATER PUMP (NFPA 20) : 3 ea</t>
    <phoneticPr fontId="15" type="noConversion"/>
  </si>
  <si>
    <t>VIRB 완료,  IDR 작성 필요</t>
    <phoneticPr fontId="15" type="noConversion"/>
  </si>
  <si>
    <t>MR013</t>
    <phoneticPr fontId="15" type="noConversion"/>
  </si>
  <si>
    <t>COOLING TOWER</t>
  </si>
  <si>
    <t>COOLING TOWER : 1 ea
Motor for COOLING TOWER : 54 ea</t>
    <phoneticPr fontId="15" type="noConversion"/>
  </si>
  <si>
    <t>MR014</t>
    <phoneticPr fontId="15" type="noConversion"/>
  </si>
  <si>
    <t>ELECTROCHLORINATION PACKAGE</t>
  </si>
  <si>
    <t>ELECTROCHLORINATION PACKAGE : 9 ea</t>
    <phoneticPr fontId="15" type="noConversion"/>
  </si>
  <si>
    <t>Platform, Pipe Supports and cable tray supports 제작중</t>
    <phoneticPr fontId="15" type="noConversion"/>
  </si>
  <si>
    <t>MR015</t>
  </si>
  <si>
    <t>CHILLER PACKAGE</t>
  </si>
  <si>
    <t>2 ea</t>
    <phoneticPr fontId="15" type="noConversion"/>
  </si>
  <si>
    <t>IAP 없음(IL3), VIRB 진행필요 / IDR 필요없음(IL 3)</t>
    <phoneticPr fontId="15" type="noConversion"/>
  </si>
  <si>
    <t>MR016</t>
  </si>
  <si>
    <t>CHEMICAL INJECTION PACKAGE</t>
  </si>
  <si>
    <t>CHEMICAL INJECTION PACKAGE : 5 ea</t>
    <phoneticPr fontId="15" type="noConversion"/>
  </si>
  <si>
    <t>MR017</t>
  </si>
  <si>
    <t xml:space="preserve">CRANE </t>
  </si>
  <si>
    <t>9 ea</t>
    <phoneticPr fontId="15" type="noConversion"/>
  </si>
  <si>
    <t>IAP 없음(IL3), VIRB 진행 중 / IDR 필요없음(IL 3)</t>
    <phoneticPr fontId="15" type="noConversion"/>
  </si>
  <si>
    <t>MR019</t>
    <phoneticPr fontId="15" type="noConversion"/>
  </si>
  <si>
    <t>SIDE ENTRY MIXER</t>
  </si>
  <si>
    <t>추가 PO(KOM 완료)</t>
    <phoneticPr fontId="15" type="noConversion"/>
  </si>
  <si>
    <t>MR020</t>
    <phoneticPr fontId="15" type="noConversion"/>
  </si>
  <si>
    <t>4 ea</t>
    <phoneticPr fontId="15" type="noConversion"/>
  </si>
  <si>
    <t>소방/안전</t>
    <phoneticPr fontId="15" type="noConversion"/>
  </si>
  <si>
    <t>SE001</t>
    <phoneticPr fontId="15" type="noConversion"/>
  </si>
  <si>
    <t>FIRE &amp; SAFETY EQUIPMENT</t>
  </si>
  <si>
    <t>1 lot</t>
    <phoneticPr fontId="15" type="noConversion"/>
  </si>
  <si>
    <t>IAP 없음(IL3)</t>
  </si>
  <si>
    <t>SE002</t>
    <phoneticPr fontId="15" type="noConversion"/>
  </si>
  <si>
    <t>CLEAN AGENT FIRE EXTINGUISHING SYSTEM</t>
  </si>
  <si>
    <t>공조</t>
    <phoneticPr fontId="15" type="noConversion"/>
  </si>
  <si>
    <t>HV001</t>
    <phoneticPr fontId="15" type="noConversion"/>
  </si>
  <si>
    <t>HVAC EQUIPMENT</t>
  </si>
  <si>
    <t>기타</t>
    <phoneticPr fontId="15" type="noConversion"/>
  </si>
  <si>
    <t>PR001</t>
    <phoneticPr fontId="15" type="noConversion"/>
  </si>
  <si>
    <t>CHEMICAL</t>
  </si>
  <si>
    <t>PR002</t>
    <phoneticPr fontId="15" type="noConversion"/>
  </si>
  <si>
    <t>SPECIAL CHEMICAL</t>
  </si>
  <si>
    <t>배관</t>
    <phoneticPr fontId="15" type="noConversion"/>
  </si>
  <si>
    <t>PI001</t>
    <phoneticPr fontId="15" type="noConversion"/>
  </si>
  <si>
    <t>RTR PIPING</t>
  </si>
  <si>
    <t>117200 m</t>
    <phoneticPr fontId="15" type="noConversion"/>
  </si>
  <si>
    <t>임효원 책임</t>
    <phoneticPr fontId="15" type="noConversion"/>
  </si>
  <si>
    <t>PI002</t>
    <phoneticPr fontId="15" type="noConversion"/>
  </si>
  <si>
    <t>CPVC PIPING AND VALVE</t>
  </si>
  <si>
    <t>24973 ea, 6465 ea</t>
    <phoneticPr fontId="15" type="noConversion"/>
  </si>
  <si>
    <t>2개 PO 분리 발주, VIRB 접수 필요 (IL 3) , IDR 필요없음</t>
    <phoneticPr fontId="15" type="noConversion"/>
  </si>
  <si>
    <t>PI003</t>
    <phoneticPr fontId="15" type="noConversion"/>
  </si>
  <si>
    <t>CARBON STEEL SMLS PIPE</t>
  </si>
  <si>
    <t>271874 m</t>
    <phoneticPr fontId="15" type="noConversion"/>
  </si>
  <si>
    <t>PI004</t>
    <phoneticPr fontId="15" type="noConversion"/>
  </si>
  <si>
    <t>CARBON STEEL WELDED PIPE</t>
  </si>
  <si>
    <t>29616 m</t>
    <phoneticPr fontId="15" type="noConversion"/>
  </si>
  <si>
    <t>PI005</t>
  </si>
  <si>
    <t>STAINLESS STEEL SMLS PIPE</t>
  </si>
  <si>
    <t>16230 m</t>
    <phoneticPr fontId="15" type="noConversion"/>
  </si>
  <si>
    <t>PI006</t>
  </si>
  <si>
    <t>STAINLESS STEEL WELDED PIPE</t>
  </si>
  <si>
    <t>4440 m</t>
    <phoneticPr fontId="15" type="noConversion"/>
  </si>
  <si>
    <t>IDR 체출완료 / VIRB 제출완료</t>
  </si>
  <si>
    <t>PI007</t>
  </si>
  <si>
    <t>LOW ALLOY STEEL SMLS PIPE</t>
  </si>
  <si>
    <t>402 m</t>
    <phoneticPr fontId="15" type="noConversion"/>
  </si>
  <si>
    <t>PI008</t>
  </si>
  <si>
    <t>LOW ALLOY STEEL WELDED PIPE</t>
  </si>
  <si>
    <t>600 m</t>
    <phoneticPr fontId="15" type="noConversion"/>
  </si>
  <si>
    <t>PI009</t>
  </si>
  <si>
    <t>FORGED FITTING</t>
  </si>
  <si>
    <t>47491 ea</t>
    <phoneticPr fontId="15" type="noConversion"/>
  </si>
  <si>
    <t>PI010</t>
  </si>
  <si>
    <t>WROUGHT FITTING</t>
  </si>
  <si>
    <t>18862 ea, 9418 ea</t>
    <phoneticPr fontId="15" type="noConversion"/>
  </si>
  <si>
    <t>2개 PO 분리 발주</t>
    <phoneticPr fontId="15" type="noConversion"/>
  </si>
  <si>
    <t>PI011</t>
    <phoneticPr fontId="15" type="noConversion"/>
  </si>
  <si>
    <t>FABRICATED FITTING (LATERAL)</t>
  </si>
  <si>
    <t>24 ea</t>
    <phoneticPr fontId="15" type="noConversion"/>
  </si>
  <si>
    <t>PI012</t>
    <phoneticPr fontId="15" type="noConversion"/>
  </si>
  <si>
    <t>FLANGE</t>
  </si>
  <si>
    <t>47427 ea, 818 ea, 134 ea</t>
    <phoneticPr fontId="15" type="noConversion"/>
  </si>
  <si>
    <t>3개 PO 분리 발주, 1건 IDR 제출 완료</t>
  </si>
  <si>
    <t>PI013</t>
    <phoneticPr fontId="15" type="noConversion"/>
  </si>
  <si>
    <t>FIRE WATER VALVE</t>
  </si>
  <si>
    <t>1079 ea, 39 ea</t>
    <phoneticPr fontId="15" type="noConversion"/>
  </si>
  <si>
    <t>2개 PO 분리 발주, 1건 IDR 제출 완료</t>
  </si>
  <si>
    <t>PI014</t>
    <phoneticPr fontId="15" type="noConversion"/>
  </si>
  <si>
    <t>FORGED VALVE</t>
  </si>
  <si>
    <t>9780 ea</t>
    <phoneticPr fontId="15" type="noConversion"/>
  </si>
  <si>
    <t>PI015</t>
    <phoneticPr fontId="15" type="noConversion"/>
  </si>
  <si>
    <t>DIAPHRAGM VALVE</t>
  </si>
  <si>
    <t>909 ea</t>
    <phoneticPr fontId="15" type="noConversion"/>
  </si>
  <si>
    <t>PI016</t>
    <phoneticPr fontId="15" type="noConversion"/>
  </si>
  <si>
    <t>CASTING VALVE</t>
  </si>
  <si>
    <t>2567 ea, 9 ea</t>
    <phoneticPr fontId="15" type="noConversion"/>
  </si>
  <si>
    <t>PI017</t>
    <phoneticPr fontId="15" type="noConversion"/>
  </si>
  <si>
    <t>DUCTILE IRON EPOXY LINED VALVE</t>
  </si>
  <si>
    <t>800 ea, 12 ea</t>
    <phoneticPr fontId="15" type="noConversion"/>
  </si>
  <si>
    <t>PI018</t>
    <phoneticPr fontId="15" type="noConversion"/>
  </si>
  <si>
    <t>BUTTERFLY VALVE</t>
  </si>
  <si>
    <t>595 ea, 18 ea</t>
    <phoneticPr fontId="15" type="noConversion"/>
  </si>
  <si>
    <t>PI019</t>
    <phoneticPr fontId="15" type="noConversion"/>
  </si>
  <si>
    <t>BALL VALVE</t>
  </si>
  <si>
    <t>211 ea, 50 ea</t>
    <phoneticPr fontId="15" type="noConversion"/>
  </si>
  <si>
    <t>PI021</t>
    <phoneticPr fontId="15" type="noConversion"/>
  </si>
  <si>
    <t>DUAL PLATE CHECK VALVE</t>
  </si>
  <si>
    <t>167 ea</t>
    <phoneticPr fontId="15" type="noConversion"/>
  </si>
  <si>
    <t>PI022</t>
    <phoneticPr fontId="15" type="noConversion"/>
  </si>
  <si>
    <t>PLUG VALVE</t>
  </si>
  <si>
    <t>217 ea, 20 ea</t>
    <phoneticPr fontId="15" type="noConversion"/>
  </si>
  <si>
    <t>PI023</t>
    <phoneticPr fontId="15" type="noConversion"/>
  </si>
  <si>
    <t>BRONZE VALVE</t>
  </si>
  <si>
    <t>160 ea, 10 ea</t>
    <phoneticPr fontId="15" type="noConversion"/>
  </si>
  <si>
    <t>PI024</t>
  </si>
  <si>
    <t>AXIAL CHECK VALVE</t>
  </si>
  <si>
    <t>PI025</t>
  </si>
  <si>
    <t>GASKET AND INSULATION KIT</t>
  </si>
  <si>
    <t>55660 ea</t>
    <phoneticPr fontId="15" type="noConversion"/>
  </si>
  <si>
    <t>VIRB 접수 필요, IDR 작성/제출 불 필요 (inspection level 3)</t>
  </si>
  <si>
    <t>PI026</t>
  </si>
  <si>
    <t>BOLT AND NUT</t>
  </si>
  <si>
    <t>350415 ea</t>
    <phoneticPr fontId="15" type="noConversion"/>
  </si>
  <si>
    <t>PI027</t>
  </si>
  <si>
    <t>STEAM TRAP AND MANIFOLD</t>
  </si>
  <si>
    <t>366 ea</t>
    <phoneticPr fontId="15" type="noConversion"/>
  </si>
  <si>
    <t>PI028</t>
  </si>
  <si>
    <t>STRAINER</t>
  </si>
  <si>
    <t>247 ea</t>
    <phoneticPr fontId="15" type="noConversion"/>
  </si>
  <si>
    <t>PI029</t>
  </si>
  <si>
    <t>HOSE AND CONNECTOR</t>
  </si>
  <si>
    <t>533 ea</t>
    <phoneticPr fontId="15" type="noConversion"/>
  </si>
  <si>
    <t>PI030</t>
  </si>
  <si>
    <t>EXPANSION JOINT</t>
  </si>
  <si>
    <t>124 ea</t>
    <phoneticPr fontId="15" type="noConversion"/>
  </si>
  <si>
    <t>PI031</t>
  </si>
  <si>
    <t>INJECTION NOZZLE</t>
  </si>
  <si>
    <t>VIRB 제출완료, IDR 작성/제출 불 필요 (inspection level 3)</t>
    <phoneticPr fontId="15" type="noConversion"/>
  </si>
  <si>
    <t>PI032</t>
  </si>
  <si>
    <t>FBE LINED AND COATED PIPING</t>
  </si>
  <si>
    <t>PI033</t>
  </si>
  <si>
    <t>INTERLOCKING SYSTEM</t>
  </si>
  <si>
    <t>PI034</t>
  </si>
  <si>
    <t>TUBE AND TUBE FITTING</t>
  </si>
  <si>
    <t>22963, 4326</t>
  </si>
  <si>
    <t>PI036</t>
  </si>
  <si>
    <t>SPRING (INCL. COLD SUPPORT)</t>
  </si>
  <si>
    <t>1734 ea</t>
    <phoneticPr fontId="15" type="noConversion"/>
  </si>
  <si>
    <t>PI037</t>
  </si>
  <si>
    <t>PARALLEL SLIDE GATE VALVE (BULK)</t>
  </si>
  <si>
    <t>44 ea</t>
    <phoneticPr fontId="15" type="noConversion"/>
  </si>
  <si>
    <t>PI038</t>
  </si>
  <si>
    <t>KNIFE GATE VALVE</t>
  </si>
  <si>
    <t>69 ea</t>
    <phoneticPr fontId="15" type="noConversion"/>
  </si>
  <si>
    <t>PI039</t>
  </si>
  <si>
    <t>SPECIAL FITTING (BULK)</t>
  </si>
  <si>
    <t>39 ea</t>
    <phoneticPr fontId="15" type="noConversion"/>
  </si>
  <si>
    <t>PI040</t>
  </si>
  <si>
    <t>AIR RELEASE VALVE</t>
  </si>
  <si>
    <t>42 ea</t>
    <phoneticPr fontId="15" type="noConversion"/>
  </si>
  <si>
    <t>전기</t>
    <phoneticPr fontId="15" type="noConversion"/>
  </si>
  <si>
    <t>EL001</t>
    <phoneticPr fontId="15" type="noConversion"/>
  </si>
  <si>
    <t>230KV GIS</t>
  </si>
  <si>
    <t>14 bays</t>
    <phoneticPr fontId="15" type="noConversion"/>
  </si>
  <si>
    <t>LV.2 / IDR 제출 완료 / VIRB 진행 중</t>
    <phoneticPr fontId="15" type="noConversion"/>
  </si>
  <si>
    <t>윤희수 책임</t>
    <phoneticPr fontId="15" type="noConversion"/>
  </si>
  <si>
    <t>강인묵 책임</t>
    <phoneticPr fontId="15" type="noConversion"/>
  </si>
  <si>
    <t>EL002</t>
    <phoneticPr fontId="15" type="noConversion"/>
  </si>
  <si>
    <t>230/34.5KV POWER TRANSFORMER</t>
  </si>
  <si>
    <t>6대</t>
    <phoneticPr fontId="15" type="noConversion"/>
  </si>
  <si>
    <t>LV.2 / IDR 제출 완료 / VIRB 제출 완료</t>
    <phoneticPr fontId="15" type="noConversion"/>
  </si>
  <si>
    <t>EL003</t>
  </si>
  <si>
    <t>230KV CABLE &amp; ACCESSORIES</t>
  </si>
  <si>
    <t>9,585 m</t>
    <phoneticPr fontId="15" type="noConversion"/>
  </si>
  <si>
    <t>EL004</t>
  </si>
  <si>
    <t>POWER TRANSFORMER &amp; NGR</t>
  </si>
  <si>
    <t>68대</t>
    <phoneticPr fontId="15" type="noConversion"/>
  </si>
  <si>
    <t>LV.2 / IDR 작성 중 / VIRB 진행 필요</t>
    <phoneticPr fontId="15" type="noConversion"/>
  </si>
  <si>
    <t>이해석 책임</t>
    <phoneticPr fontId="15" type="noConversion"/>
  </si>
  <si>
    <t>EL005</t>
  </si>
  <si>
    <t>POWER CAPACITOR</t>
  </si>
  <si>
    <t>LV.2 / IDR 제출 완료 / VIRB 독려중</t>
    <phoneticPr fontId="15" type="noConversion"/>
  </si>
  <si>
    <t>EL006</t>
  </si>
  <si>
    <t>HV SWGR (34.5KV) HV SWGR/MCC</t>
  </si>
  <si>
    <t>5 sets</t>
    <phoneticPr fontId="15" type="noConversion"/>
  </si>
  <si>
    <t>LV.2 / IDR 작성 중 / VIRB 독려중</t>
    <phoneticPr fontId="15" type="noConversion"/>
  </si>
  <si>
    <t>EL007</t>
  </si>
  <si>
    <t>HV SWGR (13.8KV &amp; 4.16KV) HV CONTROL GEAR</t>
  </si>
  <si>
    <t>9 sets</t>
    <phoneticPr fontId="15" type="noConversion"/>
  </si>
  <si>
    <t>LV.2 / IDR 작성 중 / VIRB 독려중 / NCR 종결 필요</t>
    <phoneticPr fontId="15" type="noConversion"/>
  </si>
  <si>
    <t>EL008</t>
  </si>
  <si>
    <t>LV SWGR</t>
  </si>
  <si>
    <t>12 sets</t>
    <phoneticPr fontId="15" type="noConversion"/>
  </si>
  <si>
    <t>EL009</t>
  </si>
  <si>
    <t>LV CONTROLGEAR</t>
  </si>
  <si>
    <t>22 sets</t>
    <phoneticPr fontId="15" type="noConversion"/>
  </si>
  <si>
    <t>EL010</t>
  </si>
  <si>
    <t>EMERGENCY DIESEL GENERATOR</t>
  </si>
  <si>
    <t>4 sets</t>
    <phoneticPr fontId="15" type="noConversion"/>
  </si>
  <si>
    <t>LV.3 / IDR 불필요 / VIRB 진행 필요</t>
    <phoneticPr fontId="15" type="noConversion"/>
  </si>
  <si>
    <t>윤희수 책임</t>
  </si>
  <si>
    <t>EL011</t>
  </si>
  <si>
    <t>AC UPS &amp; DC SYSTEM</t>
  </si>
  <si>
    <t>58 sets</t>
    <phoneticPr fontId="15" type="noConversion"/>
  </si>
  <si>
    <t>EL012</t>
  </si>
  <si>
    <t>ELECTRICAL CONTROL SYSTEM (ECS)</t>
  </si>
  <si>
    <t>8 sets</t>
    <phoneticPr fontId="15" type="noConversion"/>
  </si>
  <si>
    <t xml:space="preserve">LV.2 / IDR 작성 중 / VIRB 진행 필요 / NCR 종결 필요 </t>
    <phoneticPr fontId="15" type="noConversion"/>
  </si>
  <si>
    <t>EL012-1</t>
    <phoneticPr fontId="15" type="noConversion"/>
  </si>
  <si>
    <t>LV.2 / EL012  ECS 와 동시 진행 예정</t>
    <phoneticPr fontId="15" type="noConversion"/>
  </si>
  <si>
    <t>EL013</t>
  </si>
  <si>
    <t>CATHODIC PROTECTION SYSTEM</t>
  </si>
  <si>
    <t>Lv 3 / IDR 불필요 / VIRB 진행 필요</t>
    <phoneticPr fontId="15" type="noConversion"/>
  </si>
  <si>
    <t>EL014</t>
  </si>
  <si>
    <t>FIRE ALARM SYSTEM</t>
  </si>
  <si>
    <t>EL015</t>
  </si>
  <si>
    <t>ELECTRIC HEAT TRACING SYSTEM</t>
  </si>
  <si>
    <t>NA</t>
  </si>
  <si>
    <t>Non inspectable</t>
  </si>
  <si>
    <t>EL016</t>
  </si>
  <si>
    <t>POWER &amp; CONTROL CABLE</t>
  </si>
  <si>
    <t>1,841,105 m</t>
    <phoneticPr fontId="15" type="noConversion"/>
  </si>
  <si>
    <t>LV.2 / IDR, VIRB 진행 필요 / 전체 물량 납기 완료 예상(26.5월)</t>
    <phoneticPr fontId="15" type="noConversion"/>
  </si>
  <si>
    <t>EL017</t>
  </si>
  <si>
    <t>CABLE TRAY</t>
  </si>
  <si>
    <t>LV.3 / IDR 불필요 / VIRB 진행 필요 / 전체 물량 납기 완료 예상(26.5월)</t>
    <phoneticPr fontId="15" type="noConversion"/>
  </si>
  <si>
    <t>최종현 책임</t>
    <phoneticPr fontId="15" type="noConversion"/>
  </si>
  <si>
    <t>EL018</t>
  </si>
  <si>
    <t>POWER DISTRIBUTION BOARD (NON-EX) -&gt; INDOOR)</t>
  </si>
  <si>
    <t>126 ea</t>
    <phoneticPr fontId="15" type="noConversion"/>
  </si>
  <si>
    <t>LV.3 / IDR 불필요 / VIRB 진행 필요 / 전체 물량 납기 완료 예상(26.4월)</t>
    <phoneticPr fontId="15" type="noConversion"/>
  </si>
  <si>
    <t>이해석 책임</t>
  </si>
  <si>
    <t>EL019</t>
  </si>
  <si>
    <t>POWER DISTRIBUTION BOARD (EX) -&gt; (WP)</t>
  </si>
  <si>
    <t>60 ea</t>
    <phoneticPr fontId="15" type="noConversion"/>
  </si>
  <si>
    <t>LV.3 / IDR 불필요 / VIRB 진행 필요 / 전체 물량 납기 완료 예상 (26.5월)</t>
    <phoneticPr fontId="15" type="noConversion"/>
  </si>
  <si>
    <t>EL020</t>
  </si>
  <si>
    <t>LOCAL CONTROL STATION &amp; JUNCTION BOX</t>
  </si>
  <si>
    <t>279 ea</t>
    <phoneticPr fontId="15" type="noConversion"/>
  </si>
  <si>
    <t>EL021</t>
  </si>
  <si>
    <t>OUTDOOR LIGHTING FIXTURE (EX, NON-EX)</t>
  </si>
  <si>
    <t>EL022</t>
  </si>
  <si>
    <t>INDOOR LIGHTING FIXTURE (EX, NON-EX)</t>
  </si>
  <si>
    <t>EL023</t>
  </si>
  <si>
    <t>CABLE GLAND</t>
  </si>
  <si>
    <t>EL024</t>
  </si>
  <si>
    <t>TERMINATION &amp; SPLICING KIT</t>
  </si>
  <si>
    <t>EL025</t>
  </si>
  <si>
    <t>GROUNDING SYSTEM</t>
  </si>
  <si>
    <t>EL026</t>
  </si>
  <si>
    <t>CONDUIT &amp; FITTING</t>
  </si>
  <si>
    <t>EL027</t>
  </si>
  <si>
    <t>ELECTRIC CAR CHARGING SYSTEM</t>
  </si>
  <si>
    <t>EL030</t>
    <phoneticPr fontId="15" type="noConversion"/>
  </si>
  <si>
    <t>SIGNAL CABLE</t>
  </si>
  <si>
    <t>179,450 m</t>
    <phoneticPr fontId="15" type="noConversion"/>
  </si>
  <si>
    <t>EL031</t>
    <phoneticPr fontId="15" type="noConversion"/>
  </si>
  <si>
    <t>FIBER OPTIC CABLE</t>
  </si>
  <si>
    <t>69,200 m</t>
    <phoneticPr fontId="15" type="noConversion"/>
  </si>
  <si>
    <t>LV.2 / IDR, VIRB 진행필요 / 전체 물량 납기 완료 예상 (26.5월)</t>
    <phoneticPr fontId="15" type="noConversion"/>
  </si>
  <si>
    <t>EL032</t>
    <phoneticPr fontId="15" type="noConversion"/>
  </si>
  <si>
    <t>ELECTRICAL MCT</t>
  </si>
  <si>
    <t>IDR 불필요, VIRB 제출 완료</t>
    <phoneticPr fontId="15" type="noConversion"/>
  </si>
  <si>
    <t>EL033</t>
    <phoneticPr fontId="15" type="noConversion"/>
  </si>
  <si>
    <t>ERGONOMIC LIGHTING</t>
  </si>
  <si>
    <t>통신</t>
    <phoneticPr fontId="15" type="noConversion"/>
  </si>
  <si>
    <t>TE001</t>
    <phoneticPr fontId="15" type="noConversion"/>
  </si>
  <si>
    <t>PASSIVE COMPONENT</t>
  </si>
  <si>
    <t>계장</t>
    <phoneticPr fontId="15" type="noConversion"/>
  </si>
  <si>
    <t>CI001</t>
    <phoneticPr fontId="15" type="noConversion"/>
  </si>
  <si>
    <t xml:space="preserve">PCS - MAC </t>
  </si>
  <si>
    <t>161 면</t>
    <phoneticPr fontId="15" type="noConversion"/>
  </si>
  <si>
    <t>1) PDP (RAWABI) 총 26개 중 14개 IRC (WITH NCR) 처리 완료 , 12면 Punch 종결 진행중
 -&gt; PUNCH Close 지연중 (Touch up paint 불량 이슈)
2) MMS 1면 (VO) Punch 종결 지연중
3) OTS : TBD</t>
    <phoneticPr fontId="15" type="noConversion"/>
  </si>
  <si>
    <t>CI003</t>
    <phoneticPr fontId="15" type="noConversion"/>
  </si>
  <si>
    <t>ANALYZER SYSTEM</t>
  </si>
  <si>
    <t>20 set</t>
    <phoneticPr fontId="15" type="noConversion"/>
  </si>
  <si>
    <t>CI004</t>
    <phoneticPr fontId="15" type="noConversion"/>
  </si>
  <si>
    <t>AIR QUALITY MONITORING SYSTEM</t>
  </si>
  <si>
    <t>1 set</t>
    <phoneticPr fontId="15" type="noConversion"/>
  </si>
  <si>
    <t>CI005</t>
  </si>
  <si>
    <t>ON-OFF VALVE (BALL)</t>
  </si>
  <si>
    <t>45 ea</t>
    <phoneticPr fontId="15" type="noConversion"/>
  </si>
  <si>
    <t>CI006</t>
  </si>
  <si>
    <t>ON-OFF VALVE (PLUG)</t>
  </si>
  <si>
    <t>CI007</t>
  </si>
  <si>
    <t>BUTTERFLY VALVE (LUG TYPE) -&gt; (CONCENTRIC)</t>
  </si>
  <si>
    <t>127 ea</t>
    <phoneticPr fontId="15" type="noConversion"/>
  </si>
  <si>
    <t>CI008</t>
  </si>
  <si>
    <t>BUTTERFLY VALVE (HIGH PERFORMANCE)</t>
  </si>
  <si>
    <t>28 ea</t>
    <phoneticPr fontId="15" type="noConversion"/>
  </si>
  <si>
    <t>CI009</t>
  </si>
  <si>
    <t>CONTROL VALVE (GLOBE) &amp; PCV</t>
  </si>
  <si>
    <t>89 ea</t>
    <phoneticPr fontId="15" type="noConversion"/>
  </si>
  <si>
    <t>CI010</t>
  </si>
  <si>
    <t>CONTROL VALVE (BUTTERFLY)</t>
  </si>
  <si>
    <t>14 ea</t>
    <phoneticPr fontId="15" type="noConversion"/>
  </si>
  <si>
    <t>CI011</t>
  </si>
  <si>
    <t>PRESSURE RELIEF VALVE</t>
  </si>
  <si>
    <t>CI012</t>
  </si>
  <si>
    <t>FLOWMETER (VORTEX, CORIOLIS, MAGNETIC)</t>
  </si>
  <si>
    <t xml:space="preserve">LV 2 / IDR, VIRB 진행 필요 </t>
    <phoneticPr fontId="15" type="noConversion"/>
  </si>
  <si>
    <t>CI014</t>
    <phoneticPr fontId="15" type="noConversion"/>
  </si>
  <si>
    <t>FLOWMETER (ULTRASONIC)</t>
  </si>
  <si>
    <t>35 ea</t>
    <phoneticPr fontId="15" type="noConversion"/>
  </si>
  <si>
    <t>LV.2 / IDR 준비 중, VIRB 진행 필요</t>
    <phoneticPr fontId="15" type="noConversion"/>
  </si>
  <si>
    <t>CI015</t>
    <phoneticPr fontId="15" type="noConversion"/>
  </si>
  <si>
    <t>TRANSMITTERS</t>
  </si>
  <si>
    <t>917 ea</t>
    <phoneticPr fontId="15" type="noConversion"/>
  </si>
  <si>
    <t>LV. 3 / IDR 불필요 / VIRB 진행 필요</t>
    <phoneticPr fontId="15" type="noConversion"/>
  </si>
  <si>
    <t>CI016</t>
    <phoneticPr fontId="15" type="noConversion"/>
  </si>
  <si>
    <t>LEVEL GAUGE AND SIGHT GLASS</t>
  </si>
  <si>
    <t>58 ea</t>
    <phoneticPr fontId="15" type="noConversion"/>
  </si>
  <si>
    <t>CI018</t>
    <phoneticPr fontId="15" type="noConversion"/>
  </si>
  <si>
    <t>LEVEL TRANSMITTER (GWR/RADAR)</t>
  </si>
  <si>
    <t>99 ea</t>
    <phoneticPr fontId="15" type="noConversion"/>
  </si>
  <si>
    <t>CI019</t>
    <phoneticPr fontId="15" type="noConversion"/>
  </si>
  <si>
    <t>FLOW ELEMENT</t>
  </si>
  <si>
    <t>172 ea</t>
    <phoneticPr fontId="15" type="noConversion"/>
  </si>
  <si>
    <t>CI020</t>
    <phoneticPr fontId="15" type="noConversion"/>
  </si>
  <si>
    <t>LOCAL GAUGE</t>
  </si>
  <si>
    <t>CI021</t>
    <phoneticPr fontId="15" type="noConversion"/>
  </si>
  <si>
    <t>GAS DETECTOR, HORN AND BEACON</t>
  </si>
  <si>
    <t>421 ea</t>
    <phoneticPr fontId="15" type="noConversion"/>
  </si>
  <si>
    <t>CI022</t>
    <phoneticPr fontId="15" type="noConversion"/>
  </si>
  <si>
    <t>OPEN PATH GAS DETECTOR</t>
  </si>
  <si>
    <t>73 ea</t>
    <phoneticPr fontId="15" type="noConversion"/>
  </si>
  <si>
    <t>CI023</t>
  </si>
  <si>
    <t>ROTAMETER</t>
  </si>
  <si>
    <t>CI024</t>
  </si>
  <si>
    <t>CORROSION COUPON AND PROBE</t>
  </si>
  <si>
    <t>CI025</t>
  </si>
  <si>
    <t>INSTRUMENT CABLE</t>
  </si>
  <si>
    <t>856,560 m</t>
    <phoneticPr fontId="15" type="noConversion"/>
  </si>
  <si>
    <t>최종현 책임</t>
  </si>
  <si>
    <t>CI026</t>
  </si>
  <si>
    <t>INSTRUMENT CABLE TRAY</t>
  </si>
  <si>
    <t>CI027</t>
  </si>
  <si>
    <t>INSTRUMENT JUNCTION BOX</t>
  </si>
  <si>
    <t>359 ea</t>
    <phoneticPr fontId="15" type="noConversion"/>
  </si>
  <si>
    <t>CI028</t>
  </si>
  <si>
    <t>INSTRUMENT CABLE GLAND</t>
  </si>
  <si>
    <t>CI029</t>
  </si>
  <si>
    <t>INSTRUMENT TUBE</t>
  </si>
  <si>
    <t>LV 3 / IDR 불필요 / VIRB 제출 완료</t>
    <phoneticPr fontId="15" type="noConversion"/>
  </si>
  <si>
    <t>CI030</t>
  </si>
  <si>
    <t>INSTRUMENT TUBE FITTING</t>
  </si>
  <si>
    <t>LV 3 / IDR 불필요 / VIRB 진행 필요</t>
    <phoneticPr fontId="15" type="noConversion"/>
  </si>
  <si>
    <t>CI033</t>
  </si>
  <si>
    <t>INSTRUMENT CONDUIT &amp; FITTING</t>
  </si>
  <si>
    <t>CI034</t>
  </si>
  <si>
    <t>INSTRUMENT BLOCK VALVE</t>
  </si>
  <si>
    <t>CI035</t>
  </si>
  <si>
    <t>INSTRUMENT SUPPORT &amp; CONSUMABLE</t>
  </si>
  <si>
    <t>CI036</t>
  </si>
  <si>
    <t>INSTRUMENT MCT</t>
  </si>
  <si>
    <t>CI038</t>
  </si>
  <si>
    <t>CONTROL VALVE (NON-GENERAL)</t>
  </si>
  <si>
    <t>SHN1</t>
    <phoneticPr fontId="15" type="noConversion"/>
  </si>
  <si>
    <t>2110-2001-001</t>
    <phoneticPr fontId="15" type="noConversion"/>
  </si>
  <si>
    <t>CRACKING FURNACE (PROPRIETARY)</t>
  </si>
  <si>
    <t>Transfer Line Exchanger : 80 ea
Radiant Coil (Liquid Heater) : 64 Set
Radiant Coil (Gas Heater) : 16 Set
High Alloy Castings : 3330 ea
Desuperheaters : 18 ea
Finning : 9424 ea
Strainer and Seat Ring : 80 ea
Burner &amp; Accessories : 1440 ea</t>
    <phoneticPr fontId="15" type="noConversion"/>
  </si>
  <si>
    <t>Burner NCR 종료검사는 5월 말 경 예상</t>
    <phoneticPr fontId="15" type="noConversion"/>
  </si>
  <si>
    <t>박재석 책임</t>
    <phoneticPr fontId="15" type="noConversion"/>
  </si>
  <si>
    <t>나광조 책임</t>
    <phoneticPr fontId="15" type="noConversion"/>
  </si>
  <si>
    <t>2110-2001-002</t>
    <phoneticPr fontId="15" type="noConversion"/>
  </si>
  <si>
    <t>CRACKING FURNACE (NON-PROPRIETARY)</t>
  </si>
  <si>
    <t>Radiant/ STACK : 10 Set
S/S : 7262.5 ton
GTE DUCT : 2163 ton
Convection module : 96 ea
damper/ Seal air fan : 40 Set
seal air fan : 14 Set
flow meter : 100 ea
ignition panel : 10 Pnl.</t>
    <phoneticPr fontId="15" type="noConversion"/>
  </si>
  <si>
    <t>MV cable IRC 잔여, MDRS 미제출</t>
    <phoneticPr fontId="15" type="noConversion"/>
  </si>
  <si>
    <t>2130-2004-001</t>
    <phoneticPr fontId="15" type="noConversion"/>
  </si>
  <si>
    <t>REGENRATIVE THERMAL OXIDIZER</t>
  </si>
  <si>
    <t>MDRS 4월 10일 제출</t>
    <phoneticPr fontId="15" type="noConversion"/>
  </si>
  <si>
    <t>2000-2013-001</t>
    <phoneticPr fontId="15" type="noConversion"/>
  </si>
  <si>
    <t>19 ea</t>
    <phoneticPr fontId="15" type="noConversion"/>
  </si>
  <si>
    <t>MDRS 제출 완료</t>
    <phoneticPr fontId="15" type="noConversion"/>
  </si>
  <si>
    <t>2000-1014-001</t>
    <phoneticPr fontId="15" type="noConversion"/>
  </si>
  <si>
    <t>CRANE &amp; HOIST</t>
  </si>
  <si>
    <t>20 Set</t>
    <phoneticPr fontId="15" type="noConversion"/>
  </si>
  <si>
    <t>MDRS 종결</t>
    <phoneticPr fontId="15" type="noConversion"/>
  </si>
  <si>
    <t>2135-1003-001</t>
    <phoneticPr fontId="15" type="noConversion"/>
  </si>
  <si>
    <t>2000-3003-001</t>
  </si>
  <si>
    <t>33KV GAS INSULATED SWITCHGEAR (C-GIS)</t>
  </si>
  <si>
    <t>26 Set</t>
    <phoneticPr fontId="15" type="noConversion"/>
  </si>
  <si>
    <t>술탄 매니저</t>
    <phoneticPr fontId="15" type="noConversion"/>
  </si>
  <si>
    <t>2000-3005-001</t>
  </si>
  <si>
    <t>LV SWITCHGEAR AND MCC WITH BUS DUCT (LV VVVF 제외)</t>
  </si>
  <si>
    <t>414 Pnl.
BUSDUCT: 293 ea
Aux PDP : 76 Pnl.</t>
    <phoneticPr fontId="15" type="noConversion"/>
  </si>
  <si>
    <t>MDRS 제출 완료 - Code.A</t>
    <phoneticPr fontId="15" type="noConversion"/>
  </si>
  <si>
    <t>2000-3007-001</t>
  </si>
  <si>
    <t>POWER CAPACITOR BANK</t>
  </si>
  <si>
    <t>10 Set</t>
    <phoneticPr fontId="15" type="noConversion"/>
  </si>
  <si>
    <t>MDRS 제출/수정 진행중 -  Code.B (4/13 Vout)</t>
    <phoneticPr fontId="15" type="noConversion"/>
  </si>
  <si>
    <t>2000-3009-001</t>
  </si>
  <si>
    <t>DISTRIBUTION POWER TRANSFORMER WITH NGR</t>
  </si>
  <si>
    <t>71 Set</t>
    <phoneticPr fontId="15" type="noConversion"/>
  </si>
  <si>
    <t>2000-3011-001</t>
  </si>
  <si>
    <t>PMS (POWER MONITORING SYSTEM)</t>
  </si>
  <si>
    <t>30 Pnl.</t>
    <phoneticPr fontId="15" type="noConversion"/>
  </si>
  <si>
    <t>MDRS 제출 완료 - CodeA Cout (발주처 검토중 ,4/10~)</t>
    <phoneticPr fontId="15" type="noConversion"/>
  </si>
  <si>
    <t>2000-3012-001</t>
  </si>
  <si>
    <t>AC / DC UPS WITH BATTERY</t>
  </si>
  <si>
    <t>19 Set</t>
    <phoneticPr fontId="15" type="noConversion"/>
  </si>
  <si>
    <t>2000-3013-001</t>
  </si>
  <si>
    <t>SOLAR POWER SYSTEM</t>
  </si>
  <si>
    <t>7 Group</t>
    <phoneticPr fontId="15" type="noConversion"/>
  </si>
  <si>
    <t>주자재 납품 완료 ( 잔여 : Cable ,Tray 일부)</t>
    <phoneticPr fontId="15" type="noConversion"/>
  </si>
  <si>
    <t>2000-3021-001</t>
  </si>
  <si>
    <t>TR/RECTIFIER 21대 4/ 20~ 검사 진행 예정</t>
    <phoneticPr fontId="15" type="noConversion"/>
  </si>
  <si>
    <t>2000-3028-001</t>
    <phoneticPr fontId="15" type="noConversion"/>
  </si>
  <si>
    <t>0.6kV/1kV TFR-CVV 12C x 2.5 ㎟ 6,720 m
33kv Power Cable 150mm^2) 10650 m
33kv Power Cable 185mm^2) 6040 m
33kv Power Cable 240mm^2) 660 m
33kv Power Cable 300mm^2) 3540 m
33kv Power Cable 400mm^2) 4530 m
33kv Power Cable 500mm^2) 8498 m
33kv Power Cable 630mm^2) 12480 m
Fiber optic cable : 11688 m 
Termination kit : 7 set</t>
    <phoneticPr fontId="15" type="noConversion"/>
  </si>
  <si>
    <t xml:space="preserve">MDR 제출 지연중 </t>
    <phoneticPr fontId="15" type="noConversion"/>
  </si>
  <si>
    <t>2000-3201-001</t>
  </si>
  <si>
    <t>COMMUNICATION SYSTEM (PKG #1)</t>
  </si>
  <si>
    <t>- Video conference sytem , PABX VO 검사 일정 협의중
- LAB Building remodeling 관련 추가물량 발생 (TBD)</t>
    <phoneticPr fontId="15" type="noConversion"/>
  </si>
  <si>
    <t>2000-3202-001</t>
  </si>
  <si>
    <t>ACS SYSTEM</t>
  </si>
  <si>
    <t xml:space="preserve"> MDRS 제출 지연중</t>
    <phoneticPr fontId="15" type="noConversion"/>
  </si>
  <si>
    <t>2000-3203-001</t>
  </si>
  <si>
    <t xml:space="preserve">CCTV SYSTEM (PKG #1) </t>
  </si>
  <si>
    <t>잔여 검사 일정 확인중 (VO 물량 포함)</t>
    <phoneticPr fontId="15" type="noConversion"/>
  </si>
  <si>
    <t>2000-3204-001</t>
  </si>
  <si>
    <t>PAGING SYSTEM (PKG #1)</t>
  </si>
  <si>
    <t>잔여 검사 일정 확인중</t>
    <phoneticPr fontId="15" type="noConversion"/>
  </si>
  <si>
    <t>2000-3010-001</t>
  </si>
  <si>
    <t>DIESEL ENGINE GENERATOR</t>
  </si>
  <si>
    <t>1 Set</t>
    <phoneticPr fontId="15" type="noConversion"/>
  </si>
  <si>
    <t>MDRS 제출/수정 진행중 - Code.B (3/30 Vout)</t>
    <phoneticPr fontId="15" type="noConversion"/>
  </si>
  <si>
    <t>2130-4009-001</t>
  </si>
  <si>
    <t>ODOR MONITORING SYSTEM</t>
  </si>
  <si>
    <t>1 Lot</t>
    <phoneticPr fontId="15" type="noConversion"/>
  </si>
  <si>
    <t>2110-4012-001</t>
  </si>
  <si>
    <t>LEAK DETECTION AND REPAIRING SYSTEM (LDAR)</t>
  </si>
  <si>
    <t xml:space="preserve">구매 자재로서,  TEST 행위 X. 서류만 검토 </t>
  </si>
  <si>
    <t>2110-8003-001</t>
    <phoneticPr fontId="15" type="noConversion"/>
  </si>
  <si>
    <t>LABORATORY EQUIPMENT</t>
  </si>
  <si>
    <t>IRC 100%발급후 ODC LAB에서 보관 (잔여 : 시약 1 SET)</t>
    <phoneticPr fontId="15" type="noConversion"/>
  </si>
  <si>
    <t>2110-8003-002</t>
    <phoneticPr fontId="15" type="noConversion"/>
  </si>
  <si>
    <t>SEED</t>
    <phoneticPr fontId="15" type="noConversion"/>
  </si>
  <si>
    <t>RM001</t>
    <phoneticPr fontId="15" type="noConversion"/>
  </si>
  <si>
    <t>Duct, Bellow, Dumper 1 Lot</t>
    <phoneticPr fontId="15" type="noConversion"/>
  </si>
  <si>
    <t>강태준 책임</t>
    <phoneticPr fontId="15" type="noConversion"/>
  </si>
  <si>
    <t>MIP6</t>
    <phoneticPr fontId="15" type="noConversion"/>
  </si>
  <si>
    <t>MS019</t>
    <phoneticPr fontId="4" type="noConversion"/>
  </si>
  <si>
    <t>DEHYDRATOR &amp; DESALTER</t>
  </si>
  <si>
    <t>-</t>
    <phoneticPr fontId="15" type="noConversion"/>
  </si>
  <si>
    <t>MS020</t>
    <phoneticPr fontId="4" type="noConversion"/>
  </si>
  <si>
    <t>WATER OIL SEPARATOR PKG</t>
  </si>
  <si>
    <t>MS021</t>
    <phoneticPr fontId="4" type="noConversion"/>
  </si>
  <si>
    <t>LOW PRESSURE PRODUCTION TRAP (LPPT)</t>
  </si>
  <si>
    <t>MS001</t>
    <phoneticPr fontId="4" type="noConversion"/>
  </si>
  <si>
    <t>VESSEL I (CS)</t>
  </si>
  <si>
    <t>MS002</t>
    <phoneticPr fontId="4" type="noConversion"/>
  </si>
  <si>
    <t>VESSEL II (SS)</t>
  </si>
  <si>
    <t>INTERNAL OF STABILIZER</t>
  </si>
  <si>
    <t>FILTER (NON SOUR)</t>
  </si>
  <si>
    <t>MS006</t>
    <phoneticPr fontId="16" type="noConversion"/>
  </si>
  <si>
    <t xml:space="preserve">SHELL &amp; TUBE HEAT EXCHANGER </t>
  </si>
  <si>
    <t>AIR COOLED HEAT EXCHANGER
(TUBE BUNDLE ASSEMBLY)</t>
  </si>
  <si>
    <t>ELECTRICAL HEATER</t>
  </si>
  <si>
    <t>MS009</t>
  </si>
  <si>
    <t>MS011</t>
  </si>
  <si>
    <t>MS012</t>
  </si>
  <si>
    <t>MS013</t>
    <phoneticPr fontId="16" type="noConversion"/>
  </si>
  <si>
    <t>N2 GENERATION PACKAGE</t>
  </si>
  <si>
    <t>LIQUID NITROGEN VAPORISER PACKAGE</t>
  </si>
  <si>
    <t>VACCUM DEAERATION PACKAGE</t>
  </si>
  <si>
    <t>CHEMICAL INJECTION PKG OF TEG DEHYDRATION PACKAGE</t>
  </si>
  <si>
    <t>STEEL WORK OF HOT OIL FURNACE PACKAGE</t>
  </si>
  <si>
    <t>MS022</t>
    <phoneticPr fontId="4" type="noConversion"/>
  </si>
  <si>
    <t>STORAGE TANK (FRP)</t>
  </si>
  <si>
    <t>MR001</t>
    <phoneticPr fontId="4" type="noConversion"/>
  </si>
  <si>
    <t>CENTRIFUGAL COMPRESSOR</t>
  </si>
  <si>
    <t>MR002</t>
    <phoneticPr fontId="4" type="noConversion"/>
  </si>
  <si>
    <t>RECIPROCATING COMPRESSOR</t>
  </si>
  <si>
    <t>MR003</t>
  </si>
  <si>
    <t>AIR COMPRESSOR PACKAGE
 (INTEGRALLY GEARED)</t>
  </si>
  <si>
    <t>MR004</t>
  </si>
  <si>
    <t>CENTRIFUGAL PUMP (API 610 -  OH TYPE)</t>
  </si>
  <si>
    <t>MR005</t>
    <phoneticPr fontId="4" type="noConversion"/>
  </si>
  <si>
    <t>CENTRIFUGAL PUMP (API 610 -  BB TYPE)</t>
  </si>
  <si>
    <t>CENTRIFUGAL PUMP (API 610 - VS TYPE)</t>
  </si>
  <si>
    <t>ROTARY PUMP (API 676)</t>
  </si>
  <si>
    <t>SEALLESS PUMP ASME B 73.3 / ISO 15783</t>
  </si>
  <si>
    <t>MR009</t>
  </si>
  <si>
    <t>CENTRIFUGAL PUMP (API 610 - OH6 TYPE)</t>
  </si>
  <si>
    <t>MR010</t>
  </si>
  <si>
    <t>CENTRIFUGAL PUMP-OH TYPE</t>
  </si>
  <si>
    <t>MR011</t>
  </si>
  <si>
    <t>API CENTRIFUGAL  PUMP-VS</t>
  </si>
  <si>
    <t>MR012</t>
  </si>
  <si>
    <t>FIREWATER PUMP</t>
  </si>
  <si>
    <t>MR013</t>
  </si>
  <si>
    <t>SUBMERSIBLE PUMP</t>
  </si>
  <si>
    <t>ODOR ABATEMENT PACKAGE</t>
  </si>
  <si>
    <t>OILY WATER TREATMENT PACKAGE</t>
  </si>
  <si>
    <t>MR017</t>
    <phoneticPr fontId="16" type="noConversion"/>
  </si>
  <si>
    <t>OIL DISC SKIMMER (FLOATING)</t>
  </si>
  <si>
    <t>MR018</t>
  </si>
  <si>
    <t>MR019</t>
  </si>
  <si>
    <t>CRANE</t>
  </si>
  <si>
    <t>MR020</t>
  </si>
  <si>
    <t>WORKSHOP EQUIPMENT</t>
  </si>
  <si>
    <t>MR021</t>
  </si>
  <si>
    <t>FIRE AND SAFETY EQUIPMENT</t>
  </si>
  <si>
    <t>MR022</t>
  </si>
  <si>
    <t>MR024</t>
    <phoneticPr fontId="16" type="noConversion"/>
  </si>
  <si>
    <t>OWSF WATER TREATMENT PACKAGE</t>
  </si>
  <si>
    <t>MR025</t>
  </si>
  <si>
    <t>SEWAGE TREATMENT PACKAGE</t>
  </si>
  <si>
    <t>MR026</t>
    <phoneticPr fontId="4" type="noConversion"/>
  </si>
  <si>
    <t>WATER INJECTION PUMP</t>
  </si>
  <si>
    <t>MR027</t>
    <phoneticPr fontId="17" type="noConversion"/>
  </si>
  <si>
    <t>TRUCK WEIGH BRIDGE</t>
  </si>
  <si>
    <t>MR028</t>
    <phoneticPr fontId="17" type="noConversion"/>
  </si>
  <si>
    <t>SIDE ENTRY TANK MIXER</t>
  </si>
  <si>
    <t>PI001</t>
    <phoneticPr fontId="16" type="noConversion"/>
  </si>
  <si>
    <t>PIPE (CS, LTCS, GALV. SMLS)</t>
  </si>
  <si>
    <t>PI002</t>
    <phoneticPr fontId="16" type="noConversion"/>
  </si>
  <si>
    <t>PIPE (CS, LTCS WELD)</t>
  </si>
  <si>
    <t>PI003</t>
    <phoneticPr fontId="16" type="noConversion"/>
  </si>
  <si>
    <t>PIPE (SS, SUPER DUPLEX, NICKEL ALLOY, SMLS)</t>
  </si>
  <si>
    <t>PI004</t>
    <phoneticPr fontId="16" type="noConversion"/>
  </si>
  <si>
    <t>PIPE (SS, SUPER DUPLEX WELD)</t>
  </si>
  <si>
    <t>PI005</t>
    <phoneticPr fontId="16" type="noConversion"/>
  </si>
  <si>
    <t>PI006</t>
    <phoneticPr fontId="16" type="noConversion"/>
  </si>
  <si>
    <t>PERT PIPING</t>
  </si>
  <si>
    <t>PTFE LINED PIPING</t>
  </si>
  <si>
    <t>PI008</t>
    <phoneticPr fontId="16" type="noConversion"/>
  </si>
  <si>
    <t>COPPER NICKEL PIPING</t>
  </si>
  <si>
    <t>HDPE PIPING</t>
  </si>
  <si>
    <t>PI011</t>
  </si>
  <si>
    <t>PI012</t>
    <phoneticPr fontId="16" type="noConversion"/>
  </si>
  <si>
    <t>PI013</t>
    <phoneticPr fontId="16" type="noConversion"/>
  </si>
  <si>
    <t>PI015</t>
    <phoneticPr fontId="4" type="noConversion"/>
  </si>
  <si>
    <t>HOT BEND</t>
  </si>
  <si>
    <t>PI016</t>
    <phoneticPr fontId="4" type="noConversion"/>
  </si>
  <si>
    <t>FABRICATED LATERAL</t>
  </si>
  <si>
    <t>PI019</t>
    <phoneticPr fontId="4" type="noConversion"/>
  </si>
  <si>
    <t>PIPE (NA SMLS)</t>
  </si>
  <si>
    <t>PI020</t>
    <phoneticPr fontId="4" type="noConversion"/>
  </si>
  <si>
    <t>PIPE (NA WELD)</t>
  </si>
  <si>
    <t>PI021</t>
    <phoneticPr fontId="4" type="noConversion"/>
  </si>
  <si>
    <t>BOLT &amp; NUT</t>
  </si>
  <si>
    <t>PI022</t>
    <phoneticPr fontId="4" type="noConversion"/>
  </si>
  <si>
    <t>GASKET</t>
  </si>
  <si>
    <t>PI031</t>
    <phoneticPr fontId="4" type="noConversion"/>
  </si>
  <si>
    <t>PI032</t>
    <phoneticPr fontId="4" type="noConversion"/>
  </si>
  <si>
    <t>PI033</t>
    <phoneticPr fontId="16" type="noConversion"/>
  </si>
  <si>
    <t>PI034</t>
    <phoneticPr fontId="16" type="noConversion"/>
  </si>
  <si>
    <t>PI035</t>
    <phoneticPr fontId="16" type="noConversion"/>
  </si>
  <si>
    <t>PI036</t>
    <phoneticPr fontId="16" type="noConversion"/>
  </si>
  <si>
    <t>NON SLAM CHECK VALVE</t>
  </si>
  <si>
    <t>POST INDICATOR VALVE</t>
  </si>
  <si>
    <t>DUCTILE IRON VALVE</t>
  </si>
  <si>
    <t>PI040</t>
    <phoneticPr fontId="16" type="noConversion"/>
  </si>
  <si>
    <t>PI041</t>
  </si>
  <si>
    <t>PI044</t>
  </si>
  <si>
    <t>CHOKE VALVE</t>
  </si>
  <si>
    <t>PI046</t>
  </si>
  <si>
    <t>API 6A BALL VALVE</t>
  </si>
  <si>
    <t>PI047</t>
    <phoneticPr fontId="16" type="noConversion"/>
  </si>
  <si>
    <t>LINED PLUG VALVE</t>
  </si>
  <si>
    <t>PI048</t>
  </si>
  <si>
    <t>CRYOGENIC VALVE</t>
  </si>
  <si>
    <t>PI051</t>
    <phoneticPr fontId="4" type="noConversion"/>
  </si>
  <si>
    <t>PI053</t>
    <phoneticPr fontId="4" type="noConversion"/>
  </si>
  <si>
    <t>HOSE &amp; HOSE CONNECTOR</t>
  </si>
  <si>
    <t>PI054</t>
    <phoneticPr fontId="4" type="noConversion"/>
  </si>
  <si>
    <t>INSULATON JOINT</t>
  </si>
  <si>
    <t>SMLS FORGED RINGS</t>
  </si>
  <si>
    <t>PI056</t>
  </si>
  <si>
    <t>FLAME ARRESTOR</t>
  </si>
  <si>
    <t>PI057</t>
  </si>
  <si>
    <t>INJECTION QUILL</t>
  </si>
  <si>
    <t>PI058</t>
  </si>
  <si>
    <t>AIR TRAP</t>
  </si>
  <si>
    <t>PI059</t>
  </si>
  <si>
    <t>BARRED TEE</t>
  </si>
  <si>
    <t>PI060</t>
  </si>
  <si>
    <t>MECHANICAL INTERLOCK</t>
  </si>
  <si>
    <t>PI062</t>
  </si>
  <si>
    <t>SUPPORT (BULK / ITEMIZED)</t>
  </si>
  <si>
    <t>PI063</t>
  </si>
  <si>
    <t>SPRING SUPPORT</t>
  </si>
  <si>
    <t>PI065</t>
    <phoneticPr fontId="4" type="noConversion"/>
  </si>
  <si>
    <t>U-BOLT</t>
  </si>
  <si>
    <t>PI066</t>
    <phoneticPr fontId="4" type="noConversion"/>
  </si>
  <si>
    <t>CONICAL TYPE STRAINER</t>
  </si>
  <si>
    <t>PI101</t>
    <phoneticPr fontId="4" type="noConversion"/>
  </si>
  <si>
    <t>PIPE (CS, LTCS, GALV. SMLS) - 2</t>
  </si>
  <si>
    <t>PI121</t>
    <phoneticPr fontId="4" type="noConversion"/>
  </si>
  <si>
    <t>BOLT &amp; NUT - 2</t>
  </si>
  <si>
    <t>PI113</t>
    <phoneticPr fontId="16" type="noConversion"/>
  </si>
  <si>
    <t>PI131</t>
    <phoneticPr fontId="16" type="noConversion"/>
  </si>
  <si>
    <t>PI162</t>
    <phoneticPr fontId="4" type="noConversion"/>
  </si>
  <si>
    <t>SUPPORT- 2</t>
  </si>
  <si>
    <t>PI163</t>
    <phoneticPr fontId="16" type="noConversion"/>
  </si>
  <si>
    <t>PI201</t>
    <phoneticPr fontId="16" type="noConversion"/>
  </si>
  <si>
    <t>STOCKIEST CS, LTCS, GALV, SMLS PIPE</t>
  </si>
  <si>
    <t>PI213</t>
    <phoneticPr fontId="16" type="noConversion"/>
  </si>
  <si>
    <t>FLANGE-3</t>
  </si>
  <si>
    <t>EL001</t>
    <phoneticPr fontId="4" type="noConversion"/>
  </si>
  <si>
    <t>EL002</t>
    <phoneticPr fontId="4" type="noConversion"/>
  </si>
  <si>
    <t>230KV CABLE AND ACCESSORIES</t>
  </si>
  <si>
    <t>CONTROL AND PROTECTIVE PANEL</t>
  </si>
  <si>
    <t>230KV GANTRY</t>
  </si>
  <si>
    <t xml:space="preserve">MODIFICATION WORK FOR MV SWGR </t>
  </si>
  <si>
    <t>EL007</t>
    <phoneticPr fontId="4" type="noConversion"/>
  </si>
  <si>
    <t>MV SWGR/MCC, CABLEBUS</t>
  </si>
  <si>
    <t>LV SWGR/MCC, CABLEBUS</t>
  </si>
  <si>
    <t>POWER SYSTEM AUTOMATION</t>
  </si>
  <si>
    <t>EL011</t>
    <phoneticPr fontId="16" type="noConversion"/>
  </si>
  <si>
    <t>230KV POWER TRANSFORMER &amp; NGR &amp; SHUNT REACTOR</t>
  </si>
  <si>
    <t>DISTRIBUTION TRANSFORMER &amp; NGR</t>
  </si>
  <si>
    <t>AC UPS &amp; DC BATTERY CHARGER SYSTEM</t>
  </si>
  <si>
    <t>ELECTRICAL HEAT TRACING SYSTEM</t>
  </si>
  <si>
    <t>TELECOMMUNICATION SYSTEM</t>
  </si>
  <si>
    <t>POWER DISTRIBUTION BOARD (NON. EXP.)</t>
  </si>
  <si>
    <t>POWER DISTRIBUTION BOARD (EXP.)</t>
  </si>
  <si>
    <t>LIGHTING FIXTURE, RECEPTACLE</t>
  </si>
  <si>
    <t>LCS &amp; JUNCTION BOX</t>
  </si>
  <si>
    <t>CABLE TRAYS</t>
  </si>
  <si>
    <t>GROUNDING &amp; LIGHTNING PROTECTION SYSTEM</t>
  </si>
  <si>
    <t>TERMINATION KIT</t>
  </si>
  <si>
    <t>POWER CABLE</t>
  </si>
  <si>
    <t>CONDUIT &amp; FITTINGS</t>
  </si>
  <si>
    <t>EL028</t>
  </si>
  <si>
    <t>ELECTRICAL MISCELLANEOUS MATERIALS</t>
  </si>
  <si>
    <t>EL030</t>
    <phoneticPr fontId="4" type="noConversion"/>
  </si>
  <si>
    <t>PAD MOUNTED SF6 SWGR</t>
  </si>
  <si>
    <t>EL031</t>
    <phoneticPr fontId="4" type="noConversion"/>
  </si>
  <si>
    <t>COMMUNICATION CABLE (FIBER OPTIC)</t>
  </si>
  <si>
    <t>EL032</t>
  </si>
  <si>
    <t>MODIFICATION WORK FOR AC UPS</t>
  </si>
  <si>
    <t>IN001</t>
    <phoneticPr fontId="4" type="noConversion"/>
  </si>
  <si>
    <t>PROCESS CONTROL SYSTEM 
(DCS/DISTRIBUTION CONTROL SYSTEM)</t>
  </si>
  <si>
    <t>IN002</t>
    <phoneticPr fontId="4" type="noConversion"/>
  </si>
  <si>
    <t>ANALYZER SYSTEM WITH SHELTER</t>
  </si>
  <si>
    <t>IN003</t>
  </si>
  <si>
    <t>CORROSION MONITORING SYSTEM (CRMS)</t>
  </si>
  <si>
    <t>IN005</t>
  </si>
  <si>
    <t>PIPELINE LEAK DETECTION SYSTEM (PLDS)</t>
  </si>
  <si>
    <t>IN006</t>
    <phoneticPr fontId="16" type="noConversion"/>
  </si>
  <si>
    <t>AIR QUALITY MONITORING SYSTEM (AQMS)</t>
  </si>
  <si>
    <t>IN008</t>
  </si>
  <si>
    <t>ON-OFF VALVE_HIPS</t>
  </si>
  <si>
    <t>IN009</t>
  </si>
  <si>
    <t xml:space="preserve">CONTROL VALVE </t>
  </si>
  <si>
    <t>IN010</t>
    <phoneticPr fontId="16" type="noConversion"/>
  </si>
  <si>
    <t>ON-OFF VALVE_BALL TYPE</t>
  </si>
  <si>
    <t>IN011</t>
  </si>
  <si>
    <t>ON-OFF VALVE_GATE TYPE</t>
  </si>
  <si>
    <t>IN012</t>
    <phoneticPr fontId="16" type="noConversion"/>
  </si>
  <si>
    <t>ON-OFF VALVE (GLOBE)</t>
  </si>
  <si>
    <t>IN013</t>
  </si>
  <si>
    <t>MOTOR OPERATED VALVE_BALL</t>
  </si>
  <si>
    <t>IN014</t>
  </si>
  <si>
    <t>MOTOR OPERATED VALVE_GATE</t>
  </si>
  <si>
    <t>IN015</t>
  </si>
  <si>
    <t>PRESSURE SAFETY &amp; RELIEF VALVE</t>
  </si>
  <si>
    <t>IN016</t>
  </si>
  <si>
    <t>MAGNETIC FLOWMETER</t>
  </si>
  <si>
    <t>IN017</t>
  </si>
  <si>
    <t>ULTRASONIC FLOWMETER</t>
  </si>
  <si>
    <t>IN018</t>
  </si>
  <si>
    <t>IN019</t>
  </si>
  <si>
    <t>TRANSMITTER</t>
  </si>
  <si>
    <t>IN020</t>
  </si>
  <si>
    <t>NUCLEAR LEVEL TRANSMITTER</t>
  </si>
  <si>
    <t>IN021</t>
  </si>
  <si>
    <t>LEVEL TRANSMITTER</t>
  </si>
  <si>
    <t>IN022</t>
  </si>
  <si>
    <t>LEVEL GAUGE</t>
  </si>
  <si>
    <t>IN023</t>
    <phoneticPr fontId="4" type="noConversion"/>
  </si>
  <si>
    <t>IN024</t>
  </si>
  <si>
    <t>GAS DETECTOR</t>
  </si>
  <si>
    <t>IN025</t>
  </si>
  <si>
    <t>CONTROL VALVE 
(NON-GENERAL SERVICES)</t>
  </si>
  <si>
    <t>IN026</t>
    <phoneticPr fontId="4" type="noConversion"/>
  </si>
  <si>
    <t>IN031</t>
    <phoneticPr fontId="4" type="noConversion"/>
  </si>
  <si>
    <t>BUCKLING PIN RELIEF VALVE</t>
  </si>
  <si>
    <t>IN032</t>
    <phoneticPr fontId="16" type="noConversion"/>
  </si>
  <si>
    <t>CORIOLIS FLOWMETER</t>
  </si>
  <si>
    <t>IN033</t>
    <phoneticPr fontId="16" type="noConversion"/>
  </si>
  <si>
    <t>HIGH INTEGRITY PROTECTION SYSTEM (HIPS)</t>
  </si>
  <si>
    <t>IN100</t>
    <phoneticPr fontId="4" type="noConversion"/>
  </si>
  <si>
    <t>IN101</t>
    <phoneticPr fontId="4" type="noConversion"/>
  </si>
  <si>
    <t>INSTRUMENT CABLE TRAY&amp; TRAY FITTING</t>
  </si>
  <si>
    <t>IN102</t>
  </si>
  <si>
    <t>IN103</t>
  </si>
  <si>
    <t>IN104</t>
  </si>
  <si>
    <t>INSTRUMENT CONDUIT &amp; CONDUIT FITTING</t>
  </si>
  <si>
    <t>IN105</t>
  </si>
  <si>
    <t>IN106</t>
  </si>
  <si>
    <t>IN107</t>
  </si>
  <si>
    <t>MULTI CABLE TRANSIT (MCT)</t>
  </si>
  <si>
    <t>IN108</t>
    <phoneticPr fontId="16" type="noConversion"/>
  </si>
  <si>
    <t>INSTRUMENT SUPPORT &amp; CONSUMABLE MATERIAL</t>
  </si>
  <si>
    <t>HV001</t>
    <phoneticPr fontId="4" type="noConversion"/>
  </si>
  <si>
    <t>HVAC EQUIPMENT &amp; CONTROL SYSTEM</t>
  </si>
  <si>
    <t>HV003</t>
    <phoneticPr fontId="16" type="noConversion"/>
  </si>
  <si>
    <t>MFD, MFSD, MFGD &amp; MGD</t>
  </si>
  <si>
    <t>SC001</t>
    <phoneticPr fontId="4" type="noConversion"/>
  </si>
  <si>
    <t>STEEL STRUCTURE</t>
  </si>
  <si>
    <t>SC002</t>
    <phoneticPr fontId="16" type="noConversion"/>
  </si>
  <si>
    <t>ANCHOR BOLT FOR STEEL STRUCTURE</t>
  </si>
  <si>
    <t>SM12</t>
    <phoneticPr fontId="15" type="noConversion"/>
  </si>
  <si>
    <t>PRESSURE VESSEL-I (CS)</t>
  </si>
  <si>
    <t>PRESSURE VESSEL II (SS)</t>
  </si>
  <si>
    <t>PLATE AND FRAME TYPE HEAT EXCHANGER</t>
  </si>
  <si>
    <t>FIELD FABRICATED STORAGE TANK</t>
  </si>
  <si>
    <t>WALNUT SHELL FILTRATION PACKAGE</t>
  </si>
  <si>
    <t>LIN AND LOX STORAGE AND VAPORIZATION PACKAGE</t>
  </si>
  <si>
    <t>FLARE PACKAGE (FLARE &amp; BURN PIT PACKAGE)</t>
  </si>
  <si>
    <t>HP Flare 3set (Tip, Stack, Seal, Skid 각 3 ea)
LP Flare 2set (Tip, Stack, Seal, Skid 각 2EA, Seal Drum 4 ea)
LT Flare 2set (Tip, Stack, Seal Skid 각 2 ea)
Commmon HP/LT T&amp;I (Tip, Stack, Seal, Skid 각 1 ea)
Burn Pit (Tip 4EA, Skid 2 ea)</t>
    <phoneticPr fontId="15" type="noConversion"/>
  </si>
  <si>
    <t>IRC 상 99.997%이나 종결로 간주, IDR 작성 / 제출 필요</t>
    <phoneticPr fontId="15" type="noConversion"/>
  </si>
  <si>
    <t>MS010</t>
  </si>
  <si>
    <t>Flare Gas Recovery PKG 2 PKG (Piping Spool, Valve, Instrument etc.)
Ejector 4 ea
Air Cooled HEX 2 ea
Separation Vessel 4 ea
Centrifugal Pump 4 ea</t>
    <phoneticPr fontId="15" type="noConversion"/>
  </si>
  <si>
    <t>FGRU Suction Piping Line 설계 오류로 인한 Design THK 부족으로 추가 발주 되어야 함</t>
    <phoneticPr fontId="15" type="noConversion"/>
  </si>
  <si>
    <t>EXPLOSION RELIEF PANEL</t>
  </si>
  <si>
    <t>AIR SEPARATION UNIT</t>
  </si>
  <si>
    <t>TSA REACTIVATION HEATER</t>
  </si>
  <si>
    <t>DISPOSAL VAPORIZER</t>
  </si>
  <si>
    <t>SAND FILTER PACKAGE</t>
  </si>
  <si>
    <t>AIR COMPRESSOR</t>
  </si>
  <si>
    <t>RM002</t>
  </si>
  <si>
    <t>CENTRIFUGAL PUMP API 610-BB</t>
  </si>
  <si>
    <t>RM003</t>
  </si>
  <si>
    <t>CENTRIFUGAL PUMP API 610-OH2</t>
  </si>
  <si>
    <t>RM004</t>
  </si>
  <si>
    <t>CENTRIFUGAL PUMP ASME B73.1 OR ISO 5199</t>
  </si>
  <si>
    <t>RM005</t>
  </si>
  <si>
    <t>SELF-PRIMING PUMP</t>
  </si>
  <si>
    <t>RM006</t>
  </si>
  <si>
    <t>RM009</t>
  </si>
  <si>
    <t>FIRE WATER PUMP</t>
  </si>
  <si>
    <t>RM010</t>
  </si>
  <si>
    <t>VERTICAL PUMP</t>
  </si>
  <si>
    <t>RM011</t>
  </si>
  <si>
    <t>RM012</t>
  </si>
  <si>
    <t>RM013</t>
  </si>
  <si>
    <t>CPI (CORRUGATED PLATE INTERCEPTOR) &amp; OIL SKIMMER</t>
  </si>
  <si>
    <t>RM014</t>
  </si>
  <si>
    <t>WATER RECOVERY PACKAGE</t>
  </si>
  <si>
    <t>RM015</t>
  </si>
  <si>
    <t>OILY WATER BOOM</t>
  </si>
  <si>
    <t>RM016</t>
  </si>
  <si>
    <t>RM017</t>
  </si>
  <si>
    <t>CRANE AND HOIST</t>
  </si>
  <si>
    <t>RM018</t>
  </si>
  <si>
    <t>RM020</t>
  </si>
  <si>
    <t>VERTICAL PUMP II (API 610 VS1 TYPE)</t>
  </si>
  <si>
    <t>RM021</t>
  </si>
  <si>
    <t>MAIN AIR COMPRESSOR FOR ASU</t>
  </si>
  <si>
    <t>RM022</t>
  </si>
  <si>
    <t>CENTRIFUGAL PUMP (API 610 - OH2) - II</t>
  </si>
  <si>
    <t>RM023</t>
  </si>
  <si>
    <t>SEALLESS PUMP</t>
  </si>
  <si>
    <t>PIPE (CS, LTCS, GALV, SMLS)</t>
  </si>
  <si>
    <t>PI002</t>
  </si>
  <si>
    <t>PIPE (CS, LTCS WELDED)</t>
  </si>
  <si>
    <t>PI003</t>
  </si>
  <si>
    <t>PIPE (SS, NICKEL ALLOY, SMLS)</t>
  </si>
  <si>
    <t>PI004</t>
  </si>
  <si>
    <t>PIPE (SS, WELDED)</t>
  </si>
  <si>
    <t>PI007</t>
    <phoneticPr fontId="15" type="noConversion"/>
  </si>
  <si>
    <t>Pipe: 32,195.6 m, Fitting: 20,489 ea</t>
    <phoneticPr fontId="15" type="noConversion"/>
  </si>
  <si>
    <t>External Coating 결함 관련 현장에서 조치 완료</t>
    <phoneticPr fontId="15" type="noConversion"/>
  </si>
  <si>
    <t>PI012</t>
  </si>
  <si>
    <t>CLAD PIPING</t>
  </si>
  <si>
    <t>PI017</t>
  </si>
  <si>
    <t>3개 PO 분리 발주</t>
    <phoneticPr fontId="15" type="noConversion"/>
  </si>
  <si>
    <t>PI018</t>
  </si>
  <si>
    <t>BOLT / NUT</t>
  </si>
  <si>
    <t>PI022</t>
  </si>
  <si>
    <t>Level 0</t>
    <phoneticPr fontId="15" type="noConversion"/>
  </si>
  <si>
    <t>PI031</t>
    <phoneticPr fontId="15" type="noConversion"/>
  </si>
  <si>
    <t>(IDR 작성/제출 필요)</t>
    <phoneticPr fontId="15" type="noConversion"/>
  </si>
  <si>
    <t>PI035</t>
  </si>
  <si>
    <t>NON-SLAM CHECK VALVE</t>
  </si>
  <si>
    <t>POST INDICATE VALVE</t>
  </si>
  <si>
    <t>2개 PO 분리 발주
1. Flowserve: 100.00% 
2. G&amp;C: 100.00%</t>
    <phoneticPr fontId="15" type="noConversion"/>
  </si>
  <si>
    <t>AIR RLEASE VALVE</t>
  </si>
  <si>
    <t>PI051</t>
    <phoneticPr fontId="15" type="noConversion"/>
  </si>
  <si>
    <t>PI052</t>
  </si>
  <si>
    <t>STEAM AND AIR TRAP</t>
  </si>
  <si>
    <t>PI053</t>
  </si>
  <si>
    <t>PI054</t>
  </si>
  <si>
    <t>SUPPORT</t>
  </si>
  <si>
    <t>PI055</t>
  </si>
  <si>
    <t>HOSE CONNECTOR</t>
  </si>
  <si>
    <t>MEHANICAL INTERLOCK</t>
  </si>
  <si>
    <t>OXYGEN NEEDLE VALVE</t>
  </si>
  <si>
    <t>PI064</t>
  </si>
  <si>
    <t>OXYGEN GENERAL VALVE</t>
  </si>
  <si>
    <t>PI068</t>
    <phoneticPr fontId="15" type="noConversion"/>
  </si>
  <si>
    <t>NICKEL ALLOY PIPE</t>
  </si>
  <si>
    <t>PI069</t>
  </si>
  <si>
    <t>PI070</t>
  </si>
  <si>
    <t>INSULATION JOINT</t>
  </si>
  <si>
    <t>PI071</t>
  </si>
  <si>
    <t>ASU OXYGEN GASKET</t>
  </si>
  <si>
    <t>HV SWGR &amp; MCC</t>
  </si>
  <si>
    <t>22  sets</t>
    <phoneticPr fontId="15" type="noConversion"/>
  </si>
  <si>
    <t>EL002</t>
  </si>
  <si>
    <t>LV SWGR &amp; MCC, LV SWITCHRACK</t>
  </si>
  <si>
    <t>36 sets</t>
    <phoneticPr fontId="15" type="noConversion"/>
  </si>
  <si>
    <t>TRANSFORMER &amp; NGR (230 / 13.8KV)</t>
  </si>
  <si>
    <t>26 units</t>
    <phoneticPr fontId="15" type="noConversion"/>
  </si>
  <si>
    <t>TRANSFORMER &amp; NGR</t>
  </si>
  <si>
    <t>31 units</t>
    <phoneticPr fontId="15" type="noConversion"/>
  </si>
  <si>
    <t>27 sets</t>
    <phoneticPr fontId="15" type="noConversion"/>
  </si>
  <si>
    <t>4 units</t>
    <phoneticPr fontId="15" type="noConversion"/>
  </si>
  <si>
    <t>POWER DISTRIBUTION BOARD (EX, NON-EX)</t>
  </si>
  <si>
    <t>ELECTRICAL TRACING SYSTEM</t>
  </si>
  <si>
    <t>LIGHTING FIXTURE (EX, NON-EX)</t>
  </si>
  <si>
    <t>CONDUIT &amp; FITTING, BULK MATERIAL</t>
  </si>
  <si>
    <t>EL020</t>
    <phoneticPr fontId="15" type="noConversion"/>
  </si>
  <si>
    <t>TELECOMMUNICATION CABLE</t>
  </si>
  <si>
    <t>TE002</t>
  </si>
  <si>
    <t>PE ROUTER</t>
  </si>
  <si>
    <t>TE003</t>
  </si>
  <si>
    <t>TRANSMISSON SYSTEM</t>
  </si>
  <si>
    <t>TE004</t>
  </si>
  <si>
    <t>RADIO SYSTEM</t>
  </si>
  <si>
    <t>TE005</t>
  </si>
  <si>
    <t>PA/PAGING SYSTEM</t>
  </si>
  <si>
    <t>TE006</t>
  </si>
  <si>
    <t>RADIO TOWER</t>
  </si>
  <si>
    <t>EL201</t>
    <phoneticPr fontId="15" type="noConversion"/>
  </si>
  <si>
    <t>230KV GIS (GAS INSULATED SWITCHGEAR) &amp; GIB</t>
  </si>
  <si>
    <t>50 bays</t>
    <phoneticPr fontId="15" type="noConversion"/>
  </si>
  <si>
    <t>EL202</t>
  </si>
  <si>
    <t>44,273 m</t>
    <phoneticPr fontId="15" type="noConversion"/>
  </si>
  <si>
    <t>EL203</t>
  </si>
  <si>
    <t>CONTROL AND PROTECTIVE RELAY PANEL</t>
  </si>
  <si>
    <t>88 sets</t>
    <phoneticPr fontId="15" type="noConversion"/>
  </si>
  <si>
    <t>IN001</t>
    <phoneticPr fontId="15" type="noConversion"/>
  </si>
  <si>
    <t>PROCESS CONTROL SYSTEM (DCS, ESD, MPS, CCS AND ETC.)</t>
  </si>
  <si>
    <t>325 sets</t>
    <phoneticPr fontId="15" type="noConversion"/>
  </si>
  <si>
    <t>IN002</t>
  </si>
  <si>
    <t xml:space="preserve">ANALYZER SYSTEM WITH SHELTER </t>
  </si>
  <si>
    <t>20 units</t>
    <phoneticPr fontId="15" type="noConversion"/>
  </si>
  <si>
    <t>Shop 검사 모두 완료 (MPS Shelter NCR open 남음)</t>
    <phoneticPr fontId="15" type="noConversion"/>
  </si>
  <si>
    <t xml:space="preserve">STEAM TRAP MONITORING SYSTEM </t>
  </si>
  <si>
    <t>IN004</t>
  </si>
  <si>
    <t xml:space="preserve">CORROSION MONITORING SYSTEM (CRMS) </t>
  </si>
  <si>
    <t xml:space="preserve">ON-OFF VALVE (BALL) </t>
  </si>
  <si>
    <t>3개 PO 분리 발주
1. IVM: 100.00%
2. OMS: 100.00%
3. Petrolvalve: 100.00%</t>
    <phoneticPr fontId="15" type="noConversion"/>
  </si>
  <si>
    <t>IN006</t>
  </si>
  <si>
    <t xml:space="preserve">MOV (MOTOR OPERATED VALVE - BUTTERFLY) </t>
  </si>
  <si>
    <t>IN007</t>
  </si>
  <si>
    <t xml:space="preserve">CONTROL VALVE (GENERAL) </t>
  </si>
  <si>
    <t xml:space="preserve">PRESSURE RELIEF VALVE </t>
  </si>
  <si>
    <t>BUCKING PIN RELIEF VALVE</t>
  </si>
  <si>
    <t>IN010</t>
  </si>
  <si>
    <t xml:space="preserve">ULTRASONIC FLOWMETER </t>
  </si>
  <si>
    <t xml:space="preserve">FLOWMETER (ROTAMETER) </t>
  </si>
  <si>
    <t>53 ea</t>
    <phoneticPr fontId="15" type="noConversion"/>
  </si>
  <si>
    <t>IN012</t>
  </si>
  <si>
    <t xml:space="preserve">AIR QUALITY MONITORING STATION (AQMS) </t>
  </si>
  <si>
    <t>1 unit</t>
    <phoneticPr fontId="15" type="noConversion"/>
  </si>
  <si>
    <t>IN021</t>
    <phoneticPr fontId="15" type="noConversion"/>
  </si>
  <si>
    <t xml:space="preserve">TRANSMITTERS (PRESS.,TEMP., DIFF. PRESS., DBB) </t>
  </si>
  <si>
    <t>545 ea</t>
    <phoneticPr fontId="15" type="noConversion"/>
  </si>
  <si>
    <t xml:space="preserve">LEVEL GAUGE </t>
  </si>
  <si>
    <t>82 ea</t>
    <phoneticPr fontId="15" type="noConversion"/>
  </si>
  <si>
    <t>IN023</t>
  </si>
  <si>
    <t xml:space="preserve">LEVEL TRANSMITTER (GWR, NCR, ETC) </t>
  </si>
  <si>
    <t>138 ea</t>
    <phoneticPr fontId="15" type="noConversion"/>
  </si>
  <si>
    <t xml:space="preserve">FLOW ELEMENT (ORIFICE, VENTURI TUBE, ETC.) </t>
  </si>
  <si>
    <t>162 ea</t>
    <phoneticPr fontId="15" type="noConversion"/>
  </si>
  <si>
    <t xml:space="preserve">LOCAL GAUGE </t>
  </si>
  <si>
    <t>1.252 ea</t>
    <phoneticPr fontId="15" type="noConversion"/>
  </si>
  <si>
    <t>IN026</t>
  </si>
  <si>
    <t xml:space="preserve">GAS DETECTOR, HORN AND BEACON </t>
  </si>
  <si>
    <t>IN027</t>
  </si>
  <si>
    <t>FLOWMETER (MAGNETIC)</t>
  </si>
  <si>
    <t>IN031</t>
    <phoneticPr fontId="15" type="noConversion"/>
  </si>
  <si>
    <t>IN032</t>
  </si>
  <si>
    <t>IN033</t>
  </si>
  <si>
    <t>JUNCTION BOX</t>
  </si>
  <si>
    <t>IN034</t>
  </si>
  <si>
    <t>IN035</t>
  </si>
  <si>
    <t>IN036</t>
  </si>
  <si>
    <t>INSTRUMENT TUBE FITTING &amp; BLOCK VALVE</t>
  </si>
  <si>
    <t>IN039</t>
    <phoneticPr fontId="15" type="noConversion"/>
  </si>
  <si>
    <t>7 EA</t>
    <phoneticPr fontId="15" type="noConversion"/>
  </si>
  <si>
    <t>Valve 1개 남았으며 공장 설치 용이 아닌 Training 용</t>
    <phoneticPr fontId="15" type="noConversion"/>
  </si>
  <si>
    <t>IN041</t>
    <phoneticPr fontId="15" type="noConversion"/>
  </si>
  <si>
    <t>SAMPLING CONNECTION</t>
  </si>
  <si>
    <t>16 units</t>
    <phoneticPr fontId="15" type="noConversion"/>
  </si>
  <si>
    <t>IN042</t>
  </si>
  <si>
    <t>PRESSURE REGULATOR</t>
  </si>
  <si>
    <t>IN043</t>
  </si>
  <si>
    <t>CONTROL VALVE GENERAL BUTTERFLY</t>
  </si>
  <si>
    <t>IN044</t>
  </si>
  <si>
    <t>IN045</t>
  </si>
  <si>
    <t>CORIOLIS MASS FLOWMETER</t>
  </si>
  <si>
    <t>IN047</t>
    <phoneticPr fontId="15" type="noConversion"/>
  </si>
  <si>
    <t>ON-OFF VALVE FOR ASU</t>
  </si>
  <si>
    <t>IN048</t>
    <phoneticPr fontId="15" type="noConversion"/>
  </si>
  <si>
    <t>CONTROL VALVE (NON-GENERAL) FOR ASU</t>
  </si>
  <si>
    <t>PR003</t>
    <phoneticPr fontId="15" type="noConversion"/>
  </si>
  <si>
    <t>SC001</t>
    <phoneticPr fontId="15" type="noConversion"/>
  </si>
  <si>
    <t>STEEL STRUCTURE - I</t>
  </si>
  <si>
    <t>STEEL STRUCTURE - II</t>
  </si>
  <si>
    <t>SAC2</t>
    <phoneticPr fontId="15" type="noConversion"/>
  </si>
  <si>
    <t>CI0001</t>
    <phoneticPr fontId="15" type="noConversion"/>
  </si>
  <si>
    <t>PROCESS CONTROL SYSTEM</t>
  </si>
  <si>
    <t>378 ea</t>
    <phoneticPr fontId="15" type="noConversion"/>
  </si>
  <si>
    <t>CI0002</t>
  </si>
  <si>
    <t>CUSTODY METERING PACKAGE</t>
  </si>
  <si>
    <t>SKID 1 ea
Cabinet 3 ea</t>
    <phoneticPr fontId="15" type="noConversion"/>
  </si>
  <si>
    <t>QM 35 감독관 수배하여 상주 검사 진행 중, FAT 일정 : 4/26~27일</t>
    <phoneticPr fontId="15" type="noConversion"/>
  </si>
  <si>
    <t>CI0003</t>
  </si>
  <si>
    <t>SULFUR TRUCK LOADING SYSTEM</t>
  </si>
  <si>
    <t>Cabinet - 4 EA</t>
    <phoneticPr fontId="15" type="noConversion"/>
  </si>
  <si>
    <t>IDR 제출</t>
  </si>
  <si>
    <t>CI0004</t>
  </si>
  <si>
    <t>STEAM TRAP MONITORING SYSTEM</t>
  </si>
  <si>
    <t>1 Lot
7,500 ea</t>
    <phoneticPr fontId="15" type="noConversion"/>
  </si>
  <si>
    <t>CI0005</t>
  </si>
  <si>
    <t>CORROSION MONITORING SYSTEM</t>
  </si>
  <si>
    <t>1 Lot
26 ea</t>
    <phoneticPr fontId="15" type="noConversion"/>
  </si>
  <si>
    <t>CI0007</t>
  </si>
  <si>
    <t>Shelter 7 ea
Cabinet 8 ea
3-side shelter 6 ea
Rack 26 ea
Sampling 146 ea</t>
    <phoneticPr fontId="4" type="noConversion"/>
  </si>
  <si>
    <t>CI0011</t>
    <phoneticPr fontId="15" type="noConversion"/>
  </si>
  <si>
    <t>192 ea</t>
    <phoneticPr fontId="15" type="noConversion"/>
  </si>
  <si>
    <t>강택기 책임</t>
    <phoneticPr fontId="15" type="noConversion"/>
  </si>
  <si>
    <t>황윤섭 책임</t>
    <phoneticPr fontId="15" type="noConversion"/>
  </si>
  <si>
    <t>CI0012</t>
  </si>
  <si>
    <t>ON-OFF VALVE (BUTTERFLY)</t>
  </si>
  <si>
    <t>76 ea</t>
    <phoneticPr fontId="15" type="noConversion"/>
  </si>
  <si>
    <t>Emerson 신규 PO(19 ea) IAP/PIM 예정</t>
    <phoneticPr fontId="15" type="noConversion"/>
  </si>
  <si>
    <t>CI0013</t>
  </si>
  <si>
    <t>ON-OFF VALVE (GATE)</t>
  </si>
  <si>
    <t>32 ea</t>
    <phoneticPr fontId="15" type="noConversion"/>
  </si>
  <si>
    <t>CI0015</t>
    <phoneticPr fontId="15" type="noConversion"/>
  </si>
  <si>
    <t>CONTROL VALVE (GENERAL)</t>
  </si>
  <si>
    <t>234 ea</t>
    <phoneticPr fontId="15" type="noConversion"/>
  </si>
  <si>
    <t>Inspection Level 0</t>
    <phoneticPr fontId="15" type="noConversion"/>
  </si>
  <si>
    <t>CI0016</t>
  </si>
  <si>
    <t>CONTROL VALVE (NON GENERAL)</t>
  </si>
  <si>
    <t>86 ea</t>
    <phoneticPr fontId="15" type="noConversion"/>
  </si>
  <si>
    <t>BH-Conde(10 ea), Valmet Finland(10 ea) IAP/PIM 예정</t>
    <phoneticPr fontId="15" type="noConversion"/>
  </si>
  <si>
    <t>CI0017</t>
  </si>
  <si>
    <t>184 ea</t>
    <phoneticPr fontId="15" type="noConversion"/>
  </si>
  <si>
    <t>CI0018</t>
  </si>
  <si>
    <t>RUPTURE DISC</t>
  </si>
  <si>
    <t>8 ea</t>
    <phoneticPr fontId="15" type="noConversion"/>
  </si>
  <si>
    <t>VIRB 제출 필요</t>
    <phoneticPr fontId="15" type="noConversion"/>
  </si>
  <si>
    <t>황윤섭 책임</t>
  </si>
  <si>
    <t>CI0021</t>
    <phoneticPr fontId="15" type="noConversion"/>
  </si>
  <si>
    <t>ORIFICE</t>
  </si>
  <si>
    <t>335 ea</t>
    <phoneticPr fontId="15" type="noConversion"/>
  </si>
  <si>
    <t>CI0022</t>
  </si>
  <si>
    <t>ANNUBAR &amp; VENTURI TUBE</t>
  </si>
  <si>
    <t>54 ea</t>
    <phoneticPr fontId="15" type="noConversion"/>
  </si>
  <si>
    <t>CI0023</t>
  </si>
  <si>
    <t>CI0024</t>
  </si>
  <si>
    <t>FLOWMETER (MAGNETIC, VORTEX)</t>
  </si>
  <si>
    <t>IDR 작성 중 / VIRB 제출 필요</t>
    <phoneticPr fontId="15" type="noConversion"/>
  </si>
  <si>
    <t>CI0025</t>
  </si>
  <si>
    <t>FLOWMETER (COLIOLIS)</t>
  </si>
  <si>
    <t>27 ea</t>
    <phoneticPr fontId="15" type="noConversion"/>
  </si>
  <si>
    <t>CI0026</t>
  </si>
  <si>
    <t>119 ea</t>
    <phoneticPr fontId="15" type="noConversion"/>
  </si>
  <si>
    <t>술탄 매니저</t>
  </si>
  <si>
    <t>CI0027</t>
  </si>
  <si>
    <t>RADAR TYPE LEVEL TRANSMITTER</t>
  </si>
  <si>
    <t>Transmitter 242 ea
Chamber  137 ea</t>
    <phoneticPr fontId="15" type="noConversion"/>
  </si>
  <si>
    <t>CI0028</t>
  </si>
  <si>
    <t>CI0029</t>
  </si>
  <si>
    <t>2,146 ea</t>
    <phoneticPr fontId="15" type="noConversion"/>
  </si>
  <si>
    <t>CI0030</t>
  </si>
  <si>
    <t>LOCAL GAUGE &amp; TEMPERATURE ELEMENT</t>
  </si>
  <si>
    <t>463 ea</t>
    <phoneticPr fontId="15" type="noConversion"/>
  </si>
  <si>
    <t>CI0031</t>
  </si>
  <si>
    <t>FIRE AND GAS DETECTOR &amp; ALARM DEVICE</t>
  </si>
  <si>
    <t>516 ea</t>
    <phoneticPr fontId="15" type="noConversion"/>
  </si>
  <si>
    <t>CI0032</t>
  </si>
  <si>
    <t>DELUGE VALVE</t>
  </si>
  <si>
    <t>5 ea</t>
    <phoneticPr fontId="15" type="noConversion"/>
  </si>
  <si>
    <t>Instrument cable (Level 0) : 3.35%</t>
  </si>
  <si>
    <t>CI0041</t>
    <phoneticPr fontId="15" type="noConversion"/>
  </si>
  <si>
    <t>FO - 328,602 m
Instrument - 2,205,160 m</t>
    <phoneticPr fontId="15" type="noConversion"/>
  </si>
  <si>
    <t>CI0042</t>
  </si>
  <si>
    <t>INSTRUMENT CABLE TRAY &amp; TRAY FITTING</t>
  </si>
  <si>
    <t>180,630 ea</t>
    <phoneticPr fontId="15" type="noConversion"/>
  </si>
  <si>
    <t>Level 1으로 상향되어, FAT에 검사원 배정하여 진행중</t>
    <phoneticPr fontId="15" type="noConversion"/>
  </si>
  <si>
    <t>CI0043</t>
  </si>
  <si>
    <t>940 ea</t>
    <phoneticPr fontId="15" type="noConversion"/>
  </si>
  <si>
    <t>CI0044</t>
  </si>
  <si>
    <t>17,696 ea</t>
    <phoneticPr fontId="15" type="noConversion"/>
  </si>
  <si>
    <t>CI0045</t>
  </si>
  <si>
    <t>INSTRUMENT TUBE &amp; TUBE FITTING</t>
  </si>
  <si>
    <t>Fitting - 17,751 ea</t>
    <phoneticPr fontId="15" type="noConversion"/>
  </si>
  <si>
    <t>CI0047</t>
  </si>
  <si>
    <t>Conduit - 173,550 ea
Fitting - 100,098 ea</t>
    <phoneticPr fontId="15" type="noConversion"/>
  </si>
  <si>
    <t>CI0048</t>
  </si>
  <si>
    <t>5,637 ea</t>
    <phoneticPr fontId="15" type="noConversion"/>
  </si>
  <si>
    <t>CI0050</t>
  </si>
  <si>
    <t xml:space="preserve">SUPPORT &amp; CONSUMABLE </t>
  </si>
  <si>
    <t>187,465 ea</t>
    <phoneticPr fontId="15" type="noConversion"/>
  </si>
  <si>
    <t>TEL0001</t>
    <phoneticPr fontId="15" type="noConversion"/>
  </si>
  <si>
    <t>1 Lot
2,598 ea</t>
    <phoneticPr fontId="15" type="noConversion"/>
  </si>
  <si>
    <t>TEL0002</t>
    <phoneticPr fontId="15" type="noConversion"/>
  </si>
  <si>
    <t>1 Lot
3,901 ea</t>
    <phoneticPr fontId="15" type="noConversion"/>
  </si>
  <si>
    <t>TEL0003</t>
    <phoneticPr fontId="15" type="noConversion"/>
  </si>
  <si>
    <t>1 Lot
510 ea</t>
    <phoneticPr fontId="15" type="noConversion"/>
  </si>
  <si>
    <t>PI0001</t>
    <phoneticPr fontId="15" type="noConversion"/>
  </si>
  <si>
    <t>CS SMLS PIPE</t>
  </si>
  <si>
    <t>204338.79 m</t>
    <phoneticPr fontId="15" type="noConversion"/>
  </si>
  <si>
    <t>박지애 매니저</t>
    <phoneticPr fontId="15" type="noConversion"/>
  </si>
  <si>
    <t>PI0002</t>
  </si>
  <si>
    <t>CS WELDED PIPE</t>
  </si>
  <si>
    <t>16271.52 m</t>
    <phoneticPr fontId="15" type="noConversion"/>
  </si>
  <si>
    <t>PI0003</t>
  </si>
  <si>
    <t>HIGH ALLOY PIPE</t>
  </si>
  <si>
    <t>PI0007</t>
    <phoneticPr fontId="15" type="noConversion"/>
  </si>
  <si>
    <t>PI0008</t>
  </si>
  <si>
    <t>37036 m/ea</t>
    <phoneticPr fontId="15" type="noConversion"/>
  </si>
  <si>
    <t>박지애 매니저</t>
  </si>
  <si>
    <t>PI0010</t>
  </si>
  <si>
    <t>PI0021</t>
    <phoneticPr fontId="15" type="noConversion"/>
  </si>
  <si>
    <t>12932 ea</t>
    <phoneticPr fontId="15" type="noConversion"/>
  </si>
  <si>
    <t>PI0022</t>
  </si>
  <si>
    <t>PI0023</t>
  </si>
  <si>
    <t>FABRICATED SPOOL FITTING</t>
  </si>
  <si>
    <t>PI0024</t>
  </si>
  <si>
    <t>CROSS FITTING</t>
  </si>
  <si>
    <t>557 ea</t>
    <phoneticPr fontId="15" type="noConversion"/>
  </si>
  <si>
    <t>IDR 제출 완료, VIRB 진행중</t>
    <phoneticPr fontId="15" type="noConversion"/>
  </si>
  <si>
    <t>PI0031</t>
    <phoneticPr fontId="15" type="noConversion"/>
  </si>
  <si>
    <t>4개 PO 분리 발주</t>
    <phoneticPr fontId="15" type="noConversion"/>
  </si>
  <si>
    <t>PI0032</t>
  </si>
  <si>
    <t>PI0033</t>
  </si>
  <si>
    <t>119030 ea</t>
    <phoneticPr fontId="15" type="noConversion"/>
  </si>
  <si>
    <t>강택기 책임</t>
  </si>
  <si>
    <t>PI0037</t>
    <phoneticPr fontId="15" type="noConversion"/>
  </si>
  <si>
    <t>PIPE SUPPORT</t>
  </si>
  <si>
    <t>76908.63 ea</t>
    <phoneticPr fontId="15" type="noConversion"/>
  </si>
  <si>
    <t>PI0038</t>
    <phoneticPr fontId="15" type="noConversion"/>
  </si>
  <si>
    <t>170 ea</t>
    <phoneticPr fontId="15" type="noConversion"/>
  </si>
  <si>
    <t>PI0041</t>
    <phoneticPr fontId="15" type="noConversion"/>
  </si>
  <si>
    <t>PI0042</t>
  </si>
  <si>
    <t>7506 ea</t>
    <phoneticPr fontId="15" type="noConversion"/>
  </si>
  <si>
    <t>PI0043</t>
  </si>
  <si>
    <t>PI0044</t>
  </si>
  <si>
    <t>3개 PO 분리 발주</t>
  </si>
  <si>
    <t>PI0045</t>
  </si>
  <si>
    <t>148 ea</t>
    <phoneticPr fontId="15" type="noConversion"/>
  </si>
  <si>
    <t>PI0046</t>
  </si>
  <si>
    <t>PI0047</t>
  </si>
  <si>
    <t>PI0049</t>
    <phoneticPr fontId="15" type="noConversion"/>
  </si>
  <si>
    <t>2824 ea</t>
    <phoneticPr fontId="15" type="noConversion"/>
  </si>
  <si>
    <t>PI0050</t>
  </si>
  <si>
    <t>891 ea</t>
    <phoneticPr fontId="15" type="noConversion"/>
  </si>
  <si>
    <t>PI0051</t>
  </si>
  <si>
    <t>158 ea</t>
    <phoneticPr fontId="15" type="noConversion"/>
  </si>
  <si>
    <t>PI0061</t>
    <phoneticPr fontId="15" type="noConversion"/>
  </si>
  <si>
    <t>155 ea</t>
    <phoneticPr fontId="15" type="noConversion"/>
  </si>
  <si>
    <t>IDR 제출 예정</t>
    <phoneticPr fontId="15" type="noConversion"/>
  </si>
  <si>
    <t>PI0062</t>
  </si>
  <si>
    <t>STEAM TRAP</t>
  </si>
  <si>
    <t>PI0063</t>
  </si>
  <si>
    <t>HOSE &amp; CONNECTOR</t>
  </si>
  <si>
    <t>PI0065</t>
  </si>
  <si>
    <t>PI0066</t>
  </si>
  <si>
    <t>STEAM TRACING PACKAGE</t>
  </si>
  <si>
    <t>8763 ea</t>
    <phoneticPr fontId="15" type="noConversion"/>
  </si>
  <si>
    <t>PI0069</t>
    <phoneticPr fontId="15" type="noConversion"/>
  </si>
  <si>
    <t>PI0070</t>
  </si>
  <si>
    <t>CARBON CANISTER</t>
  </si>
  <si>
    <t>PI0081</t>
    <phoneticPr fontId="15" type="noConversion"/>
  </si>
  <si>
    <t>PENSTOCK VALVE</t>
  </si>
  <si>
    <t>ALOM</t>
    <phoneticPr fontId="15" type="noConversion"/>
  </si>
  <si>
    <t>ME-001</t>
  </si>
  <si>
    <t>HRSG (PRESSURE PART)</t>
  </si>
  <si>
    <t>Embedded Material 1 set
Casing 1 set
Expansion Joint &amp; Bellow 1 set
Module 1 set
HP/LP/IP Drum 3 set
Deaerator 1set
External Piping 1lot
Internal Piping 1lot 
Pipe Hanger &amp; Support 1 lot
Safety Valve 1 set
Control Valve, MOV
Silencer 1 lot
Electrical &amp; I&amp;C 2 set
Stack Damper 1EA
Steel Structure 1 lot
Inlet/Outlet Duct 1 set
Stack 1 set</t>
    <phoneticPr fontId="15" type="noConversion"/>
  </si>
  <si>
    <t>HRSG 잔여 공급 분 (Sub-Component) 남아있음</t>
  </si>
  <si>
    <t>N/A (현시점 지정 불필요)</t>
  </si>
  <si>
    <t>ME-002</t>
  </si>
  <si>
    <t>석우경 매니저</t>
    <phoneticPr fontId="15" type="noConversion"/>
  </si>
  <si>
    <t>ME-003</t>
  </si>
  <si>
    <t>STEAM BYPASS SYSTEM</t>
  </si>
  <si>
    <t>석우경 매니저</t>
  </si>
  <si>
    <t>ME-004</t>
  </si>
  <si>
    <t>NATURAL GAS SUPPLY SYSTEM</t>
  </si>
  <si>
    <t>ME-005</t>
  </si>
  <si>
    <t>ELECTRIC HEATER</t>
  </si>
  <si>
    <t>ME-006</t>
  </si>
  <si>
    <t>FIN FAN AIR COOLER</t>
  </si>
  <si>
    <t>ME-007</t>
  </si>
  <si>
    <t>BOILER FEEDWATER PUMP</t>
  </si>
  <si>
    <t>ME-008</t>
  </si>
  <si>
    <t>CONDENSATE EXTRACTION PUMP</t>
  </si>
  <si>
    <t>ME-009</t>
  </si>
  <si>
    <t>GENERAL SERVICE PUMP</t>
  </si>
  <si>
    <t>ME-010</t>
  </si>
  <si>
    <t>SUMP PUMP</t>
  </si>
  <si>
    <t>FIDB 제출 필요</t>
    <phoneticPr fontId="15" type="noConversion"/>
  </si>
  <si>
    <t>ME-011</t>
  </si>
  <si>
    <t>SHOP FABRICATED TANK</t>
  </si>
  <si>
    <t>ME-012</t>
  </si>
  <si>
    <t>ME-013</t>
  </si>
  <si>
    <t>ME-014</t>
  </si>
  <si>
    <t>EXHAUST GAS BYPASS SYSTEM</t>
  </si>
  <si>
    <t>ME-015</t>
  </si>
  <si>
    <t>ME-017</t>
  </si>
  <si>
    <t xml:space="preserve">AUXILIARY BOILER </t>
  </si>
  <si>
    <t>EN-001</t>
  </si>
  <si>
    <t>WATER &amp; WASTEWATER TREATMENT SYSTEM</t>
  </si>
  <si>
    <t>EN-002</t>
  </si>
  <si>
    <t>CHEMICAL DOSING SYSTEM</t>
  </si>
  <si>
    <t>EN-003</t>
  </si>
  <si>
    <t>LABORATORY</t>
  </si>
  <si>
    <t>PP-001</t>
  </si>
  <si>
    <t>PIPE(AS SMLS)</t>
  </si>
  <si>
    <t>6959.63 m</t>
    <phoneticPr fontId="15" type="noConversion"/>
  </si>
  <si>
    <t>PP-002</t>
  </si>
  <si>
    <t>PIPE(AS WELDED)</t>
  </si>
  <si>
    <t>28 pcs</t>
    <phoneticPr fontId="15" type="noConversion"/>
  </si>
  <si>
    <t>PP-003</t>
  </si>
  <si>
    <t>PIPE(SS SMLS)</t>
  </si>
  <si>
    <t>402 pcs</t>
    <phoneticPr fontId="15" type="noConversion"/>
  </si>
  <si>
    <t>PP-004</t>
  </si>
  <si>
    <t>PIPE(SS WELDED)</t>
  </si>
  <si>
    <t>7134.5 m</t>
    <phoneticPr fontId="15" type="noConversion"/>
  </si>
  <si>
    <t>PP-005</t>
  </si>
  <si>
    <t>PIPE(CS SMLS)</t>
  </si>
  <si>
    <t>38301.5 m</t>
    <phoneticPr fontId="15" type="noConversion"/>
  </si>
  <si>
    <t>PP-006</t>
  </si>
  <si>
    <t>PIPE(CS WELDED)</t>
  </si>
  <si>
    <t>1644.5 m</t>
    <phoneticPr fontId="15" type="noConversion"/>
  </si>
  <si>
    <t>PP-007</t>
  </si>
  <si>
    <t>DOUBLE WALLED PIPING</t>
  </si>
  <si>
    <t>60 pcs</t>
    <phoneticPr fontId="15" type="noConversion"/>
  </si>
  <si>
    <t>PP-008</t>
  </si>
  <si>
    <t>FORGED  FITTING</t>
  </si>
  <si>
    <t>20624 ea</t>
    <phoneticPr fontId="15" type="noConversion"/>
  </si>
  <si>
    <t>FIDB 제출 필요</t>
  </si>
  <si>
    <t>PP-009</t>
  </si>
  <si>
    <t>8320 ea</t>
    <phoneticPr fontId="15" type="noConversion"/>
  </si>
  <si>
    <t>PP-010</t>
  </si>
  <si>
    <t>4481 ea</t>
    <phoneticPr fontId="15" type="noConversion"/>
  </si>
  <si>
    <t>PP-011</t>
  </si>
  <si>
    <t>6786 ea</t>
    <phoneticPr fontId="15" type="noConversion"/>
  </si>
  <si>
    <t>PP-012</t>
  </si>
  <si>
    <t>35416 ea</t>
    <phoneticPr fontId="15" type="noConversion"/>
  </si>
  <si>
    <t>PP-013</t>
  </si>
  <si>
    <t>3781 ea</t>
    <phoneticPr fontId="15" type="noConversion"/>
  </si>
  <si>
    <t>PP-014</t>
  </si>
  <si>
    <t>PIPING MATERIAL FOR STORAGE TANK(OUMACHE-I)</t>
  </si>
  <si>
    <t>PP-014-1</t>
    <phoneticPr fontId="15" type="noConversion"/>
  </si>
  <si>
    <t>6 ea</t>
    <phoneticPr fontId="15" type="noConversion"/>
  </si>
  <si>
    <t>PP-015</t>
  </si>
  <si>
    <t>200 ea</t>
    <phoneticPr fontId="15" type="noConversion"/>
  </si>
  <si>
    <t>PP-016</t>
  </si>
  <si>
    <t>122 ea</t>
    <phoneticPr fontId="15" type="noConversion"/>
  </si>
  <si>
    <t>PP-017</t>
  </si>
  <si>
    <t>PSV</t>
  </si>
  <si>
    <t>43 ea</t>
    <phoneticPr fontId="15" type="noConversion"/>
  </si>
  <si>
    <t>PP-018</t>
  </si>
  <si>
    <t>EXPANSION JOINT &amp; FLEXIBLE HOSE</t>
  </si>
  <si>
    <t>PP-019</t>
  </si>
  <si>
    <t>TRAP</t>
  </si>
  <si>
    <t>51 ea</t>
    <phoneticPr fontId="15" type="noConversion"/>
  </si>
  <si>
    <t>PP-020</t>
  </si>
  <si>
    <t>PP-021</t>
  </si>
  <si>
    <t>HANGER &amp; SUPPORT</t>
  </si>
  <si>
    <t>13414 ea</t>
    <phoneticPr fontId="15" type="noConversion"/>
  </si>
  <si>
    <t>PP-023</t>
  </si>
  <si>
    <t>SHOP FABRICATED PIPING</t>
  </si>
  <si>
    <t>32603 pcs (fitting,flange) / 49379 m(piping)</t>
    <phoneticPr fontId="15" type="noConversion"/>
  </si>
  <si>
    <t>PP-024</t>
    <phoneticPr fontId="15" type="noConversion"/>
  </si>
  <si>
    <t>INSULATION</t>
  </si>
  <si>
    <t>PP-026</t>
  </si>
  <si>
    <t>COATING</t>
  </si>
  <si>
    <t>628 pcs</t>
    <phoneticPr fontId="15" type="noConversion"/>
  </si>
  <si>
    <t>Coated Pipe</t>
    <phoneticPr fontId="15" type="noConversion"/>
  </si>
  <si>
    <t>PP-A03</t>
    <phoneticPr fontId="15" type="noConversion"/>
  </si>
  <si>
    <t>CLADDING</t>
  </si>
  <si>
    <t>Cladding Pipe</t>
    <phoneticPr fontId="15" type="noConversion"/>
  </si>
  <si>
    <t>EL-003</t>
  </si>
  <si>
    <t>POWER TRANSFORMERS</t>
  </si>
  <si>
    <t>EL-004</t>
  </si>
  <si>
    <t>GCB</t>
  </si>
  <si>
    <t>EL-005</t>
  </si>
  <si>
    <t>IPB</t>
  </si>
  <si>
    <t>EL-006</t>
  </si>
  <si>
    <t>MV SWGR</t>
  </si>
  <si>
    <t>EL-007</t>
  </si>
  <si>
    <t>LV SWGR AND MCC</t>
  </si>
  <si>
    <t>478 ea</t>
    <phoneticPr fontId="15" type="noConversion"/>
  </si>
  <si>
    <t>EL-008</t>
  </si>
  <si>
    <t>DC AND UPS SYSTEM</t>
  </si>
  <si>
    <t>40 sets</t>
    <phoneticPr fontId="15" type="noConversion"/>
  </si>
  <si>
    <t>EL-009</t>
  </si>
  <si>
    <t>PROTECTION AND METERING PANEL</t>
  </si>
  <si>
    <t>EL-010</t>
  </si>
  <si>
    <t>EL-011</t>
  </si>
  <si>
    <t>ALOM-BM-EL-001</t>
    <phoneticPr fontId="15" type="noConversion"/>
  </si>
  <si>
    <t>BM - POWER AND CONTROL CABLES</t>
  </si>
  <si>
    <t>7,7500 m
518,000 m
558,600 m
231,600 m
65,500 m</t>
    <phoneticPr fontId="15" type="noConversion"/>
  </si>
  <si>
    <t>ALOM-BM-EL-002</t>
  </si>
  <si>
    <t>BM - CABLE TRAYS</t>
  </si>
  <si>
    <t>ALOM-BM-EL-003</t>
    <phoneticPr fontId="9" type="noConversion"/>
  </si>
  <si>
    <t>BM - CONDUIT AND ACCESSORIES</t>
  </si>
  <si>
    <t>ALOM-BM-EL-004</t>
    <phoneticPr fontId="9" type="noConversion"/>
  </si>
  <si>
    <t>BM - GROUNDING AND LIGHTNING PROTECTION SYSTEM</t>
  </si>
  <si>
    <t>CI-001</t>
  </si>
  <si>
    <t>DISTRIBUTED CONTROL SYSTEM(DCS)</t>
  </si>
  <si>
    <t>CI-002</t>
  </si>
  <si>
    <t>CONTINUOUS EMISSION MONITORING SYSTEM(CEMS)</t>
  </si>
  <si>
    <t>CI-003</t>
  </si>
  <si>
    <t>STEAM &amp; WATER SAMPLING &amp; ANALYSIS SYSTEM(SWAS)</t>
  </si>
  <si>
    <t>CI-004</t>
  </si>
  <si>
    <t>VIBRATION MONITORING SYSTEM(VMS)</t>
  </si>
  <si>
    <t>CI-005</t>
  </si>
  <si>
    <t>CONTROL VALVE</t>
  </si>
  <si>
    <t>CI-006</t>
  </si>
  <si>
    <t>FLOW ELEMENT AND SIGHT GLASS</t>
  </si>
  <si>
    <t>CI-007</t>
  </si>
  <si>
    <t>LEVEL SWITCH</t>
  </si>
  <si>
    <t>CI-008</t>
  </si>
  <si>
    <t>CI-009</t>
  </si>
  <si>
    <t>LOCAL INDICATOR</t>
  </si>
  <si>
    <t>BM-INSTRUMENT BULK MATERIALS</t>
  </si>
  <si>
    <t>CI-011</t>
  </si>
  <si>
    <t>MISCELLANEOUS EQUIPMENT FOR C&amp;I</t>
  </si>
  <si>
    <t>준공 6개월 전 시점에서 발주 예정</t>
  </si>
  <si>
    <t>CI-012</t>
  </si>
  <si>
    <t>MOV (GATE &amp; GLOBE)</t>
  </si>
  <si>
    <t>CI-013</t>
  </si>
  <si>
    <t>INSTRUMENTATION BULK</t>
  </si>
  <si>
    <t>HV-001</t>
  </si>
  <si>
    <t xml:space="preserve">HVAC EQUIPMENT </t>
  </si>
  <si>
    <t>HV-002</t>
  </si>
  <si>
    <t>GT VENTILATION DUCT</t>
  </si>
  <si>
    <t>AR-001</t>
    <phoneticPr fontId="4" type="noConversion"/>
  </si>
  <si>
    <t>STRUCTURAL STEEL</t>
  </si>
  <si>
    <t>VEQU</t>
    <phoneticPr fontId="15" type="noConversion"/>
  </si>
  <si>
    <t>QT1-RFQ-M-001</t>
  </si>
  <si>
    <t>STG AND AUXILIARIES</t>
  </si>
  <si>
    <t>26년 3월 FIDB 접수 완료 (종결)</t>
  </si>
  <si>
    <t>QT1-RFQ-M-002</t>
  </si>
  <si>
    <t>BOILER (PC, USC) AND AUXILIAIRES</t>
  </si>
  <si>
    <t>QT1-RFQ-M-003</t>
  </si>
  <si>
    <t>ASH HANDLING SYSTEM</t>
  </si>
  <si>
    <t>나광조 책임</t>
  </si>
  <si>
    <t>QT1-RFQ-M-004</t>
  </si>
  <si>
    <t>COAL HANDLING SYSTEM</t>
  </si>
  <si>
    <t>3 Lot</t>
    <phoneticPr fontId="15" type="noConversion"/>
  </si>
  <si>
    <t>QT1-RFQ-M-005</t>
  </si>
  <si>
    <t>ELECTROSTATIC PRECIPITATOR</t>
  </si>
  <si>
    <t>QT1-RFQ-M-006</t>
  </si>
  <si>
    <t>ID FAN</t>
  </si>
  <si>
    <t>QT1-RFQ-M-007</t>
  </si>
  <si>
    <t>INTAKE FACILITY</t>
  </si>
  <si>
    <t>QT1-RFQ-M-008</t>
  </si>
  <si>
    <t>CWPS</t>
  </si>
  <si>
    <t>QT1-RFQ-M-009</t>
  </si>
  <si>
    <t>CONDENSER WITH VACUUM SYSTEM</t>
  </si>
  <si>
    <t>QT1-RFQ-M-010</t>
  </si>
  <si>
    <t>CTCS AND DEBRIS FILTER</t>
  </si>
  <si>
    <t>2 Unit (378 MT)</t>
  </si>
  <si>
    <t>QT1-RFQ-M-011</t>
  </si>
  <si>
    <t>QT1-RFQ-M-012</t>
  </si>
  <si>
    <t>FW HEATER</t>
  </si>
  <si>
    <t>QT1-RFQ-M-013</t>
  </si>
  <si>
    <t>DEAERATOR AND FW STORAGE TANK</t>
  </si>
  <si>
    <t>QT1-RFQ-M-014</t>
  </si>
  <si>
    <t>BOILER FEEDWATER PUMPS</t>
  </si>
  <si>
    <t>QT1-RFQ-M-015</t>
  </si>
  <si>
    <t>CCW COOLER</t>
  </si>
  <si>
    <t>QT1-RFQ-M-016</t>
  </si>
  <si>
    <t>COMPRESSED AIR SYSTEM</t>
  </si>
  <si>
    <t>QT1-RFQ-M-017</t>
  </si>
  <si>
    <t xml:space="preserve">CRANE &amp; HOIST </t>
  </si>
  <si>
    <t>QT1-RFQ-M-018</t>
  </si>
  <si>
    <t>FIELD ERECTED TANK</t>
  </si>
  <si>
    <t>QT1-RFQ-M-019</t>
  </si>
  <si>
    <t>QT1-RFQ-M-020</t>
  </si>
  <si>
    <t>GENERAL SERVICE PUMP (HORIZONTAL)</t>
  </si>
  <si>
    <t>QT1-RFQ-M-021</t>
  </si>
  <si>
    <t>GENERAL SERVICE PUMP (VERTICAL)</t>
  </si>
  <si>
    <t>QT1-RFQ-M-022</t>
  </si>
  <si>
    <t>AUX. BOILER PACKAGE</t>
  </si>
  <si>
    <t>QT1-RFQ-M-023</t>
  </si>
  <si>
    <t>H2 PLANT</t>
  </si>
  <si>
    <t>QT1-RFQ-M-024</t>
  </si>
  <si>
    <t>SERVICE GAS (N2, CO2) SYSTEM</t>
  </si>
  <si>
    <t>QT1-RFQ-M-026</t>
  </si>
  <si>
    <t>STACKER AND RECLAIMER</t>
  </si>
  <si>
    <t>QT1-RFQ-M-029</t>
  </si>
  <si>
    <t>VACUUM CLEANING SYSTEM</t>
  </si>
  <si>
    <t>QT1-RFQ-M-032</t>
  </si>
  <si>
    <t>STEEL STRUCTURE &amp; COAL BUNKER FOR BOILER</t>
  </si>
  <si>
    <t>19726 MT</t>
  </si>
  <si>
    <t>FIDB 불필요</t>
    <phoneticPr fontId="15" type="noConversion"/>
  </si>
  <si>
    <t>QT1-RFQ-W-001</t>
  </si>
  <si>
    <t>WATER&amp;WASTEWATER TREATMENT SYSTEM</t>
  </si>
  <si>
    <t>QT1-RFQ-W-002</t>
  </si>
  <si>
    <t>CONDENSATE POLISHING SYSTEM</t>
  </si>
  <si>
    <t>1 Unit</t>
  </si>
  <si>
    <t>QT1-RFQ-W-003</t>
  </si>
  <si>
    <t>GAS CHLORINATION SYSTEM</t>
  </si>
  <si>
    <t>QT1-RFQ-W-004</t>
  </si>
  <si>
    <t>QT1-RFQ-MS-003</t>
  </si>
  <si>
    <t>NH3 SUPPLY SYSTEM</t>
  </si>
  <si>
    <t>QT1-RFQ-MS-002</t>
  </si>
  <si>
    <t>SEA WATER FGD SYSTEM</t>
  </si>
  <si>
    <t>QT1-RFQ-W-007</t>
  </si>
  <si>
    <t>LABORATORY SYSTEM</t>
  </si>
  <si>
    <t>QT1-RFQ-P-001</t>
  </si>
  <si>
    <t>A/S PIPES (SEAMLESS)</t>
  </si>
  <si>
    <t>QT1-RFQ-P-002</t>
  </si>
  <si>
    <t>A/S PIPES (SEAM)</t>
  </si>
  <si>
    <t>QT1-RFQ-P-003</t>
  </si>
  <si>
    <t>C/S PIPES (SEAMLESS)</t>
  </si>
  <si>
    <t>QT1-RFQ-P-004</t>
  </si>
  <si>
    <t>C/S PIPES (SEAM)</t>
  </si>
  <si>
    <t>QT1-RFQ-P-005</t>
  </si>
  <si>
    <t>S/S PIPES (SEAMLESS)</t>
  </si>
  <si>
    <t>QT1-RFQ-P-006</t>
  </si>
  <si>
    <t>S/S PIPES (SEAM)</t>
  </si>
  <si>
    <t>QT1-RFQ-P-008</t>
  </si>
  <si>
    <t>QT1-RFQ-P-009</t>
  </si>
  <si>
    <t>QT1-RFQ-P-010</t>
  </si>
  <si>
    <t>QT1-RFQ-P-011</t>
  </si>
  <si>
    <t>QT1-RFQ-P-012</t>
  </si>
  <si>
    <t>BOLT/NUT</t>
  </si>
  <si>
    <t>QT1-RFQ-P-013</t>
  </si>
  <si>
    <t>CASTING VALVE (MANUAL)</t>
  </si>
  <si>
    <t>2개 PO [MANUAL, 4500#: 100.0% / MANUAL, upto 2500#: 100.0%]</t>
    <phoneticPr fontId="15" type="noConversion"/>
  </si>
  <si>
    <t>QT1-RFQ-P-014</t>
  </si>
  <si>
    <t>FORGED VALVE (MANUAL)</t>
  </si>
  <si>
    <t>QT1-RFQ-P-015</t>
  </si>
  <si>
    <t>BUTTERFLY VALVE (MANUAL)</t>
  </si>
  <si>
    <t>QT1-RFQ-P-016</t>
  </si>
  <si>
    <t>BALL VALVE (MANUAL)</t>
  </si>
  <si>
    <t>QT1-RFQ-P-017</t>
  </si>
  <si>
    <t>QT1-RFQ-P-018</t>
  </si>
  <si>
    <t>STEAM/AIR TRAP</t>
  </si>
  <si>
    <t>QT1-RFQ-P-019</t>
  </si>
  <si>
    <t>FLEXIBLE &amp; EXPANSION JOINT</t>
  </si>
  <si>
    <t>QT1-RFQ-P-020</t>
  </si>
  <si>
    <t>QT1-RFQ-P-021</t>
  </si>
  <si>
    <t>HDPE</t>
  </si>
  <si>
    <t>QT1-RFQ-P-022</t>
  </si>
  <si>
    <t>CPVC</t>
  </si>
  <si>
    <t>QT1-RFQ-P-023</t>
  </si>
  <si>
    <t>COATED/LINED PIPE</t>
  </si>
  <si>
    <t>QT1-RFQ-P-030</t>
  </si>
  <si>
    <t>GRP PIPING (FOR SW FGD)</t>
  </si>
  <si>
    <t>계장</t>
  </si>
  <si>
    <t>QT1-RFQ-I-001</t>
  </si>
  <si>
    <t>DISTRIBUTED CONTROL SYSTEM (DCS)</t>
  </si>
  <si>
    <t>QT1-RFQ-I-002</t>
  </si>
  <si>
    <t>VIBRATION MONITORING SYSTEM (VMS)</t>
  </si>
  <si>
    <t>2 sets</t>
    <phoneticPr fontId="15" type="noConversion"/>
  </si>
  <si>
    <t>QT1-RFQ-I-003</t>
  </si>
  <si>
    <t>CONTINUOUS EMISSION MONITORING SYSTEM (CEMS)</t>
  </si>
  <si>
    <t>QT1-RFQ-I-004</t>
  </si>
  <si>
    <t>STEAM/WATER SAMPLING AND ANALYZING SYSTEM (SWAS)</t>
  </si>
  <si>
    <t>QT1-RFQ-I-005</t>
  </si>
  <si>
    <t>QT1-RFQ-I-006</t>
  </si>
  <si>
    <t>FIELD TRANSMITTER</t>
  </si>
  <si>
    <t>751 ea</t>
    <phoneticPr fontId="15" type="noConversion"/>
  </si>
  <si>
    <t>QT1-RFQ-I-007</t>
  </si>
  <si>
    <t>556 ea</t>
    <phoneticPr fontId="15" type="noConversion"/>
  </si>
  <si>
    <t>QT1-RFQ-I-008</t>
  </si>
  <si>
    <t>LEVEL INSTRUMENT</t>
  </si>
  <si>
    <t>108 ea</t>
    <phoneticPr fontId="15" type="noConversion"/>
  </si>
  <si>
    <t>QT1-RFQ-I-009</t>
  </si>
  <si>
    <t>215 ea</t>
    <phoneticPr fontId="15" type="noConversion"/>
  </si>
  <si>
    <t>QT1-RFQ-I-010</t>
  </si>
  <si>
    <t>MOTORIZED OPERATING VALVE (GATE &amp; GLOBE TYPE)</t>
  </si>
  <si>
    <t>QT1-RFQ-I-011</t>
  </si>
  <si>
    <t>MOTORIZED OPERATING VALVE (BUTTERFLY TYPE)</t>
  </si>
  <si>
    <t>QT1-RFQ-I-015</t>
  </si>
  <si>
    <t>INSTRUMENT INSTALLATION MATERIALS</t>
  </si>
  <si>
    <t>QT1-RFQ-I-016</t>
  </si>
  <si>
    <t>I&amp;C CABLE</t>
  </si>
  <si>
    <t>QT1-RFQ-I-017</t>
  </si>
  <si>
    <t>I&amp;C CABLE CONDUIT AND ACCESSORIES</t>
  </si>
  <si>
    <t>QT1-RFQ-I-018</t>
  </si>
  <si>
    <t>I&amp;C CABLE ACCESSORIES</t>
  </si>
  <si>
    <t>QT1-RFQ-I-012</t>
  </si>
  <si>
    <t xml:space="preserve">STEAM BYPASS SYSTEM </t>
  </si>
  <si>
    <t>QT1-RFQ-I-013</t>
  </si>
  <si>
    <t>SAFETY VALVE</t>
  </si>
  <si>
    <t>QT1-RFQ-I-019</t>
  </si>
  <si>
    <t>COMBINED NON RETURN CHECK VALVE (COMBINED NRV)</t>
  </si>
  <si>
    <t>QT1-RFQ-E-001</t>
  </si>
  <si>
    <t>500KV EHV OVERHEAD LINE</t>
  </si>
  <si>
    <t>QT1-RFQ-E-002</t>
  </si>
  <si>
    <t>GENERATOR STEP-UP TRANSFORMER</t>
  </si>
  <si>
    <t>2 units</t>
    <phoneticPr fontId="15" type="noConversion"/>
  </si>
  <si>
    <t>QT1-RFQ-E-003</t>
  </si>
  <si>
    <t>UNIT AUXILIARY TRANSFORMER</t>
  </si>
  <si>
    <t>QT1-RFQ-E-004</t>
  </si>
  <si>
    <t>GENERATOR CIRCUIT BREAKER</t>
  </si>
  <si>
    <t>QT1-RFQ-E-005</t>
  </si>
  <si>
    <t>ISOLATED PHASE BUSDUCT</t>
  </si>
  <si>
    <t>1,261m</t>
    <phoneticPr fontId="15" type="noConversion"/>
  </si>
  <si>
    <t>QT1-RFQ-E-006</t>
  </si>
  <si>
    <t>QT1-RFQ-E-007</t>
  </si>
  <si>
    <t>PROTECTION AND METERING SYSTEM</t>
  </si>
  <si>
    <t>QT1-RFQ-E-008</t>
  </si>
  <si>
    <t>MV SWITCHGEAR</t>
  </si>
  <si>
    <t>136 ea</t>
    <phoneticPr fontId="15" type="noConversion"/>
  </si>
  <si>
    <t>QT1-RFQ-E-009</t>
  </si>
  <si>
    <t>LV SWITCHGEAR AND MCC</t>
  </si>
  <si>
    <t>429 ea</t>
    <phoneticPr fontId="15" type="noConversion"/>
  </si>
  <si>
    <t>QT1-RFQ-E-010</t>
  </si>
  <si>
    <t>DC AND UPS SYTEM</t>
  </si>
  <si>
    <t>QT1-RFQ-E-011</t>
  </si>
  <si>
    <t>QT1-RFQ-E-013</t>
  </si>
  <si>
    <t>7 sets</t>
    <phoneticPr fontId="15" type="noConversion"/>
  </si>
  <si>
    <t>FIDB 불 필요</t>
    <phoneticPr fontId="15" type="noConversion"/>
  </si>
  <si>
    <t>QT1-RFQ-E-014</t>
  </si>
  <si>
    <t>CABLE</t>
  </si>
  <si>
    <t>1,705,719 m</t>
    <phoneticPr fontId="15" type="noConversion"/>
  </si>
  <si>
    <t>QT1-RFQ-E-015</t>
  </si>
  <si>
    <t>47648 m</t>
    <phoneticPr fontId="15" type="noConversion"/>
  </si>
  <si>
    <t>QT1-RFQ-E-016</t>
  </si>
  <si>
    <t>CONDUIT AND CABLE ACCESSORIES</t>
  </si>
  <si>
    <t>60,674 m</t>
    <phoneticPr fontId="15" type="noConversion"/>
  </si>
  <si>
    <t>QT1-RFQ-E-017</t>
  </si>
  <si>
    <t>GROUNDING AND LIGHTNING PROTECTION</t>
  </si>
  <si>
    <t>84,496 m/ea</t>
    <phoneticPr fontId="15" type="noConversion"/>
  </si>
  <si>
    <t>QT1-RFQ-E-018</t>
  </si>
  <si>
    <t>LIGHTING FIXTURE AND SAMLL POWER</t>
  </si>
  <si>
    <t>11,413 EA</t>
    <phoneticPr fontId="15" type="noConversion"/>
  </si>
  <si>
    <t>QT1-RFQ-E-019</t>
  </si>
  <si>
    <t>CABLE ACCESSORIES</t>
  </si>
  <si>
    <t>2,592,892 ea</t>
    <phoneticPr fontId="15" type="noConversion"/>
  </si>
  <si>
    <t>QT1-RFQ-E-020</t>
  </si>
  <si>
    <t>GROUNDING CABLE</t>
  </si>
  <si>
    <t>IBRU</t>
    <phoneticPr fontId="15" type="noConversion"/>
  </si>
  <si>
    <t>철골</t>
    <phoneticPr fontId="9" type="noConversion"/>
  </si>
  <si>
    <t>RN2120-001</t>
    <phoneticPr fontId="9" type="noConversion"/>
  </si>
  <si>
    <t>ANCHOR BOLT</t>
  </si>
  <si>
    <t>RN2130-001</t>
    <phoneticPr fontId="9" type="noConversion"/>
  </si>
  <si>
    <t xml:space="preserve">SHOP FABRICATED STRUCTURAL STEEL </t>
  </si>
  <si>
    <t>공조</t>
    <phoneticPr fontId="20"/>
  </si>
  <si>
    <t>RN2140-001</t>
    <phoneticPr fontId="20"/>
  </si>
  <si>
    <t>RN2140-002</t>
    <phoneticPr fontId="20"/>
  </si>
  <si>
    <t>HVAC CONTROL</t>
  </si>
  <si>
    <t>RN2151-304</t>
    <phoneticPr fontId="9" type="noConversion"/>
  </si>
  <si>
    <t>DRUMS (CS &amp; SS LESS THAN 30TON)</t>
  </si>
  <si>
    <t>정진우 책임</t>
    <phoneticPr fontId="9" type="noConversion"/>
  </si>
  <si>
    <t>RN2151-501</t>
    <phoneticPr fontId="9" type="noConversion"/>
  </si>
  <si>
    <t>FILTER &amp; COALESCER</t>
  </si>
  <si>
    <t>RN2151-701</t>
    <phoneticPr fontId="9" type="noConversion"/>
  </si>
  <si>
    <t>SULPHUR LOCKS</t>
  </si>
  <si>
    <t>RN2153-101</t>
    <phoneticPr fontId="9" type="noConversion"/>
  </si>
  <si>
    <t>AIR COOLED HEAT EXCHANGER (MODULE)</t>
  </si>
  <si>
    <t>RN2153-201</t>
    <phoneticPr fontId="9" type="noConversion"/>
  </si>
  <si>
    <t xml:space="preserve">SULPHUR CONDENSERS </t>
  </si>
  <si>
    <t>RN2153-202</t>
    <phoneticPr fontId="9" type="noConversion"/>
  </si>
  <si>
    <t>SHELL AND TUBE HEAT EXCHANGERS (D-TYPE)</t>
  </si>
  <si>
    <t>RN2153-206</t>
    <phoneticPr fontId="9" type="noConversion"/>
  </si>
  <si>
    <t>SHELL AND TUBE HEAT EXCHANGERS (CS, SS) (MODULE+SITE)</t>
  </si>
  <si>
    <t>RN216G-202</t>
    <phoneticPr fontId="9" type="noConversion"/>
  </si>
  <si>
    <t>RN216G-203</t>
    <phoneticPr fontId="9" type="noConversion"/>
  </si>
  <si>
    <t>DESUPERHEATER</t>
  </si>
  <si>
    <t>RN216G-205</t>
    <phoneticPr fontId="9" type="noConversion"/>
  </si>
  <si>
    <t>EJECTOR</t>
  </si>
  <si>
    <t>RN2151-306</t>
    <phoneticPr fontId="9" type="noConversion"/>
  </si>
  <si>
    <t>BULLET TANK</t>
  </si>
  <si>
    <t>RN2153-204</t>
    <phoneticPr fontId="9" type="noConversion"/>
  </si>
  <si>
    <t>SHELL AND TUBE HEAT EXCHANGERS (ALLOY, CLAD, DUPLEX)</t>
  </si>
  <si>
    <t>RN2153-205</t>
    <phoneticPr fontId="9" type="noConversion"/>
  </si>
  <si>
    <t>SHELL AND TUBE HEAT EXCHANGERS (HIC CS)</t>
  </si>
  <si>
    <t>RN2153-207</t>
    <phoneticPr fontId="9" type="noConversion"/>
  </si>
  <si>
    <t>SHELL AND TUBE HEAT EXCHANGERS (CS, SS)</t>
  </si>
  <si>
    <t>RN2152-501</t>
    <phoneticPr fontId="9" type="noConversion"/>
  </si>
  <si>
    <t>PLATFORM AND LADDER</t>
  </si>
  <si>
    <t>RN2154-101</t>
    <phoneticPr fontId="9" type="noConversion"/>
  </si>
  <si>
    <t>ATMOSPHERIC STORAGE TANKS-I (HDEC AREA)</t>
  </si>
  <si>
    <t>RN2154-102</t>
    <phoneticPr fontId="9" type="noConversion"/>
  </si>
  <si>
    <t>ATMOSPHERIC STORAGE TANKS-II (JGC AREA)</t>
  </si>
  <si>
    <t>RN2158-500</t>
    <phoneticPr fontId="9" type="noConversion"/>
  </si>
  <si>
    <t>MIXER</t>
  </si>
  <si>
    <t>RN2155-222</t>
    <phoneticPr fontId="9" type="noConversion"/>
  </si>
  <si>
    <t>CAUSTIC SODA DISSOLUTION PACKAGE</t>
  </si>
  <si>
    <t>RN2155-321</t>
    <phoneticPr fontId="9" type="noConversion"/>
  </si>
  <si>
    <t>SULPHUR SOLIDIFICATION PACKAGE</t>
  </si>
  <si>
    <t>RN2155-521</t>
    <phoneticPr fontId="20"/>
  </si>
  <si>
    <t>SOLID SULPHUR HANDLING AND LOADING FACILITY</t>
  </si>
  <si>
    <t>RN2155-621</t>
    <phoneticPr fontId="9" type="noConversion"/>
  </si>
  <si>
    <t>WEIGHING BRIDGE</t>
  </si>
  <si>
    <t>RN2155-622</t>
    <phoneticPr fontId="9" type="noConversion"/>
  </si>
  <si>
    <t>SOLID SULPHUR BAGGING AND PALLETIZING PACKAGE</t>
  </si>
  <si>
    <t>RN2155-721</t>
    <phoneticPr fontId="9" type="noConversion"/>
  </si>
  <si>
    <t>RN2156-101</t>
    <phoneticPr fontId="9" type="noConversion"/>
  </si>
  <si>
    <t>FIRED HEATER</t>
  </si>
  <si>
    <t>RN2157-301</t>
    <phoneticPr fontId="9" type="noConversion"/>
  </si>
  <si>
    <t>SRU BURNER, CHAMBER &amp; WHB &amp; INCINERATOR PKG</t>
  </si>
  <si>
    <t>RN2158-203</t>
    <phoneticPr fontId="9" type="noConversion"/>
  </si>
  <si>
    <t>API 672 AIR COMPRESSOR PACKAGE (STEAM TURBINE 2, MOTOR 1)</t>
  </si>
  <si>
    <t>RN2158-101</t>
    <phoneticPr fontId="9" type="noConversion"/>
  </si>
  <si>
    <t>API 610 HEAVY DUTY CENTRIFUGAL PUMPS (BB5)</t>
  </si>
  <si>
    <t>RN2158-102</t>
    <phoneticPr fontId="9" type="noConversion"/>
  </si>
  <si>
    <t>API 610 CENTRIFUGAL PUMPS (HORIZONTAL TYPE)</t>
  </si>
  <si>
    <t>RN2158-103</t>
    <phoneticPr fontId="9" type="noConversion"/>
  </si>
  <si>
    <t>API 610 CENTRIFUGAL PUMPS (VERTICAL TYPE)</t>
  </si>
  <si>
    <t>RN2158-104</t>
    <phoneticPr fontId="9" type="noConversion"/>
  </si>
  <si>
    <t>NON-API CENTRIFUGAL PUMPS</t>
  </si>
  <si>
    <t>RN2158-108</t>
    <phoneticPr fontId="9" type="noConversion"/>
  </si>
  <si>
    <t>SULPHUR PUMPS</t>
  </si>
  <si>
    <t>RN2158-109</t>
    <phoneticPr fontId="9" type="noConversion"/>
  </si>
  <si>
    <t>NFPA 20 FIRE WATER PUMPS</t>
  </si>
  <si>
    <t>RN2158-111</t>
    <phoneticPr fontId="9" type="noConversion"/>
  </si>
  <si>
    <t>API 674 RECIPROCATING PUMP</t>
  </si>
  <si>
    <t>RN215A-221</t>
    <phoneticPr fontId="9" type="noConversion"/>
  </si>
  <si>
    <t>COOLING TOWER SAND FILTER PKG</t>
  </si>
  <si>
    <t>나광조 책임</t>
    <phoneticPr fontId="9" type="noConversion"/>
  </si>
  <si>
    <t>RN215A-301</t>
    <phoneticPr fontId="9" type="noConversion"/>
  </si>
  <si>
    <t>RN215A-401</t>
    <phoneticPr fontId="9" type="noConversion"/>
  </si>
  <si>
    <t>RN215A-501</t>
    <phoneticPr fontId="9" type="noConversion"/>
  </si>
  <si>
    <t>AIR DRYERS PACKAGE</t>
  </si>
  <si>
    <t>RN215A-601</t>
    <phoneticPr fontId="9" type="noConversion"/>
  </si>
  <si>
    <t>N2 GENERATION, LIN STORAGE AND VAPORIZATION PKG</t>
  </si>
  <si>
    <t>장동철 책임</t>
    <phoneticPr fontId="9" type="noConversion"/>
  </si>
  <si>
    <t>RN215A-801</t>
    <phoneticPr fontId="9" type="noConversion"/>
  </si>
  <si>
    <t>WASTE WATER TREATMENT PACKAGE</t>
  </si>
  <si>
    <t>RN215A-Z01</t>
    <phoneticPr fontId="9" type="noConversion"/>
  </si>
  <si>
    <t>SPENT CAUSTIC TREATMENT PACKAGE</t>
  </si>
  <si>
    <t>RN215A-901</t>
    <phoneticPr fontId="9" type="noConversion"/>
  </si>
  <si>
    <t>RN215B-401</t>
    <phoneticPr fontId="9" type="noConversion"/>
  </si>
  <si>
    <t>RN215Z-002</t>
  </si>
  <si>
    <t>SAFETY EQUIPMENT &amp; MOBILE EQUIPMENT</t>
  </si>
  <si>
    <t>RN215Z-003</t>
  </si>
  <si>
    <t>BUILDING FIREFIGHTING EQUIPMENT</t>
  </si>
  <si>
    <t>RN216A-101</t>
    <phoneticPr fontId="9" type="noConversion"/>
  </si>
  <si>
    <t>CARBON STEEL AND LTCS SEAMLESS PIPES</t>
  </si>
  <si>
    <t>석우경 매니저</t>
    <phoneticPr fontId="9" type="noConversion"/>
  </si>
  <si>
    <t>RN216A-102</t>
    <phoneticPr fontId="9" type="noConversion"/>
  </si>
  <si>
    <t>CARBON STEEL AND LTCS WELDED PIPES</t>
  </si>
  <si>
    <t>RN216A-103</t>
    <phoneticPr fontId="9" type="noConversion"/>
  </si>
  <si>
    <t>LOW ALLOY STEEL SEAMLESS PIPES</t>
  </si>
  <si>
    <t>RN216A-105</t>
    <phoneticPr fontId="9" type="noConversion"/>
  </si>
  <si>
    <t>STAINLESS STEEL SEAMLESS PIPES</t>
  </si>
  <si>
    <t>강태준 책임</t>
    <phoneticPr fontId="9" type="noConversion"/>
  </si>
  <si>
    <t>RN216A-106</t>
    <phoneticPr fontId="9" type="noConversion"/>
  </si>
  <si>
    <t>STAINLESS STEEL WELDED PIPES</t>
  </si>
  <si>
    <t>RN216A-109</t>
    <phoneticPr fontId="9" type="noConversion"/>
  </si>
  <si>
    <t>GRP PIPES AND PIPING COMPONENTS</t>
  </si>
  <si>
    <t>RN216A-110</t>
    <phoneticPr fontId="9" type="noConversion"/>
  </si>
  <si>
    <t>PVC PIPES AND PIPING COMPONENTS</t>
  </si>
  <si>
    <t>RN216A-112</t>
    <phoneticPr fontId="9" type="noConversion"/>
  </si>
  <si>
    <t>HDPE PIPES AND PIPING COMPONENTS</t>
  </si>
  <si>
    <t>RN216B-131</t>
    <phoneticPr fontId="9" type="noConversion"/>
  </si>
  <si>
    <t>CAST STEEL VALVES</t>
  </si>
  <si>
    <t>RN216B-135</t>
    <phoneticPr fontId="9" type="noConversion"/>
  </si>
  <si>
    <t>FORGED STEEL VALVES</t>
  </si>
  <si>
    <t>RN216B-137</t>
    <phoneticPr fontId="9" type="noConversion"/>
  </si>
  <si>
    <t>BALL VALVES</t>
  </si>
  <si>
    <t>RN216B-139</t>
    <phoneticPr fontId="9" type="noConversion"/>
  </si>
  <si>
    <t>BUTTERFLY VALVES</t>
  </si>
  <si>
    <t>RN216B-142</t>
    <phoneticPr fontId="9" type="noConversion"/>
  </si>
  <si>
    <t>DUAL PLATE CHECK VALVES</t>
  </si>
  <si>
    <t>RN216B-143</t>
    <phoneticPr fontId="9" type="noConversion"/>
  </si>
  <si>
    <t>PLUG VALVES</t>
  </si>
  <si>
    <t>RN216B-144</t>
    <phoneticPr fontId="9" type="noConversion"/>
  </si>
  <si>
    <t>BRONZE VALVES</t>
  </si>
  <si>
    <t>RN216B-145</t>
    <phoneticPr fontId="9" type="noConversion"/>
  </si>
  <si>
    <t>DIAPHRAGM VALVES</t>
  </si>
  <si>
    <t>RN216B-149</t>
    <phoneticPr fontId="9" type="noConversion"/>
  </si>
  <si>
    <t>UNLISTED VALVES</t>
  </si>
  <si>
    <t>RN216C-161</t>
    <phoneticPr fontId="9" type="noConversion"/>
  </si>
  <si>
    <t>WROUGHT FITTING (BUTT WELDING FITTING)</t>
  </si>
  <si>
    <t>RN216C-164</t>
    <phoneticPr fontId="9" type="noConversion"/>
  </si>
  <si>
    <t>FORGED STEEL FITTINGS</t>
  </si>
  <si>
    <t>RN216D-171</t>
    <phoneticPr fontId="9" type="noConversion"/>
  </si>
  <si>
    <t>FLANGES</t>
  </si>
  <si>
    <t>RN216D-171-B</t>
    <phoneticPr fontId="9" type="noConversion"/>
  </si>
  <si>
    <t>RN216E-181</t>
    <phoneticPr fontId="9" type="noConversion"/>
  </si>
  <si>
    <t>BOLTS AND NUTS</t>
  </si>
  <si>
    <t>VO 진행 중</t>
    <phoneticPr fontId="15" type="noConversion"/>
  </si>
  <si>
    <t>RN216F-191</t>
    <phoneticPr fontId="9" type="noConversion"/>
  </si>
  <si>
    <t>GASKETS</t>
  </si>
  <si>
    <t>RN216G-201</t>
    <phoneticPr fontId="9" type="noConversion"/>
  </si>
  <si>
    <t>STRAINERS</t>
  </si>
  <si>
    <t>RN216G-204</t>
    <phoneticPr fontId="9" type="noConversion"/>
  </si>
  <si>
    <t>SILENCERS</t>
  </si>
  <si>
    <t>RN216G-206</t>
    <phoneticPr fontId="9" type="noConversion"/>
  </si>
  <si>
    <t>STEAM TRAPS</t>
  </si>
  <si>
    <t>RN216G-211</t>
    <phoneticPr fontId="9" type="noConversion"/>
  </si>
  <si>
    <t>FLAME ARRESTORS</t>
  </si>
  <si>
    <t>RN216G-215</t>
    <phoneticPr fontId="9" type="noConversion"/>
  </si>
  <si>
    <t>RUBBER EXPANSION JOINTS</t>
  </si>
  <si>
    <t>RN216G-315</t>
    <phoneticPr fontId="9" type="noConversion"/>
  </si>
  <si>
    <t>BLOWDOWN VALVES</t>
  </si>
  <si>
    <t>RN216G-316</t>
    <phoneticPr fontId="9" type="noConversion"/>
  </si>
  <si>
    <t>RAM VALVES</t>
  </si>
  <si>
    <t>RN216G-604</t>
    <phoneticPr fontId="9" type="noConversion"/>
  </si>
  <si>
    <t>SAMPLE PROBES AND INJECTION NOZZLES</t>
  </si>
  <si>
    <t>RN216G-608</t>
    <phoneticPr fontId="9" type="noConversion"/>
  </si>
  <si>
    <t>VALVE INTERLOCKING DEVICES</t>
  </si>
  <si>
    <t>RN216G-611</t>
    <phoneticPr fontId="9" type="noConversion"/>
  </si>
  <si>
    <t>FLEXIBLE METAL TUBES AND HOSE CONNECTOR</t>
  </si>
  <si>
    <t>RN216G-612</t>
    <phoneticPr fontId="9" type="noConversion"/>
  </si>
  <si>
    <t>HOSE &amp; HOSE COUPLING</t>
  </si>
  <si>
    <t>RN216G-616</t>
    <phoneticPr fontId="9" type="noConversion"/>
  </si>
  <si>
    <t>TUBES AND TUBE FITTINGS</t>
  </si>
  <si>
    <t>RN216G-620</t>
    <phoneticPr fontId="9" type="noConversion"/>
  </si>
  <si>
    <t>PRE-INSULATED TUBE</t>
  </si>
  <si>
    <t>RN216G-621</t>
    <phoneticPr fontId="9" type="noConversion"/>
  </si>
  <si>
    <t>STEAM AND CONDENSATE MANIFOLD</t>
  </si>
  <si>
    <t>RN216G-622</t>
    <phoneticPr fontId="9" type="noConversion"/>
  </si>
  <si>
    <t>VACUUM BREAKER</t>
  </si>
  <si>
    <t>RN216K-704</t>
    <phoneticPr fontId="9" type="noConversion"/>
  </si>
  <si>
    <t>SPRING SUPPORTS, STRUTS, AND SNUBBERS</t>
  </si>
  <si>
    <t>RN2173-101</t>
    <phoneticPr fontId="9" type="noConversion"/>
  </si>
  <si>
    <t>ELECTRONIC FIELD TRANSMITTERS</t>
  </si>
  <si>
    <t>이해석 책임</t>
    <phoneticPr fontId="9" type="noConversion"/>
  </si>
  <si>
    <t>RN2173-202</t>
    <phoneticPr fontId="9" type="noConversion"/>
  </si>
  <si>
    <t>VARIABLE AREA TYPE FLOW INSTRUMENTS</t>
  </si>
  <si>
    <t>RN2173-203</t>
    <phoneticPr fontId="9" type="noConversion"/>
  </si>
  <si>
    <t>VORTEX TYPE FLOW INSTRUMENTS</t>
  </si>
  <si>
    <t>RN2173-204</t>
    <phoneticPr fontId="9" type="noConversion"/>
  </si>
  <si>
    <t>ULTRASONIC FLOW INSTRUMENTS</t>
  </si>
  <si>
    <t>RN2173-208</t>
    <phoneticPr fontId="9" type="noConversion"/>
  </si>
  <si>
    <t>CORIOLIS &amp; ELECTRO MAGNETIC FLOW INSTRUMENTS</t>
  </si>
  <si>
    <t>RN2173-303</t>
    <phoneticPr fontId="9" type="noConversion"/>
  </si>
  <si>
    <t>RADAR  LEVEL TRANSMITTERS</t>
  </si>
  <si>
    <t>RN2173-402</t>
    <phoneticPr fontId="9" type="noConversion"/>
  </si>
  <si>
    <t>THERMOCOUPLES AND RTDS &amp; WELLS</t>
  </si>
  <si>
    <t>RN2173-403</t>
    <phoneticPr fontId="9" type="noConversion"/>
  </si>
  <si>
    <t>MULTIPOINT TEMPERATURE ELEMENT</t>
  </si>
  <si>
    <t>RN2173-501</t>
    <phoneticPr fontId="9" type="noConversion"/>
  </si>
  <si>
    <t>PRESSURE &amp; TEMPERATURE GAUGES</t>
  </si>
  <si>
    <t>RN2173-601</t>
    <phoneticPr fontId="9" type="noConversion"/>
  </si>
  <si>
    <t>FLOW ELEMENTS</t>
  </si>
  <si>
    <t>RN2174-101</t>
    <phoneticPr fontId="9" type="noConversion"/>
  </si>
  <si>
    <t>CONTROL VALVES</t>
  </si>
  <si>
    <t>RN2174-201</t>
    <phoneticPr fontId="9" type="noConversion"/>
  </si>
  <si>
    <t>ON-OFF &amp; MOTOR OPERATED VALVES - BALL TYPE</t>
  </si>
  <si>
    <t>RN2174-202</t>
    <phoneticPr fontId="9" type="noConversion"/>
  </si>
  <si>
    <t>ON-OFF &amp; MOTOR OPERATED VALVES - BUTTERFLY TYPE</t>
  </si>
  <si>
    <t>RN2174-204</t>
    <phoneticPr fontId="9" type="noConversion"/>
  </si>
  <si>
    <t>ON-OFF &amp; MOTOR OPERATED VALVES - GATE</t>
  </si>
  <si>
    <t>RN2174-401</t>
    <phoneticPr fontId="9" type="noConversion"/>
  </si>
  <si>
    <t>RN216G-602</t>
    <phoneticPr fontId="9" type="noConversion"/>
  </si>
  <si>
    <t>SAMPLING SYSTEMS</t>
  </si>
  <si>
    <t>RN2176-001</t>
    <phoneticPr fontId="9" type="noConversion"/>
  </si>
  <si>
    <t>FIRE AND GAS DEVICES</t>
  </si>
  <si>
    <t>RN2178-101</t>
    <phoneticPr fontId="9" type="noConversion"/>
  </si>
  <si>
    <t>INSTRUMENT CABLE TRAYS</t>
  </si>
  <si>
    <t>RN2175-101</t>
    <phoneticPr fontId="9" type="noConversion"/>
  </si>
  <si>
    <t>RN2178-201</t>
    <phoneticPr fontId="9" type="noConversion"/>
  </si>
  <si>
    <t>INSTRUMENT CABLES</t>
  </si>
  <si>
    <t>RN2178-203</t>
    <phoneticPr fontId="9" type="noConversion"/>
  </si>
  <si>
    <t>INSTRUMENT JUNCTION BOXES</t>
  </si>
  <si>
    <t>RN2178-204</t>
    <phoneticPr fontId="9" type="noConversion"/>
  </si>
  <si>
    <t>INSTRUMENT CABLE GLANDS</t>
  </si>
  <si>
    <t>RN2178-306</t>
    <phoneticPr fontId="9" type="noConversion"/>
  </si>
  <si>
    <t>TUBES &amp; TUBE FITTINGS</t>
  </si>
  <si>
    <t>RN2178-601</t>
    <phoneticPr fontId="9" type="noConversion"/>
  </si>
  <si>
    <t>INSTRUMENT BULK MATERIALS</t>
  </si>
  <si>
    <t>RN2178-103</t>
    <phoneticPr fontId="9" type="noConversion"/>
  </si>
  <si>
    <t>INSTRUMENT CABLE TRANSITS</t>
  </si>
  <si>
    <t>RN216G-505</t>
    <phoneticPr fontId="9" type="noConversion"/>
  </si>
  <si>
    <t>LEVEL GAUGES &amp; SIGHT GLASSES</t>
  </si>
  <si>
    <t>RN2180-101</t>
    <phoneticPr fontId="9" type="noConversion"/>
  </si>
  <si>
    <t>ELECTRICAL BULK MATERIALS</t>
  </si>
  <si>
    <t>RN2180-102</t>
    <phoneticPr fontId="9" type="noConversion"/>
  </si>
  <si>
    <t>CABLE TERMINATION &amp; SPLICING KITS</t>
  </si>
  <si>
    <t>RN2180-111</t>
    <phoneticPr fontId="9" type="noConversion"/>
  </si>
  <si>
    <t>RN2180-121</t>
    <phoneticPr fontId="9" type="noConversion"/>
  </si>
  <si>
    <t>RN2181-701</t>
    <phoneticPr fontId="9" type="noConversion"/>
  </si>
  <si>
    <t>ELECTRICAL MISCELLANEOUS PANEL</t>
  </si>
  <si>
    <t>RN2182-211</t>
    <phoneticPr fontId="9" type="noConversion"/>
  </si>
  <si>
    <t xml:space="preserve">LOCAL CONTROL STATION AND ISOLATION SWITCH </t>
  </si>
  <si>
    <t>RN2182-601</t>
    <phoneticPr fontId="9" type="noConversion"/>
  </si>
  <si>
    <t>POWER &amp; CONTROL CABLES</t>
  </si>
  <si>
    <t>RN2183-101</t>
    <phoneticPr fontId="9" type="noConversion"/>
  </si>
  <si>
    <t>OUTDOOR DISTRIBUTION PANEL</t>
  </si>
  <si>
    <t>RN2183-231</t>
    <phoneticPr fontId="9" type="noConversion"/>
  </si>
  <si>
    <t>OUTDOOR LIGHTING FIXTURE, JB &amp; SOCKET OULET</t>
  </si>
  <si>
    <t>RN2183-102</t>
    <phoneticPr fontId="9" type="noConversion"/>
  </si>
  <si>
    <t>INDOOR DISTRIBUTION PANEL</t>
  </si>
  <si>
    <t>RN2183-232</t>
    <phoneticPr fontId="9" type="noConversion"/>
  </si>
  <si>
    <t>INDOOR LIGHTING FIXTURE, JB &amp; SOCKET OULET</t>
  </si>
  <si>
    <t>RN2185-001</t>
    <phoneticPr fontId="9" type="noConversion"/>
  </si>
  <si>
    <t>RN2188-001</t>
    <phoneticPr fontId="9" type="noConversion"/>
  </si>
  <si>
    <t>기타</t>
    <phoneticPr fontId="9" type="noConversion"/>
  </si>
  <si>
    <t>RN21C1-001/002</t>
    <phoneticPr fontId="9" type="noConversion"/>
  </si>
  <si>
    <t>CATALYST</t>
  </si>
  <si>
    <t>RN21C2-002</t>
    <phoneticPr fontId="9" type="noConversion"/>
  </si>
  <si>
    <t>CHEMICAL AND LUBE OILS</t>
  </si>
  <si>
    <t>CSSP</t>
    <phoneticPr fontId="15" type="noConversion"/>
  </si>
  <si>
    <t>MR-MR-001</t>
    <phoneticPr fontId="9" type="noConversion"/>
  </si>
  <si>
    <t>1 item / 5 sets</t>
    <phoneticPr fontId="15" type="noConversion"/>
  </si>
  <si>
    <t>서민 책임</t>
  </si>
  <si>
    <t>MR-MR-002</t>
    <phoneticPr fontId="9" type="noConversion"/>
  </si>
  <si>
    <t>1 item / 3 sets</t>
    <phoneticPr fontId="15" type="noConversion"/>
  </si>
  <si>
    <t>MR-MR-003</t>
    <phoneticPr fontId="9" type="noConversion"/>
  </si>
  <si>
    <t>3 items / 6 sets</t>
    <phoneticPr fontId="15" type="noConversion"/>
  </si>
  <si>
    <t>MR-MR-004</t>
  </si>
  <si>
    <t>MR-MR-005</t>
  </si>
  <si>
    <t>2 items / 23 sets</t>
    <phoneticPr fontId="15" type="noConversion"/>
  </si>
  <si>
    <t>MR-MR-006</t>
  </si>
  <si>
    <t>2 items / 18 sets</t>
    <phoneticPr fontId="15" type="noConversion"/>
  </si>
  <si>
    <t>MR-MR-007</t>
  </si>
  <si>
    <t>15 items / 35 sets</t>
    <phoneticPr fontId="15" type="noConversion"/>
  </si>
  <si>
    <t>MR-MR-008</t>
  </si>
  <si>
    <t>15 items / 42 sets</t>
    <phoneticPr fontId="15" type="noConversion"/>
  </si>
  <si>
    <t>MR-MR-009</t>
  </si>
  <si>
    <t>8 items / 31 sets</t>
    <phoneticPr fontId="15" type="noConversion"/>
  </si>
  <si>
    <t>MR-MR-010</t>
  </si>
  <si>
    <t>3 items / 9 sets</t>
    <phoneticPr fontId="15" type="noConversion"/>
  </si>
  <si>
    <t>MR-MR-011</t>
  </si>
  <si>
    <t>2 items / 20 sets</t>
    <phoneticPr fontId="15" type="noConversion"/>
  </si>
  <si>
    <t>MR-MR-012</t>
  </si>
  <si>
    <t>9 items / 23 sets</t>
    <phoneticPr fontId="15" type="noConversion"/>
  </si>
  <si>
    <t>MR-MR-013</t>
  </si>
  <si>
    <t>2 items / 3 sets</t>
    <phoneticPr fontId="15" type="noConversion"/>
  </si>
  <si>
    <t>MR-MR-014</t>
  </si>
  <si>
    <t>16 Set</t>
    <phoneticPr fontId="15" type="noConversion"/>
  </si>
  <si>
    <t>장동철 책임</t>
  </si>
  <si>
    <t>MR-MR-015</t>
  </si>
  <si>
    <t>Drum Screen : 2 Set, Bar Screen : 4 Set</t>
    <phoneticPr fontId="15" type="noConversion"/>
  </si>
  <si>
    <t>MR-MR-016</t>
  </si>
  <si>
    <t>MR-MR-017</t>
  </si>
  <si>
    <t>Dosing Pump 4 ea
Centrifugal Pump : 2 ea
Storage Tank : 3 기 (Acid Cleaning, Hypochlorite)
Strainer 2 ea
Air Blower : 3 ea
Hypochlorite Generating Module : 3 Set
Ejector : 1 ea</t>
    <phoneticPr fontId="15" type="noConversion"/>
  </si>
  <si>
    <t>MR-MR-018</t>
  </si>
  <si>
    <t>Metering Pump : 22 EA
Centr. Pump : 15 EA
Tank : 4 기
Filter : 17 EA
RO Module : 4 Set
Turbo Charger : 5 Set</t>
    <phoneticPr fontId="15" type="noConversion"/>
  </si>
  <si>
    <t>MR-MR-021</t>
  </si>
  <si>
    <t>3 Set</t>
    <phoneticPr fontId="15" type="noConversion"/>
  </si>
  <si>
    <t>MR-MR-022</t>
  </si>
  <si>
    <t>Metering Pump : 2 ea
Centri. Pump : 9 ea
Tank : 5기
Decanter : 2 ea
Distribution chamber : 1 ea
SBR : 2 ea
Bin : 2 ae
Aerator : 2 ea
Air Blower : 2 ea
Sludge drying bed : 6 ea</t>
    <phoneticPr fontId="15" type="noConversion"/>
  </si>
  <si>
    <t>MR-MR-023</t>
  </si>
  <si>
    <t>Oil Skimmer PKG : 2 Set
Separator : 1 ea</t>
    <phoneticPr fontId="15" type="noConversion"/>
  </si>
  <si>
    <t>MR-MR-024</t>
  </si>
  <si>
    <t>Seawater Sludge Centrifuge : 14 ea
Diesel Centrifugal Pump : 3 ea
Diesel Centrifuge : 3 ea</t>
    <phoneticPr fontId="15" type="noConversion"/>
  </si>
  <si>
    <t>MR-MR-025</t>
  </si>
  <si>
    <t>Sludge Conveyor : 14 Set
Bulk Sludge Conveyor : 3 Set</t>
    <phoneticPr fontId="15" type="noConversion"/>
  </si>
  <si>
    <t>MR-MR-026</t>
  </si>
  <si>
    <t>2 items / 6 sets</t>
    <phoneticPr fontId="15" type="noConversion"/>
  </si>
  <si>
    <t>MR-MR-027</t>
  </si>
  <si>
    <t>1 item / 1 set</t>
    <phoneticPr fontId="15" type="noConversion"/>
  </si>
  <si>
    <t>MR-MR-028</t>
  </si>
  <si>
    <t>1 item / 4 sets</t>
    <phoneticPr fontId="15" type="noConversion"/>
  </si>
  <si>
    <t>MR-MR-029</t>
  </si>
  <si>
    <t>19 items / 30 sets</t>
    <phoneticPr fontId="15" type="noConversion"/>
  </si>
  <si>
    <t>MR-MR-030</t>
  </si>
  <si>
    <t>3 items / 3 sets</t>
    <phoneticPr fontId="15" type="noConversion"/>
  </si>
  <si>
    <t>MR-MR-031</t>
  </si>
  <si>
    <t>5 Set</t>
    <phoneticPr fontId="15" type="noConversion"/>
  </si>
  <si>
    <t>MR-MR-032</t>
  </si>
  <si>
    <t>8 Set</t>
    <phoneticPr fontId="15" type="noConversion"/>
  </si>
  <si>
    <t>Inspection Level 4</t>
    <phoneticPr fontId="15" type="noConversion"/>
  </si>
  <si>
    <t>MR-MR-033</t>
  </si>
  <si>
    <t>MR-MR-034</t>
  </si>
  <si>
    <t>소방/안전</t>
  </si>
  <si>
    <t>MR-EH-001</t>
    <phoneticPr fontId="15" type="noConversion"/>
  </si>
  <si>
    <t>MR-EH-002</t>
    <phoneticPr fontId="15" type="noConversion"/>
  </si>
  <si>
    <t>MR-MS-001</t>
  </si>
  <si>
    <t>19 items / 53 sets</t>
  </si>
  <si>
    <t>정진우 책임</t>
  </si>
  <si>
    <t>MR-MS-002</t>
  </si>
  <si>
    <t>2 items / 5 sets</t>
  </si>
  <si>
    <t>MR-MS-003</t>
  </si>
  <si>
    <t>Vessel 80 sets / Blower 12 sets</t>
  </si>
  <si>
    <t>MR-MS-004</t>
  </si>
  <si>
    <t>Vessel 12 sets / Vacuum Pump Skid 28set</t>
  </si>
  <si>
    <t>MR-MS-005</t>
  </si>
  <si>
    <t>10 sets</t>
  </si>
  <si>
    <t>MR-MS-006</t>
  </si>
  <si>
    <t>2 items / 4 sets</t>
  </si>
  <si>
    <t>MR-MS-007</t>
  </si>
  <si>
    <t>Tank 17 ea</t>
    <phoneticPr fontId="15" type="noConversion"/>
  </si>
  <si>
    <t>MR-MS-008</t>
  </si>
  <si>
    <t>Tank 9 ea</t>
    <phoneticPr fontId="15" type="noConversion"/>
  </si>
  <si>
    <t>MR-MS-009</t>
  </si>
  <si>
    <t>Tank 28 ea</t>
    <phoneticPr fontId="15" type="noConversion"/>
  </si>
  <si>
    <t>MR-MS-010</t>
    <phoneticPr fontId="15" type="noConversion"/>
  </si>
  <si>
    <t>7 items / 56 sets</t>
  </si>
  <si>
    <t>MR-MS-012</t>
  </si>
  <si>
    <t>2 items / 16 sets</t>
  </si>
  <si>
    <t>MR-MS-013</t>
  </si>
  <si>
    <t>2 items / 2 sets</t>
  </si>
  <si>
    <t>MR-MS-014</t>
  </si>
  <si>
    <t>MR-MS-015</t>
  </si>
  <si>
    <t>1 items / 3 sets</t>
  </si>
  <si>
    <t>MR-MS-016</t>
  </si>
  <si>
    <t>5 items / 24 sets</t>
  </si>
  <si>
    <t>MR-MS-017</t>
  </si>
  <si>
    <t>2 items / 7 sets</t>
  </si>
  <si>
    <t>MR-MS-018</t>
  </si>
  <si>
    <t>MR-MS-019</t>
  </si>
  <si>
    <t>1 items / 2 sets</t>
  </si>
  <si>
    <t>MR-MS-020</t>
  </si>
  <si>
    <t>3 items / 3 sets</t>
  </si>
  <si>
    <t>Internal Type (Bladder Internal) 적용으로 MS001 Vessel PO에서 분리 발주</t>
    <phoneticPr fontId="15" type="noConversion"/>
  </si>
  <si>
    <t>MR-MS-021</t>
  </si>
  <si>
    <t>3 items / 5 sets</t>
  </si>
  <si>
    <t>PI-0001</t>
    <phoneticPr fontId="15" type="noConversion"/>
  </si>
  <si>
    <t>873.43 ton</t>
  </si>
  <si>
    <t>PI-0002</t>
  </si>
  <si>
    <t>2644.81 ton</t>
  </si>
  <si>
    <t>강태준 책임</t>
  </si>
  <si>
    <t>PI-0003</t>
  </si>
  <si>
    <t>SS SMLS PIPE</t>
  </si>
  <si>
    <t>164.9 ton</t>
  </si>
  <si>
    <t>PI-0004</t>
  </si>
  <si>
    <t>SS WELDED PIPE</t>
  </si>
  <si>
    <t>25.69 ton</t>
  </si>
  <si>
    <t>PI-0005</t>
  </si>
  <si>
    <t>13.71 ton</t>
  </si>
  <si>
    <t>PI-0006</t>
  </si>
  <si>
    <t>344.12  ton</t>
  </si>
  <si>
    <t>PI-0007</t>
  </si>
  <si>
    <t>2182.92 ton</t>
  </si>
  <si>
    <t>PI-0008</t>
  </si>
  <si>
    <t>46.38 ton</t>
  </si>
  <si>
    <t>PI-0009</t>
  </si>
  <si>
    <t>BOLT&amp;NUTS</t>
  </si>
  <si>
    <t>889.47 ton</t>
  </si>
  <si>
    <t>PI-0010</t>
  </si>
  <si>
    <t>1156 EA</t>
    <phoneticPr fontId="15" type="noConversion"/>
  </si>
  <si>
    <t>PI-0011</t>
  </si>
  <si>
    <t>61 EA</t>
    <phoneticPr fontId="15" type="noConversion"/>
  </si>
  <si>
    <t>PI-0012</t>
  </si>
  <si>
    <t>3898 EA</t>
    <phoneticPr fontId="15" type="noConversion"/>
  </si>
  <si>
    <t>PI-0013</t>
  </si>
  <si>
    <t>ECCENTRIC PLUG VALVE</t>
  </si>
  <si>
    <t>138 EA</t>
    <phoneticPr fontId="15" type="noConversion"/>
  </si>
  <si>
    <t>PI-0014</t>
  </si>
  <si>
    <t>222 EA</t>
    <phoneticPr fontId="15" type="noConversion"/>
  </si>
  <si>
    <t>PI-0015</t>
  </si>
  <si>
    <t>988 EA</t>
    <phoneticPr fontId="15" type="noConversion"/>
  </si>
  <si>
    <t>PI-0016</t>
  </si>
  <si>
    <t>1353 EA</t>
    <phoneticPr fontId="15" type="noConversion"/>
  </si>
  <si>
    <t>PI-0017</t>
  </si>
  <si>
    <t>PIV</t>
  </si>
  <si>
    <t>202 EA</t>
    <phoneticPr fontId="15" type="noConversion"/>
  </si>
  <si>
    <t>PI-0018</t>
  </si>
  <si>
    <t>PTFE LINED</t>
  </si>
  <si>
    <t>1772.1 M/EA</t>
    <phoneticPr fontId="15" type="noConversion"/>
  </si>
  <si>
    <t>PI-0019</t>
  </si>
  <si>
    <t>2305.62 ton</t>
  </si>
  <si>
    <t>PI-0020</t>
  </si>
  <si>
    <t>83.25 ton</t>
  </si>
  <si>
    <t>PI-0021</t>
  </si>
  <si>
    <t>112.61 ton</t>
  </si>
  <si>
    <t>PI-0022</t>
  </si>
  <si>
    <t>121 EA</t>
    <phoneticPr fontId="15" type="noConversion"/>
  </si>
  <si>
    <t>PI-0023</t>
  </si>
  <si>
    <t>46 set</t>
  </si>
  <si>
    <t>PI-0024</t>
  </si>
  <si>
    <t>3 set</t>
  </si>
  <si>
    <t>PI-0026</t>
  </si>
  <si>
    <t>FLEXIBLE HOSE &amp; HOSE COUPLING</t>
  </si>
  <si>
    <t>1628 set</t>
  </si>
  <si>
    <t>PI-0027</t>
  </si>
  <si>
    <t>AIR RELEASE VENT &amp; AIR TRAP</t>
  </si>
  <si>
    <t>41 EA</t>
    <phoneticPr fontId="15" type="noConversion"/>
  </si>
  <si>
    <t>PI-0028</t>
  </si>
  <si>
    <t>42 EA</t>
    <phoneticPr fontId="15" type="noConversion"/>
  </si>
  <si>
    <t>PI-0029</t>
  </si>
  <si>
    <t>119 EA</t>
    <phoneticPr fontId="15" type="noConversion"/>
  </si>
  <si>
    <t>PI-0030</t>
  </si>
  <si>
    <t>INT+EXT COATING</t>
  </si>
  <si>
    <t>5060.43 ton</t>
  </si>
  <si>
    <t>PI-0031</t>
  </si>
  <si>
    <t>TELESCOPIC VALVE</t>
  </si>
  <si>
    <t>10 EA</t>
    <phoneticPr fontId="15" type="noConversion"/>
  </si>
  <si>
    <t>PI-0032</t>
  </si>
  <si>
    <t>18 EA</t>
    <phoneticPr fontId="15" type="noConversion"/>
  </si>
  <si>
    <t>PL-0003</t>
  </si>
  <si>
    <t>STEEL STRUTURE</t>
  </si>
  <si>
    <t>17,000 ton</t>
  </si>
  <si>
    <t>공조</t>
  </si>
  <si>
    <t>MR-HV-001</t>
  </si>
  <si>
    <t>MR-EL-0001</t>
  </si>
  <si>
    <t>33KV GIS</t>
  </si>
  <si>
    <t>55 bays</t>
    <phoneticPr fontId="15" type="noConversion"/>
  </si>
  <si>
    <t>MR-EL-0002</t>
  </si>
  <si>
    <t>MR-EL-0003</t>
  </si>
  <si>
    <t>MR-EL-0004</t>
    <phoneticPr fontId="15" type="noConversion"/>
  </si>
  <si>
    <t>ECMS</t>
  </si>
  <si>
    <t>MR-EL-0005</t>
    <phoneticPr fontId="15" type="noConversion"/>
  </si>
  <si>
    <t>69 units</t>
    <phoneticPr fontId="15" type="noConversion"/>
  </si>
  <si>
    <t>MR-EL-0006</t>
    <phoneticPr fontId="15" type="noConversion"/>
  </si>
  <si>
    <t>MR-EL-0007</t>
    <phoneticPr fontId="15" type="noConversion"/>
  </si>
  <si>
    <t>MR-EL-0008</t>
    <phoneticPr fontId="15" type="noConversion"/>
  </si>
  <si>
    <t>MR-EL-0009</t>
    <phoneticPr fontId="15" type="noConversion"/>
  </si>
  <si>
    <t>MR-EL-0010</t>
    <phoneticPr fontId="15" type="noConversion"/>
  </si>
  <si>
    <t>MR-EL-0011</t>
    <phoneticPr fontId="15" type="noConversion"/>
  </si>
  <si>
    <t>MR-EL-0012</t>
    <phoneticPr fontId="15" type="noConversion"/>
  </si>
  <si>
    <t>MR-EL-0013</t>
    <phoneticPr fontId="15" type="noConversion"/>
  </si>
  <si>
    <t>MR-EL-0015</t>
    <phoneticPr fontId="15" type="noConversion"/>
  </si>
  <si>
    <t>MR-EL-0018</t>
    <phoneticPr fontId="15" type="noConversion"/>
  </si>
  <si>
    <t>MR-EL-0019</t>
    <phoneticPr fontId="15" type="noConversion"/>
  </si>
  <si>
    <t>MR-EL-0020</t>
    <phoneticPr fontId="15" type="noConversion"/>
  </si>
  <si>
    <t>MR-EL-0021</t>
    <phoneticPr fontId="15" type="noConversion"/>
  </si>
  <si>
    <t>MR-EL-0022</t>
    <phoneticPr fontId="15" type="noConversion"/>
  </si>
  <si>
    <t>MR-EL-0023</t>
    <phoneticPr fontId="15" type="noConversion"/>
  </si>
  <si>
    <t>MR-EL-0024</t>
    <phoneticPr fontId="15" type="noConversion"/>
  </si>
  <si>
    <t>MR-EL-0025</t>
    <phoneticPr fontId="15" type="noConversion"/>
  </si>
  <si>
    <t>MR-EL-0026</t>
    <phoneticPr fontId="15" type="noConversion"/>
  </si>
  <si>
    <t>통신</t>
  </si>
  <si>
    <t>MR-TE-0001</t>
    <phoneticPr fontId="15" type="noConversion"/>
  </si>
  <si>
    <t>MR-IC-0001</t>
    <phoneticPr fontId="15" type="noConversion"/>
  </si>
  <si>
    <t>강인묵 책임</t>
  </si>
  <si>
    <t>MR-IC-0002</t>
  </si>
  <si>
    <t>MR-IC-0003</t>
  </si>
  <si>
    <t>MR-IC-0004</t>
  </si>
  <si>
    <t>MR-IC-0005</t>
  </si>
  <si>
    <t>MR-IC-0006</t>
  </si>
  <si>
    <t>MR-IC-0007</t>
  </si>
  <si>
    <t>MR-IC-0008</t>
  </si>
  <si>
    <t>MR-IC-0009</t>
  </si>
  <si>
    <t>MR-IC-0010</t>
  </si>
  <si>
    <t>MR-IC-0011</t>
  </si>
  <si>
    <t>MR-IC-0012</t>
  </si>
  <si>
    <t>MR-IC-0013</t>
  </si>
  <si>
    <t>MR-IC-0014</t>
  </si>
  <si>
    <t>MR-IC-0015</t>
  </si>
  <si>
    <t>MR-IC-0016</t>
  </si>
  <si>
    <t>MR-IC-0017</t>
  </si>
  <si>
    <t>MR-IC-0018</t>
  </si>
  <si>
    <t>MR-IC-0019</t>
  </si>
  <si>
    <t>MR-IC-0020</t>
    <phoneticPr fontId="15" type="noConversion"/>
  </si>
  <si>
    <t>MR-IC-0021</t>
    <phoneticPr fontId="15" type="noConversion"/>
  </si>
  <si>
    <t>MR-IC-0022</t>
    <phoneticPr fontId="15" type="noConversion"/>
  </si>
  <si>
    <t>MR-IC-0023</t>
    <phoneticPr fontId="15" type="noConversion"/>
  </si>
  <si>
    <t>MR-IC-0101</t>
    <phoneticPr fontId="15" type="noConversion"/>
  </si>
  <si>
    <t>MR-IC-0102</t>
    <phoneticPr fontId="15" type="noConversion"/>
  </si>
  <si>
    <t>MR-IC-0103</t>
    <phoneticPr fontId="15" type="noConversion"/>
  </si>
  <si>
    <t>MR-IC-0104</t>
    <phoneticPr fontId="15" type="noConversion"/>
  </si>
  <si>
    <t>MR-IC-0105</t>
    <phoneticPr fontId="15" type="noConversion"/>
  </si>
  <si>
    <t>MR-IC-0106</t>
    <phoneticPr fontId="15" type="noConversion"/>
  </si>
  <si>
    <t>MR-IC-0107</t>
    <phoneticPr fontId="15" type="noConversion"/>
  </si>
  <si>
    <t>MR-IC-0108</t>
    <phoneticPr fontId="15" type="noConversion"/>
  </si>
  <si>
    <t>MR-IC-0109</t>
    <phoneticPr fontId="15" type="noConversion"/>
  </si>
  <si>
    <t>MR-IC-0110</t>
    <phoneticPr fontId="15" type="noConversion"/>
  </si>
  <si>
    <t>기타</t>
  </si>
  <si>
    <t>MR-PR-001</t>
  </si>
  <si>
    <t>MR-PR-002</t>
    <phoneticPr fontId="15" type="noConversion"/>
  </si>
  <si>
    <t>MR-PR-002</t>
  </si>
  <si>
    <t>PNG1</t>
    <phoneticPr fontId="15" type="noConversion"/>
  </si>
  <si>
    <t>R-2130-002</t>
  </si>
  <si>
    <t>S120-001</t>
    <phoneticPr fontId="15" type="noConversion"/>
  </si>
  <si>
    <t>R-2154-101</t>
  </si>
  <si>
    <t>R-2155-501</t>
  </si>
  <si>
    <t>R-2155-504</t>
  </si>
  <si>
    <t>R-2155-507</t>
  </si>
  <si>
    <t>R-2158-103</t>
  </si>
  <si>
    <t>TBA</t>
  </si>
  <si>
    <t>R-2158-104</t>
  </si>
  <si>
    <t>R-2158-112</t>
  </si>
  <si>
    <t>R-2158-401</t>
  </si>
  <si>
    <t>R-2158-402</t>
  </si>
  <si>
    <t>R-215A-101</t>
  </si>
  <si>
    <t>R-215A-201</t>
  </si>
  <si>
    <t>R-215A-202</t>
  </si>
  <si>
    <t>R-215A-901</t>
  </si>
  <si>
    <t>R-215B-201</t>
  </si>
  <si>
    <t>R-215B-401</t>
  </si>
  <si>
    <t>R-216G-221</t>
  </si>
  <si>
    <t>R-216G-353</t>
  </si>
  <si>
    <t>R-216G-354</t>
  </si>
  <si>
    <t>R-216Z-902</t>
  </si>
  <si>
    <t>엥흐철멍 매니저</t>
    <phoneticPr fontId="15" type="noConversion"/>
  </si>
  <si>
    <t>R-2174-102</t>
  </si>
  <si>
    <t>S16G-615</t>
    <phoneticPr fontId="15" type="noConversion"/>
  </si>
  <si>
    <t>S15D-002</t>
    <phoneticPr fontId="15" type="noConversion"/>
  </si>
  <si>
    <t>S15D-003</t>
    <phoneticPr fontId="15" type="noConversion"/>
  </si>
  <si>
    <t>R-2174-204</t>
  </si>
  <si>
    <t>R-2174-402</t>
  </si>
  <si>
    <t>R-21C2-101</t>
  </si>
  <si>
    <t>FAT</t>
  </si>
  <si>
    <t>VEQU</t>
  </si>
  <si>
    <t>TLT TURBO</t>
  </si>
  <si>
    <t>PIM</t>
  </si>
  <si>
    <t>INCINERATOR - CHAMBER &amp; STACK</t>
  </si>
  <si>
    <t>MORIMATSU</t>
  </si>
  <si>
    <t>SHN1</t>
  </si>
  <si>
    <t>AC,DC UPS</t>
  </si>
  <si>
    <t>GUTOR</t>
  </si>
  <si>
    <t>말레이시아</t>
  </si>
  <si>
    <t>ON-OFF VALVE BUTTERFLY</t>
  </si>
  <si>
    <t>IMI</t>
  </si>
  <si>
    <t>SAC2</t>
  </si>
  <si>
    <t>ABB</t>
  </si>
  <si>
    <t>CHEMICAL INJECTION PKG</t>
  </si>
  <si>
    <t>SAUDI WELLS</t>
  </si>
  <si>
    <t>ON-OFF VALVE GATE</t>
  </si>
  <si>
    <t>L&amp;T VALVE</t>
  </si>
  <si>
    <t>FLARE PKG - DERRICK STURCTURE</t>
  </si>
  <si>
    <t>DSD-FERROMETALCO</t>
  </si>
  <si>
    <t>이집트</t>
  </si>
  <si>
    <t>FLARE PKG - MPGF</t>
  </si>
  <si>
    <t>ZEECO MIDDLE EAST</t>
  </si>
  <si>
    <t>INCINERATOR PKG - BURNER &amp; SKID</t>
  </si>
  <si>
    <t>Monitoring</t>
  </si>
  <si>
    <t>DAMPER (DIVERTER, GUILLOTINE, LOUVER)</t>
  </si>
  <si>
    <t>남광엔지니어링</t>
  </si>
  <si>
    <t>대한민국</t>
  </si>
  <si>
    <t>요코가와</t>
  </si>
  <si>
    <t>DISTRIBUTION TRANSFORMER</t>
  </si>
  <si>
    <t>효성중공업</t>
  </si>
  <si>
    <t>업체실사</t>
  </si>
  <si>
    <t>DIVERTER DAMPER</t>
  </si>
  <si>
    <t>TS 넥스젠</t>
  </si>
  <si>
    <t>MV SWITCH GEAR</t>
  </si>
  <si>
    <t>LS ELECTRIC</t>
  </si>
  <si>
    <t>REGENERATIVE THERMAL OXIDIZER (RTO) PACKAGE</t>
  </si>
  <si>
    <t>삼경이엔씨</t>
  </si>
  <si>
    <t>PROSAVE</t>
  </si>
  <si>
    <t>MIP6</t>
  </si>
  <si>
    <t>CHROMALOX</t>
  </si>
  <si>
    <t>230KV POWER TRANSFORMER</t>
  </si>
  <si>
    <t>HYOSUNG NANTONG</t>
  </si>
  <si>
    <t>FILTREX SRL</t>
  </si>
  <si>
    <t>이탈리아</t>
  </si>
  <si>
    <t>INCINERATOR PKG - CHAMBER &amp; STACK</t>
  </si>
  <si>
    <t>공장검사</t>
  </si>
  <si>
    <t>광명전기</t>
  </si>
  <si>
    <t>FABTECH INTERNATIONAL</t>
  </si>
  <si>
    <t>COOLING WATER PUMP</t>
  </si>
  <si>
    <t>FLOWSERVE</t>
  </si>
  <si>
    <t>CRACKING HEATER BURNER</t>
  </si>
  <si>
    <t>신아플랜트</t>
  </si>
  <si>
    <t>C/S SEAMLESS PIP</t>
  </si>
  <si>
    <t>HONGDA (흥양 SUB-VENDOR)</t>
  </si>
  <si>
    <t>교육</t>
  </si>
  <si>
    <t>VALVE ACADEMY</t>
  </si>
  <si>
    <t>PK VALVE</t>
  </si>
  <si>
    <t>LOAD SHEDDING</t>
  </si>
  <si>
    <t>코리아데이타</t>
  </si>
  <si>
    <t>대상이엔지</t>
  </si>
  <si>
    <t xml:space="preserve">PRESSURE VESSEL OF FLARE PKG &amp; INCIERATOR </t>
  </si>
  <si>
    <t>PERTON (ZEECO SUB-VENDOR)</t>
  </si>
  <si>
    <t>INCINERATOR PKG - STANDARD FLANGE</t>
  </si>
  <si>
    <t>WUXI PAIKE (ZEECO SUB-VENDOR)</t>
  </si>
  <si>
    <t>BLOW DOWN PUMP(MR-006)</t>
  </si>
  <si>
    <t>DMW(일본)</t>
  </si>
  <si>
    <t>일본</t>
  </si>
  <si>
    <t>AIR COMPRESSOR PKG</t>
  </si>
  <si>
    <t>현대마린엔진(HHI 터보기계 SUB-VENDOR)</t>
  </si>
  <si>
    <t>현안미팅</t>
  </si>
  <si>
    <t>HHI 터보기계</t>
  </si>
  <si>
    <t>FBE COATING / KNIFE GATE VALVE &amp; STRAINER</t>
  </si>
  <si>
    <t>우성플로텍</t>
  </si>
  <si>
    <t>FAN</t>
  </si>
  <si>
    <t>서원풍력</t>
  </si>
  <si>
    <t>TS 넥스젠(남광엔지니어링 임대공장)</t>
  </si>
  <si>
    <t>MV CABLE</t>
  </si>
  <si>
    <t>BAHRA ADVANCED CABLE</t>
  </si>
  <si>
    <t>CRP PANEL</t>
  </si>
  <si>
    <t>HITACHI ENERGY</t>
  </si>
  <si>
    <t>하도</t>
  </si>
  <si>
    <t>XINXIANG SHENGDA FILTRATION TECHNIQUE</t>
  </si>
  <si>
    <t>CERAMIC INSULATOR</t>
  </si>
  <si>
    <t>태성쎄라믹</t>
  </si>
  <si>
    <t>동해밸브</t>
  </si>
  <si>
    <t>세양기업</t>
  </si>
  <si>
    <t>업체감사</t>
  </si>
  <si>
    <t>ALOM</t>
  </si>
  <si>
    <t>티에스넥스젠 인천사업장</t>
  </si>
  <si>
    <t>AIR COOLED CONDENSER PACKAGE</t>
  </si>
  <si>
    <t>SPG DRY COOLING BELGUM</t>
  </si>
  <si>
    <t>태광</t>
  </si>
  <si>
    <t>FBE COATING / LINING</t>
  </si>
  <si>
    <t>세보테크놀로지</t>
  </si>
  <si>
    <t>CSSP</t>
  </si>
  <si>
    <t>VALVE</t>
  </si>
  <si>
    <t>DHV VALVE &amp; FOUNDRY</t>
  </si>
  <si>
    <t>SUFA</t>
  </si>
  <si>
    <t>NEWAY VALVE</t>
  </si>
  <si>
    <t>TYHOO</t>
  </si>
  <si>
    <t>FLANGE / FITTING</t>
  </si>
  <si>
    <t>ZHONGNAN HEAVY INDUSTRIES</t>
  </si>
  <si>
    <t>HV SWGR</t>
  </si>
  <si>
    <t>AL-FANAR</t>
  </si>
  <si>
    <t>HABARA CABLE</t>
  </si>
  <si>
    <t>ANALYZER</t>
  </si>
  <si>
    <t>YOGOKAWA</t>
  </si>
  <si>
    <t>ETHAN COMPRESSOR</t>
  </si>
  <si>
    <t>HITACHI</t>
  </si>
  <si>
    <t>CHROMALOX INC.</t>
  </si>
  <si>
    <t xml:space="preserve">ECS PANEL </t>
  </si>
  <si>
    <t>OIL SKIMMER FOR STORAGE TANK</t>
  </si>
  <si>
    <t>TTS</t>
  </si>
  <si>
    <t>SPOOL FABRICATION &amp; EXTERNAL/INTERNAL COATING</t>
  </si>
  <si>
    <t>웰텍</t>
  </si>
  <si>
    <t>주성이엔지</t>
  </si>
  <si>
    <t>Knife Gate Valve 표면 처리불량</t>
    <phoneticPr fontId="4" type="noConversion"/>
  </si>
  <si>
    <t>FBE 작업 진행 중</t>
    <phoneticPr fontId="4" type="noConversion"/>
  </si>
  <si>
    <t>N2 Receiver 폭발 사고 관련 추가 제작 Item 검사 절차 협의</t>
    <phoneticPr fontId="4" type="noConversion"/>
  </si>
  <si>
    <t>SVL &amp; Inspection Level 협의 중 (SAIR)</t>
    <phoneticPr fontId="4" type="noConversion"/>
  </si>
  <si>
    <t>Produced Water Booster Pump 관련 Casing 파손</t>
    <phoneticPr fontId="4" type="noConversion"/>
  </si>
  <si>
    <t>결함 판독을 위해 현장에서 RT 수행 예정</t>
    <phoneticPr fontId="4" type="noConversion"/>
  </si>
  <si>
    <t>N2 Generation Package 성능 미달</t>
    <phoneticPr fontId="4" type="noConversion"/>
  </si>
  <si>
    <t>제작 및 검사 진행 중</t>
    <phoneticPr fontId="4" type="noConversion"/>
  </si>
  <si>
    <t>Bypass Valve 현장시험 불합격</t>
    <phoneticPr fontId="4" type="noConversion"/>
  </si>
  <si>
    <t>LV Switchgear 내부 부식 발생</t>
    <phoneticPr fontId="4" type="noConversion"/>
  </si>
  <si>
    <t>재제작 진행 중 (5월말 FAT 예상)</t>
    <phoneticPr fontId="4" type="noConversion"/>
  </si>
  <si>
    <t>원소재 성적서 검토 시스템</t>
    <phoneticPr fontId="4" type="noConversion"/>
  </si>
  <si>
    <t>경영분석팀 &amp; IT지원팀 협의 중</t>
    <phoneticPr fontId="4" type="noConversion"/>
  </si>
  <si>
    <t>Punch 관리방법 개선</t>
    <phoneticPr fontId="4" type="noConversion"/>
  </si>
  <si>
    <t>추진안 준비 중</t>
    <phoneticPr fontId="4" type="noConversion"/>
  </si>
  <si>
    <t>TPA Workshop</t>
    <phoneticPr fontId="4" type="noConversion"/>
  </si>
  <si>
    <t>금주 중 참석자 확정 및 사전 설문 완료 예정</t>
    <phoneticPr fontId="4" type="noConversion"/>
  </si>
  <si>
    <t>TPA 실행 비용 분석 및 입찰 예산 적정성 검증</t>
    <phoneticPr fontId="4" type="noConversion"/>
  </si>
  <si>
    <t>프로젝트별 TPA 청산자료 1차 가공 완료</t>
    <phoneticPr fontId="4" type="noConversion"/>
  </si>
  <si>
    <t>배관</t>
    <phoneticPr fontId="4" type="noConversion"/>
  </si>
  <si>
    <t>전기/계장</t>
    <phoneticPr fontId="4" type="noConversion"/>
  </si>
  <si>
    <t>회전기계</t>
    <phoneticPr fontId="4" type="noConversion"/>
  </si>
  <si>
    <t>장치기계</t>
    <phoneticPr fontId="4" type="noConversion"/>
  </si>
  <si>
    <t>전략기획</t>
    <phoneticPr fontId="4" type="noConversion"/>
  </si>
  <si>
    <t>철골</t>
    <phoneticPr fontId="4" type="noConversion"/>
  </si>
  <si>
    <t>Rotating / Piping</t>
    <phoneticPr fontId="4" type="noConversion"/>
  </si>
  <si>
    <t>Static / Structural Steel</t>
    <phoneticPr fontId="4" type="noConversion"/>
  </si>
  <si>
    <t>담당 공종</t>
    <phoneticPr fontId="4" type="noConversion"/>
  </si>
  <si>
    <t>시공품질</t>
    <phoneticPr fontId="4" type="noConversion"/>
  </si>
  <si>
    <t>정기평가 (2023)</t>
    <phoneticPr fontId="4" type="noConversion"/>
  </si>
  <si>
    <t>정기평가 (2024)</t>
    <phoneticPr fontId="4" type="noConversion"/>
  </si>
  <si>
    <t>정기평가 (2026)</t>
    <phoneticPr fontId="4" type="noConversion"/>
  </si>
  <si>
    <t>USD</t>
    <phoneticPr fontId="4" type="noConversion"/>
  </si>
  <si>
    <t>ERAM</t>
    <phoneticPr fontId="4" type="noConversion"/>
  </si>
  <si>
    <t>DNV</t>
    <phoneticPr fontId="4" type="noConversion"/>
  </si>
  <si>
    <t>RINA</t>
    <phoneticPr fontId="4" type="noConversion"/>
  </si>
  <si>
    <t>FE</t>
    <phoneticPr fontId="4" type="noConversion"/>
  </si>
  <si>
    <t>ACES</t>
    <phoneticPr fontId="4" type="noConversion"/>
  </si>
  <si>
    <t>APAVE</t>
    <phoneticPr fontId="4" type="noConversion"/>
  </si>
  <si>
    <t>GISCO</t>
    <phoneticPr fontId="4" type="noConversion"/>
  </si>
  <si>
    <t>PD</t>
    <phoneticPr fontId="4" type="noConversion"/>
  </si>
  <si>
    <t>1. 아래 시트탭의 각 시트(프로젝트_현황 / 프로젝트_구매품질 실적 / 프로젝트_NCR처리현황 / PQAN / TPA_목록 / TPA_집행현황 / TPA_월별대금청구현황 / 인력운영_현황 / 인력운영_세부내역 / 출장현황 / 주요현안)에 데이터를 입력합니다.</t>
  </si>
  <si>
    <t>• 날짜 필드(Issue Date / Due Date / Closed Date, 출발일, 복귀일, PQAN 배포일자 등)는 Excel 날짜 형식 또는 YYYY-MM-DD로 입력해주세요.</t>
  </si>
  <si>
    <t>• 프로젝트_NCR처리현황 시트: Main Vendor / Sub Vendor / 공종 / Issued by 포함 flat 컬럼. 작업공종·근본원인·처리분류는 대·중·(소)분류 분리 입력 후 HPMS 계층으로 자동 변환됩니다. Action Status 컬럼은 대시보드 확장 행에서 직접 입력 후 Excel 재다운로드 시 자동 저장됩니다.</t>
  </si>
  <si>
    <t>• 예산 대비 집행 90% 초과 → '2차 청산추정 및 예산외품의 검토 필요'</t>
  </si>
  <si>
    <t>• 계약고 대비 집행 90% 초과 → '계약고 증액 필요'</t>
  </si>
  <si>
    <t>Main Vendor</t>
  </si>
  <si>
    <t>Sub Vendor</t>
  </si>
  <si>
    <t>Issued by</t>
  </si>
  <si>
    <t>Issue Date</t>
  </si>
  <si>
    <t>Due Date</t>
  </si>
  <si>
    <t>Closed Date</t>
  </si>
  <si>
    <t>작업공종 대공종</t>
  </si>
  <si>
    <t>작업공종 중공종</t>
  </si>
  <si>
    <t>작업공종 소공종</t>
  </si>
  <si>
    <t>근본원인 대분류</t>
  </si>
  <si>
    <t>근본원인 중분류</t>
  </si>
  <si>
    <t>NCR Description</t>
  </si>
  <si>
    <t>Action Status</t>
  </si>
  <si>
    <t>기계.설비</t>
  </si>
  <si>
    <t>일반기계_고정.회전</t>
  </si>
  <si>
    <t>폐기</t>
  </si>
  <si>
    <t>급.배전설비</t>
  </si>
  <si>
    <t>수리</t>
  </si>
  <si>
    <t>손상</t>
  </si>
  <si>
    <t>품목의 결함, 손상 및 제작불량</t>
  </si>
  <si>
    <t>서류의 결함, 미비</t>
  </si>
  <si>
    <t>재작업</t>
  </si>
  <si>
    <t>현상태사용</t>
  </si>
  <si>
    <t>누수</t>
  </si>
  <si>
    <t>식별, 추적관리 미흡</t>
  </si>
  <si>
    <t>미시공</t>
  </si>
  <si>
    <t>취급관리 미흡, 취급 손상</t>
  </si>
  <si>
    <t>시험.검사</t>
  </si>
  <si>
    <t>절차서, 지침서의 미준수</t>
  </si>
  <si>
    <t>제어설비</t>
  </si>
  <si>
    <t>저장탱크</t>
  </si>
  <si>
    <t>검사, 시험의 미시행 또는 미흡</t>
  </si>
  <si>
    <t>계기</t>
  </si>
  <si>
    <t>자재불량</t>
  </si>
  <si>
    <t>자재</t>
  </si>
  <si>
    <t>도면, 기술시방서 요건과 상이한 제작</t>
  </si>
  <si>
    <t>현대건설</t>
    <phoneticPr fontId="4" type="noConversion"/>
  </si>
  <si>
    <t>NCR-OOK-MR012-001</t>
  </si>
  <si>
    <t>NCR-OOK-MS006-001</t>
  </si>
  <si>
    <t>NCR-OOK-MS008-001</t>
  </si>
  <si>
    <t>NCR-OOK-MS008-002</t>
  </si>
  <si>
    <t>NCR-OOK-MR012-002</t>
  </si>
  <si>
    <t>NCR-OOK-MS018-001</t>
  </si>
  <si>
    <t>NCR-OOK-MS019-001</t>
  </si>
  <si>
    <t>NCR-OOK-MS020-001</t>
  </si>
  <si>
    <t>NCR-OOK-MS021-001</t>
  </si>
  <si>
    <t>NCR-OOK-MS019-002</t>
  </si>
  <si>
    <t>NCR-OOK-MS021-002</t>
  </si>
  <si>
    <t>NCR-OOK-MS021-003</t>
  </si>
  <si>
    <t>NCR-OOK-EL001-001</t>
  </si>
  <si>
    <t>NCR-OOK-PI001-001</t>
  </si>
  <si>
    <t>NCR-OOK-MS020-002</t>
  </si>
  <si>
    <t>NCR-OOK-MS020-003</t>
  </si>
  <si>
    <t>NCR-OOK-MS013-001</t>
  </si>
  <si>
    <t>NCR-OOK-MR026-001</t>
  </si>
  <si>
    <t>NCR-OOK-PI002-2-001</t>
  </si>
  <si>
    <t>NCR-OOK-MR026-002</t>
  </si>
  <si>
    <t>NCR-OOK-PI009-001</t>
  </si>
  <si>
    <t>NCR-OOK-MS001-001</t>
  </si>
  <si>
    <t>NCR-OOK-MR001-001</t>
  </si>
  <si>
    <t>NCR-OOK-MR026-003</t>
  </si>
  <si>
    <t>NCR-OOK-MR024-001</t>
  </si>
  <si>
    <t>NCR-OOK-MS001-002</t>
  </si>
  <si>
    <t>NCR-OOK-MS020-004</t>
  </si>
  <si>
    <t xml:space="preserve">NCR-OOK-MR024-002 </t>
  </si>
  <si>
    <t>NCR-OOK-EL008-001</t>
  </si>
  <si>
    <t>NCR-OOK-MS021-1-002</t>
  </si>
  <si>
    <t>NCR-OOK-MR016-001</t>
  </si>
  <si>
    <t>NCR-OOK-EL003-001</t>
  </si>
  <si>
    <t>NCR-OOK-EL003-002</t>
  </si>
  <si>
    <t>NCR-OOK-EL009-001</t>
  </si>
  <si>
    <t>NCR-OOK-MR024-005</t>
  </si>
  <si>
    <t>NCR-OOK-MR024-006</t>
  </si>
  <si>
    <t>NCR-OOK-EL008-002</t>
  </si>
  <si>
    <t>NCR-OOK-EL018-001</t>
  </si>
  <si>
    <t>NCR-OOK-PI047-001</t>
  </si>
  <si>
    <t>NCR-OOK-PI047-002</t>
  </si>
  <si>
    <t>NCR-OOK-PI033-001</t>
  </si>
  <si>
    <t>NCR-OOK-MR003-001</t>
  </si>
  <si>
    <t>NCR-OOK-MR005-001</t>
  </si>
  <si>
    <t>NCR-OOK-MR005(SSPC)-001</t>
  </si>
  <si>
    <t>NCR-OOK-MR005(SSPC)-002</t>
  </si>
  <si>
    <t>NCR-OOK-IN005-001</t>
  </si>
  <si>
    <t>NCR-OOK-IN002-001</t>
  </si>
  <si>
    <t>NCR-OOK-MS015-001</t>
  </si>
  <si>
    <t>NCR-OOK-MS008-003</t>
  </si>
  <si>
    <t>NCR-OOK-MS014-001</t>
  </si>
  <si>
    <t>NCR-OOK-MS016-001</t>
  </si>
  <si>
    <t>NCR-OOK-MS008-004</t>
  </si>
  <si>
    <t>NCR-OOK-MS008-005</t>
  </si>
  <si>
    <t>NCR-OOK-MS008-006</t>
  </si>
  <si>
    <t>MR</t>
  </si>
  <si>
    <t>MS</t>
  </si>
  <si>
    <t>MR005</t>
  </si>
  <si>
    <t>IN</t>
  </si>
  <si>
    <t>EL001</t>
  </si>
  <si>
    <t>EL</t>
  </si>
  <si>
    <t>PI001</t>
  </si>
  <si>
    <t>PI</t>
  </si>
  <si>
    <t>MR026</t>
  </si>
  <si>
    <t>PI002-2</t>
  </si>
  <si>
    <t>MS001</t>
  </si>
  <si>
    <t>MR024</t>
  </si>
  <si>
    <t>MS021-1</t>
  </si>
  <si>
    <t>PI047</t>
  </si>
  <si>
    <t>Lined Plug Valve</t>
  </si>
  <si>
    <t>API PUMP(BB)</t>
  </si>
  <si>
    <t>(M97-G-0767)_FIRE WATER PUMP</t>
  </si>
  <si>
    <t>S&amp;T Heat Exchanger</t>
  </si>
  <si>
    <t>Electrical Heater</t>
  </si>
  <si>
    <t>Hot Oil Furnace PKG_Fuel gas skid</t>
  </si>
  <si>
    <t>Lean Fuel Gas Heater (M97-E-0602 A/B) - 18 inch / 2 set</t>
  </si>
  <si>
    <t>Dehydrator &amp; Desalter_HIC Plate</t>
  </si>
  <si>
    <t>Water Oil Separator_HIC Plate</t>
  </si>
  <si>
    <t>LPPT_HIC Plate</t>
  </si>
  <si>
    <t xml:space="preserve">CS SMLS PIPE </t>
  </si>
  <si>
    <t>Water Oil Separator PKG</t>
  </si>
  <si>
    <t>N2 Generation PKG</t>
  </si>
  <si>
    <t>Water Injection Pump</t>
  </si>
  <si>
    <t>HIC Plate of CS Welded Pipe</t>
  </si>
  <si>
    <t>Water Injection Pump_Lubrication</t>
  </si>
  <si>
    <t>RTR Piping</t>
  </si>
  <si>
    <t>Vessel I_Dish Head</t>
  </si>
  <si>
    <t>Centrifugal Compressor</t>
  </si>
  <si>
    <t>WIP(OWSF)</t>
  </si>
  <si>
    <t>Vessel I</t>
  </si>
  <si>
    <t>OWSF(WIP)_Pump</t>
  </si>
  <si>
    <t>LV SWGR/MCC, Cablebus (M97-101-SG-001)</t>
  </si>
  <si>
    <t>LPPT_M95-D-0200</t>
  </si>
  <si>
    <t xml:space="preserve">Oily Water Treatment Package 
_API Three Way Flow Splitter and vessel
M97-D-0112 A/B
M97-D-0116 A/B
</t>
  </si>
  <si>
    <t>Control and Protective Panel</t>
  </si>
  <si>
    <t>Power System Automation</t>
  </si>
  <si>
    <t>OWSF(WIP)_CENTRIFUGAL PUMP(Assembly)
M97-G-0004B(FILTER BACKWASH PUMP)</t>
  </si>
  <si>
    <t>OWSF(WIP)_Sludge Silo</t>
  </si>
  <si>
    <t>LV SWGR/MCC, Cablebus
 (M97-107-MCC-006)</t>
  </si>
  <si>
    <t>Power Distribution Board (Non. Exp.)</t>
  </si>
  <si>
    <t>Ball Valve (6")</t>
  </si>
  <si>
    <t>Finned Tube for Air cooled H/E</t>
  </si>
  <si>
    <t>Hot Oil Circulation Pump Tag # M95-G-0700 A/B/C</t>
  </si>
  <si>
    <t>Pipeline Leak Detection System (PLDS)</t>
  </si>
  <si>
    <t>Analyzer System With Shelter</t>
  </si>
  <si>
    <t>Vaccum Deaeration Package</t>
  </si>
  <si>
    <t>Electrical Trim Heater</t>
  </si>
  <si>
    <t>Flare Package_FFG &amp; Propane Skid</t>
  </si>
  <si>
    <t>Rich Fuel Gas Heater(M97-E-0601 A/B) - 8 inch / 2 set</t>
  </si>
  <si>
    <t>Rich Fuel Gas Heater(M97-E-0602 A/B) - 18 inch / 2 set</t>
  </si>
  <si>
    <t>Cameron</t>
  </si>
  <si>
    <t>Voestalpine</t>
  </si>
  <si>
    <t>NOVEL ARABIA MIDDLE EAST LTD</t>
  </si>
  <si>
    <t>Hitachi Energy Ltd.</t>
  </si>
  <si>
    <t>Schweitzer Engineering Laboratories</t>
  </si>
  <si>
    <t>Flowserve Ahaus Germany</t>
  </si>
  <si>
    <t xml:space="preserve">Sulzer Pump </t>
  </si>
  <si>
    <t>Sulzer Pump KSA</t>
  </si>
  <si>
    <t>ZPEC</t>
  </si>
  <si>
    <t>Chromaolx</t>
  </si>
  <si>
    <t>SULZER SAUDI PUMP COMPANY LIMITED</t>
  </si>
  <si>
    <t>ITT</t>
  </si>
  <si>
    <t>Sinergia</t>
  </si>
  <si>
    <t>Emerson Korea</t>
  </si>
  <si>
    <t>ZAMIL PROCESS EQUIPMENT COMPANY 
(ZPEC)</t>
  </si>
  <si>
    <t>ISG</t>
  </si>
  <si>
    <t>INOXCVA</t>
  </si>
  <si>
    <t>JOHN ZINK COMPANY</t>
  </si>
  <si>
    <t>KESME</t>
  </si>
  <si>
    <t>Chromalox</t>
  </si>
  <si>
    <t>NAMEL</t>
  </si>
  <si>
    <t>TSM</t>
  </si>
  <si>
    <t>ABB Switzerland</t>
  </si>
  <si>
    <t>TPCO</t>
  </si>
  <si>
    <t>HADETEC</t>
  </si>
  <si>
    <t>TANKBOUW</t>
  </si>
  <si>
    <t>TRILLIUM PUMPS ITALY SRL</t>
  </si>
  <si>
    <t>Hyundai Steel</t>
  </si>
  <si>
    <t>Hyundai Steel (Dangjin)</t>
  </si>
  <si>
    <t>Trillium Pumps</t>
  </si>
  <si>
    <t>ENPRO</t>
  </si>
  <si>
    <t>Future Pipe Industry</t>
  </si>
  <si>
    <t>Al Zamil</t>
  </si>
  <si>
    <t>Wuhan Linmei</t>
  </si>
  <si>
    <t>GESA</t>
  </si>
  <si>
    <t>NUOVO PIGNONE</t>
  </si>
  <si>
    <t>AES Arabia</t>
  </si>
  <si>
    <t>Flowserve Worthington s.r.l</t>
  </si>
  <si>
    <t>WESCOSA</t>
  </si>
  <si>
    <t>ZAMIL PROCESS EQUIPMENT CO. LTD.</t>
  </si>
  <si>
    <t>DS21</t>
  </si>
  <si>
    <t>ABJ</t>
  </si>
  <si>
    <t>TIEPCO</t>
  </si>
  <si>
    <t>Flowserve Worthington</t>
  </si>
  <si>
    <t>Powertech</t>
  </si>
  <si>
    <t>Al Fanar Electrical Systems</t>
  </si>
  <si>
    <t>Petrol Valves SPA</t>
  </si>
  <si>
    <t>HPS</t>
  </si>
  <si>
    <t>Aircofin</t>
  </si>
  <si>
    <t>Sulzer Pump UK</t>
  </si>
  <si>
    <t>Veolia Water solutions</t>
  </si>
  <si>
    <t>During M95-E-0205A (after PWHT) tube side hydrostatic test it is observed that channel insulation ring ISR#01
cleats are cut from near the ring and the cleats falling at orientation 87.5°, 110°, 177.5°, 200°, 267.5°, 290°,
312.5° are deformed. Reason for cutting and deforming cleats are found to be bolt tightening access
requirement for hydrostatic test preparation.
Same deformation of cleats are observed on M95-E-0205B channel insulation ring ISR#01 which has been
utilized for M95-E-0205A/B spare bundle tube side hydrostatic test.</t>
  </si>
  <si>
    <t xml:space="preserve">8" SCH 80 SMLS, 1/2"[12.7mm] WALL Tee was seen with manufacturer’s identification markings/Material B/SB564 as seen.
The stamping of material type and grade did not match that seen on the supporting MTC reflecting B/SB366.
The required material is B/SB366 not B/SB564. 
</t>
  </si>
  <si>
    <t xml:space="preserve">The followed flanges are need to be re-stamped because it is not matched with the required material. 
 8" 600# RFWN, SCH 80 BORE : 6 pcs
 2" 600# RFLWN : 4 pcs
 8" 600# BLIND RF : 2 pcs 
6” 2500# RTJ HB LWN : 4 pcs 
2” 2500# RTJ RFLWN : 2 pcs 
The required marking: N08810 
The actual marking: N08800 or N08811 </t>
  </si>
  <si>
    <t>During the final inspection of the Hot Oil Circulation Pump assembly (Tag # M95-G-0700 A/B/C), auxiliary
piping (plan 23), temperature indicators (TI/TW), and associated piping, gaskets, and fasteners were found
unsecured and not installed.</t>
  </si>
  <si>
    <t>During the final inspection of the pump assembly Hot Oil Circulation Pump Tag # M95-G-0700 A/B/C, a
discrepancy was identified with the coating system applied to the casing washers.
As per MR # MIP6-MR-MR-005 Rev C, Para 1.27.4, Coating system (M95-A-HE-100001) and specification
SAES-H-001, and Coating system Map # M95-A-HE-100001 Rev A1, para 6.4 Fasteners (For pressure
retaining equipment/piping, excluding structural fasteners), all fasteners, including casing washers, should be
coated with ceramic fluoropolymer as per 09-SAMSS-107.
However, during the inspection, it was found that the casing washers in the actual pump assembly were not
PTFE coated.</t>
  </si>
  <si>
    <t>As per Painting Procedure for Diesel Fire Water Pump(VD-MR012-015 Rev.1) and Coating Map M95-A-CE-021000, APCS 1A-External and APCS-2A Internalshall be applied for Diesel Day Tank
But Int / Ext Paint applied in reverse</t>
  </si>
  <si>
    <t>Final inspection including pneumatic test for all flanged joints shall be performed at the skid-mounted unit manufacturer’s facility to ensure that the unit meets requirements as described in the project specifications. However, the following activity couldn’t be completed during the final inspection due to the below:
1. The final visual inspection &amp; Pneumatic test had been done partially because some valves (4pcs for each skid / Total 8 pcs) need to be delivered as loose supplied items due to the delay in production and shall be installed at site. (Missing Valve list) -. HV-040(8”/2ea), HV-057(1”/2ea), HV-061(1”/2ea), HV-063(2”/2ea)
2. Further FAT punch closing carried out on 24th May 2024 and noted partial punches were closed and remaining punches were noted in open condition. -. Open Punch items : No.7, 8, 17, 20, 27, 35, 37, 38, 40, and 41 In this regards, both ARAMCO and HDEC requested to deliver the skids to site urgently considering site construction schedule. The remaining punches shall be closed at site. Also, Vendor confirmed that there is no affect the functionality and warranty of overall package.</t>
  </si>
  <si>
    <t>During the FAT inspection of PLDS Server cabinet at Emerson Saudi Arabia Company, some FAT punch points were not rectified and closed. As per section 9.8 of SAEP-1151 requirement, contractor shall not release material with punch list items unless approval is obtained from company representative.</t>
  </si>
  <si>
    <t>During M95-E-0202A&amp;B (after PWHT) shell side hydrostatic test in stacked condition the glue marks near the gasket area were observed and the glue was used on the gasket on tag no M95-E-0202B. As per 32-SAMSS-007 para 10.2.17 the use of shellacs, glues, lead etc on gaskets during testing is prohobitted.</t>
  </si>
  <si>
    <t>It was observed that there are couple of linear indications on the pipe surface. (18” Pipe for Chamber)
Update: During evaluation, total four linear indications were identified as critical by the inspectors.</t>
  </si>
  <si>
    <t>It was observed that ‘Fly cut’ for both tube element and rod on wrong side (wet side) for 8” flanges.</t>
  </si>
  <si>
    <t>Specimens of plate 184477 produced from heat no° 721340 didn´t pass succesfully HIC test.
Mesured CTR mean value = 5,86% ≥  max. CTR allowed 3%</t>
  </si>
  <si>
    <t>One plate width is not suitable to ordered plate width.
It was found during mill's internal monitoring.</t>
  </si>
  <si>
    <t>Specimens of plate 187759 produced from heat no° 916271 didn´t pass succesfully HIC test.
Mesured CLR mean value = 11,67% ≥  max. CLR allowed 10%</t>
  </si>
  <si>
    <t>Specimens of plate 195575 produced from heat no° 722639 does not meet requirements max. HIC figures.
Mesured CT value exceed max. CTR allowed (3%)</t>
  </si>
  <si>
    <t xml:space="preserve">Applicable 01-SAMMS-016 (Jan 2018) requires following:
Stepwise cracking in which the calculated average CLR of any of the specimen exceed 10%, and/or CTR of any of the specimens exceeds 3%, is not acceptable.
The plate that failed the test, rejected. </t>
  </si>
  <si>
    <t xml:space="preserve">Applicable 01-SAMMS-016 (Jan 2018) requires following:
Stepwise cracking in which the calculated average CLR exceed 10% average from 3 specimens, and/or CTR exceeds 3% average from 3 specimens, is not acceptable. The plate that failed the test, rejected. </t>
  </si>
  <si>
    <t>The power frequency withstand voltage test of circuit breaker phase 1HC300153594 in close position at 460Kv (ITP step C1-9) was failed immediately after reaching 460kV. Hitachi-ABB to investigate, propose a corrective action and notify for a new test after correction.</t>
  </si>
  <si>
    <t>During Visual Inspection of normalized pipes furnished to Ident. Code I164201658 on 02~03-Sep-2020, TPI Inspector found Heat 609124 and Hdea 609125 pipes had different-depth dents in the body. As ASTM A106 doesn't specify definite acceptance criteria on dents, TPI inspector cited API5L relevant requirements as the acceptance limits.
After measuring the flat-bottom dent depth, TPI inspector confirmed that two Heat 609124 pipes and two Heat 609125 pipes had severe dents exceeding 6.4mm. The four defective pipes were already rejected. Even so, it is not permitted that each pipe body had acceptable-depth dents.</t>
  </si>
  <si>
    <t>Receiving inspection below nonconformities on BOM Item # 222 (Nozzle N9A/B) Nozzle Pipe 10" Sch 80 SA 106 Gr.B Pipe (MTC#590004595-10 Rev.1)</t>
  </si>
  <si>
    <t>Receiving inspection observed below nozzles lengths discrepancy from approved drawing VD-MS020-004 Rev.0</t>
  </si>
  <si>
    <t>The 2" Nozzle welds on the pre-filter were performed using SMAW. This is not as per the approved WPS/PQR. It should be welded with GTAW at this is the only option as per weld map.</t>
  </si>
  <si>
    <t xml:space="preserve">An Heavy Leakage around the Mechanical Seal Area of Drive End was detected during Performace Test close to the 
completion. Trillum decide to stop the pump in order to investigate the matter and avoiding damages on internal parts. 
Trillium together with John Crane (seal supplier) will investigate about the causes of the failure, and inform accordingly. 
Some pictures separately attached. </t>
  </si>
  <si>
    <t>Reference Document : 01-SAMSS-043, 175-010210, NACE TM0284, VD-PI002-012-2 (ITP) and VD-PI002-013-2 (HIC Test Procedure)
 During the test evaluation of HIC testing specimens (Heat No. R84401, R84406, and R84409) in HYUNDAI Steel Dang-Jin Facility on 13th April 2021 under witness by COMPANY and Contractor inspectors.
 Contractor found that several test specimens which from Heat No. R84401 and R84406 have out of acceptance criteria (CLR 10%, CTR 3%) as attachment #1, below table shows an information summarized of test result of failed specimens.
Result : Heat No. R84401 &amp; R84406 are rejected, Vendor shall investigate what is reasone of the failure and submit the detail RCA (Root Cause Analysis) report by 23rd April 2020.</t>
  </si>
  <si>
    <t>Air Fin Tubes supplied by Tube Fin Limited (TFL) FAZELEY, Tamworth having size 25mm Dia x 1.65mm thickness against ENPRO PO No. MKL 1-20-03209 pertaining to ENPRO WO 191218-A to E.
During weld, visual inspection it is observed that there is no any material tracebility on Fin Tubes supplied as above.
These Fin Tubes had been used to fabricate the Air Fin Coolers.
Beaing as a requirement of material tracability on  pressure part with respect to UG 10 (ASME Sect VIII Div1),
Manufacturer (ENPRO) fail to meet this requirement, hence all coolers pertaining to this IL107000186641 not accepable.
ENPRO to respond with in 48 Hrs.with respect to MOM Cl. No. 9.5 of PIM.</t>
  </si>
  <si>
    <t>FPI manufactured RTR Pipes and Fittings with different ASTM codes application compared to BM description.
During Final Inspection, it is observed that below items were applied different ASTM codes</t>
  </si>
  <si>
    <t>For Head No.Y210520-1 (Tag No.M96-D-0319 / Q’ty :1EA / SA516-70 HIC), non-conformance was found as
following (Attachment#1–GAD):
1. Out of Tolerance for dinmension of Height
- Required height : 583.4± per approved drawing LMWM-2020-2396-08/Rev.2.
- Actual height : 592mm
2. Out of Tolerance for Plate thickness
- Required minimum thickness is 9mm per approved drawing ZHI-ENG-SKT-2396-08_01/Rev.0
- Measured thickness at the location of the knuckle area : min. 8.61</t>
  </si>
  <si>
    <t>[Issue #1]
The first issue has been found during machining on DGS housing. As per below snapshot the circular shape red highlighted, has been executed out of center around 2 mm and ENG disposition is: repair by weld and machining to restore as per drawing.
[Issue #2]
In the same casing we found an additional issue, tracked in our system with M2136025: 4 threaded holes have been machined out of center</t>
  </si>
  <si>
    <t xml:space="preserve">During the Final Inspection / Visual and Dimensional check(ITP step P_0036779 / 01 to 03), it was found that 
double language English was not applied to WARNING LABEL on junction box inside, only English language applied. </t>
  </si>
  <si>
    <t>During the receiving inspection - 24 inch pneumatic actuated valve tag # M97-AOV-0448 found hydraulic oil leaked</t>
  </si>
  <si>
    <t>Violation of approved WPS was found that welding 
was performing without preheating on Vessel 
(Tag No.M96-D-0319 / Nozzle “N2”).</t>
  </si>
  <si>
    <t>During shop surveillance inspection, surface deformation (refer to below photos) observed on the roller holding long seam welds (LS # 1B, 7B, 17B &amp; 23B) and its opposite roller side also for the equipment tag # M95-D-0210.</t>
  </si>
  <si>
    <t>Flowserve Worthignton machined two unnecessary holes on drive end and non-drive end sides of casings of items, M97-G-0002B and M97-G-0002C. Holes diameter is ½” NPT for all 4 holes. 
Meanwhile, the holes are not drilled on Tag. M97-G-0002A and M97-G-0002D.</t>
  </si>
  <si>
    <t>04 Ea. PT disconnect switches are missing in 480V, 3200A, 3PH, 60HZ, 85kA―C Low Voltage Switchgear
(tag# M97-101-SG-001) This issue was highlighted in the punch list issued at the time of FAT. As per vendor, 
the missing material will be fixed at site. Due to urgency of the delivery, the SWGR tag# M97-101-SG-001 is 
agreed to be shipped without 04 Ea disconnect switches. This NCR is issued on the advice of Saudi Aramco 
in order to follow up hte closure of the comment in the attached punch list with regard to the 04Ea missing disconnect swiches. The NCR will be closed by HDEC once the 04Ea missing disconnect swiches will be fixed at site by WESCOSA.</t>
  </si>
  <si>
    <t>The blasting and painting activities of internal surface (primer) was completed on 28th June 2022. The concecutive coating for successive coating (intermediate layer) was not performed within prescribed duration.
It is not fulfilling the maximum over coating period requirement of data sheet of Paint Hempadur 85671 &amp; SAES-H-101V.</t>
  </si>
  <si>
    <t xml:space="preserve">During the review of MTC, it was found that 
1)    For free issued material plates, as per 32-SAMSS-004 – Paragraph 12.1.12 required tensile testing is at ½ t location, in provided MTC’s tests are performed at ¼ t Location. MTC’S attached.
2)    For free issued material plates (provided MTC’s specified only 2 cycles) as per 32-SAMSS-004- 12.1.9 (Two PWHT cycles to account for future repairs and/or alterations.) MTC’S attached.
</t>
  </si>
  <si>
    <t>Metrosils, Series, Shunt (Variable, Stabilizing, Non Linear) Resistors are not installed on all High Impedance
Protection Panels. As per response received, the contractor HDEC will finalize the relay setting calculation
and it will be shared with Vendor for procuremment of Metrosils, Series, Shunt (Variable, Stabilizing, Non
Linear) Resistors. Due to urgency of the delivery of the material; the relay &amp; protection panel (with tags as
mentione below) will be dispatched without these metrosils and resistors, and it was agreed among HDEC &amp;
Hitachi that it will be fixed at site. The same information was shared with Saudi Aramco and their concurrence
was obtained. This NCR is issued on the advice of Saudi Aramco in order to follow up the installation of
missing metrosils &amp; resistors in panels at site. The NCR will be closed by HDEC once the missing metrosils &amp;
resistors will be fixed in all panels (with tags as metioned below) at site.
Panels Affected: M97-101-PRP-011/ 012/ 013/ 014/ 015/ 016/ 017/ 018/ 019/ 020/ 021/ 022/ 023/ 024/ 025/
026/ 027/ 028/ 029/ 030/ 032 (total 21 Each)
Requirements/</t>
  </si>
  <si>
    <t>The 94 Trip Relay provided in the relay &amp; protection panels is not furnished with two spare NC contacts as required by clause 13.3.3 of 16-SAMSS-514. Since no waiver was obtained by vendor Hitachi from CSD, therefore vendor shall provide these two spare NC contacts for each 94 Trip relay.  Due to urgency of the delivery of the material; the relay &amp; protection panel be dispatched without these two spare NC contacts. As confirmed by HDEC– this matter will be addressed and closed at site under contractor responsibility and HDEC will ensure full compliance to clause 13.3.3 of 16-SAMSS-514 for each panel having 94 Trip relay. The same information was shared with Saudi Aramco and their concurrence was obtained.  This NCR is issued on the advice of Saudi Aramco in order to follow up the closure of this comment at site. The NCR will be closed by HDEC once compliance to clause 13.3.3 of 16-SAMSS-514 is ensured i.e. two spare NC contacts are added for each 94 Trip Relay.
Panels Affected: All panels with 94 Trip Relay Installed</t>
  </si>
  <si>
    <t>During the Final inspection of PSA panels at Sub-vendor, some punch p oints were not rectified by main
vendor and sub-vendor. As per section 9.8 of SAEP-1151 requirement, contractor shall not release material
with punch list items unless approval is obtained from company representative. Hence it was agreed with
company representative to issue INCR for outstanding points along with conditional release. The punch list is
attached along with this INCR. The affected panels are:
M97-101-PSA-001
M97-107-PSA-001</t>
  </si>
  <si>
    <t>Spool damage were found during the receving inspection at Flowserve KSA.
1) Material / Size : Suple Duplex / Pipe / 1/2” Sch 80
2) Damaged spool parts(Attachement#1 : Marked DWG for the damaged 2 spools)
3) Service : Mechanical Seal Flushing Plan 32</t>
  </si>
  <si>
    <t>Fabrication Error noted during Final Inspection of Sludge silo Tank No: M97-D-0011B. 
Dimensional error noted in welded support No: PSL10. 
As per drawing (VD-MR024-086-02 rev.2), the support should be placed at 41 Deg. when measuring from 270 Deg. towards 0 Deg., But the fabricator has placed the support at 49 Deg. 
he dimensions noted as 1544 MM but in actual achieved length as 1944 MM. So now, the vendor need to cut
the support and shift to 400 MM (Relocation of support) to match with the top platform assembly</t>
  </si>
  <si>
    <t xml:space="preserve">During the FAT of 480V LV controlgear tag #97-107-MCC-006, a concern was raised that in switchin assembly (feeder#) 18M -the frame rating (AF) and trip rating (AT) of the breaker installed is not matching with the approved SLD. WESCOSA later informed that the rating of the breaker shall be updated in the SLD and correct rating of the breaker to be installed shall be 600AF / 300AT. 
However, due to unavailability of the trip unit rated for 300AT, WESCOSA has installed 500AT trip unit. As per WESCOSA the correct trip unit (i.e. 300AT) will be available by mid of December 2022. Due to urgency of the delivery, the MCC tag# M97-107-MCC-006 is agreed to be shipped with 600AF/500AT breaker in feeder 18M with a condition that WESCOSA will replace the trip unit at site and after replacement breaker testing will be performed. This has been agreedbetween Saudi Aramco, HDEC &amp; WESCOSA. This NCR is issued in order to follow up the closure of this comment (#29) in the attached punch list # EL008-WES-PL-003 Rev.01 updated 30 October 2022. The NCR will be closed bu HDEC once the trip unit is replaced and breaker is satisfactorily tested as site. </t>
  </si>
  <si>
    <t xml:space="preserve">02 Ea. 100A CBs are missing in LV Panel Board (tag# M97-107-PP-011). Additionally, 36 Ea. fuses are missing in space heater panel (tag# M97-107-CP-031). These issues/items were highlighted in the punch list issued at the time of FAT. As per vendor, the missing material will be fixed at site. Due to urgency of the delivery, the panel board tag# M97-107-PP-011 and space heater panel tag# M97-107-CP-031 are agreed to be shipped without 02 EA. CBs in panel board and 36 Ea. fuses in space heater panel. This has been agreed between vendor, contractor &amp; Saudi Aamco. This NCR is issued on the advice of Saudi Aramco (SAIR) in order to follow up the closure of the comment in the attached punch list with regard to the missing CBs and fuses. The NCR will be closed by HDEC once the missing material will be fixed at site by Al Fanar.   </t>
  </si>
  <si>
    <t>During visual inspection of the painting the following imperfections were discovered on the majority of the valves as per below photographs. Furthermmore, it was established that the applicable coating systems were not applied in accordance with the requirements. APCS-1A and APCS-1D were combined / mixed up</t>
  </si>
  <si>
    <t xml:space="preserve">1.Manufacturer standard of Paiting for Gear box shall be clarified
2.Extention pieces are electro plated. Painting system Shall be clarified
3.Extention pieces are welded at the inside continuous welding is missing4.Extention pieces are not assembled
</t>
  </si>
  <si>
    <t>For the Valve procured by Petrol valves, The valves body made of Carbon Steel and have an APCS 1D paint cycle. However Valve components (Trunnion and Caps) made of Inconel material are painted.</t>
  </si>
  <si>
    <t>It was found that 11 pieces of un-finned end on one side in “Box number 10” were found to be out of tolerance.(Measured between 27 ~ 39mm).
Another inspected “Box number 5”, All measured within Tolerance.
DWG : 36mm (+3 / -0mm)
Actual : 27 ~ 39mm</t>
  </si>
  <si>
    <t>For UK-IN-052 Rev.2 &amp; UK-IN-053 Rev.1, inspection was proceed with only Vendor</t>
  </si>
  <si>
    <t>1. As per 34-SAMSS-831 section 11, An identification tag or nameplate of 316 stainless steel shall be attached securely to the equipment with SS or Monel fasteners. The tag shall be marked with raised alpha-numeric or die stamped with the proper information, The tag or nameplate shall be located so that the information can be read after installation of the equipment or components. But it was found that Saudi Aramco PO number not mentioned in the skid name plate.
2. LCS internal wiring shall be tagged as required by SAES-J-902, section16.1.1. All wiring shall be tagged at each end. Each wire tag shall have two labels. The first label (closest to the end of the wire) shall identify the terminal number to which the wire is physically connected. The other label shall be the terminal number of the connection of the opposite end of the wire.</t>
  </si>
  <si>
    <t>1) The Installation of Sampling Conditioning system is not done along with its tubing work in M95-AH-002 Analyzer shelter and this is the fufilling ITP :VD-IN002-027 Sec:2.2.4 &amp; 2.2.5.</t>
  </si>
  <si>
    <t>he scale provided on the level gauge is showing measurement units in "mm" which is SI unit. As per 34-SAMSS-831 requirements, all measurement shall be done in English Units (which is inches or feets for level).</t>
  </si>
  <si>
    <t>It was observed that the TEE (TEE,BW,8"SCH80,SMLS,INC800H, 2PCS) which fabricated by IPP was identified as lnconel
800 I 330 stainless steel when evaluated via X-ray fluorescence (XRF) spectroscopy. In this case, the XRF identified the
presence of silicon in the semi-quantitative results. When a ground portion of the TEE was evaluated via XRF, it identified the
material as 'lnconel 800' / 330 stainless steel.
TEE was observed to be in blasted condition upon inspection visit. The OD, ID, and Weld Prep areas are the affected areas
noted to be blasted. Blast media was confirmed by IPP as it is Aluminum oxide with noted blast media residue on the ID of
TEE in current condition. Weld prep areas noted to be blasted was found with rust contamination on and near weld prep
areas</t>
  </si>
  <si>
    <t xml:space="preserve">1.  Chamber (PIPE, 8"SCH40, 304H, SMLS): During machining process the inco『rect tool was used. This resulted in an additional feature around the OD of the intended hole.
2.  Flange (FLANGE:8"-300# 304H RFWN): The flange serration face has been damaged with defect protruding into ID bore concern for leak pattern 
3.  Cap (8" SCH 40, SA403 304H): The requirement material is SCH 40 as per the DWG, but the actual material is SCH BOS. 
4.  Tee (8" x 8" x 6", RDC, SA403, WPS3): Noted for out of tolerance ovality on 8" side and high step in ID. </t>
  </si>
  <si>
    <t>During Factory Acceptance Test, below punch lists are issued and rectification after site delivery.
1) It is observed that the height of the LCP is more than 2 meters, so, the LCP manually operable button
cannot be accessed. It is against 16-SAMSS-512 clause 15.1 and SAES-B-054 requirements.
2) LCP Tag for 0270 is wrong on LCP. (M96-LCP-F-0270). The letter “F” is missing.
3) PCV fasteners were found non-fluoropolymer coated. (Non-fluoropolymer is acceptable. But SS316 bolts
are required instead of SS304 bolts.)
4) Temperature rating of some internal parts of LCP are not meet the requirement</t>
  </si>
  <si>
    <t>During the final inspection prior to bundle insertion and shipment, flange surface damage was observed on the Grayloc flange gasket/sealing surface of heater assemblies M97-E-0602A/B.</t>
  </si>
  <si>
    <t>2024-06-31</t>
  </si>
  <si>
    <t>2021-08-31
2021-10-26
2021-11-12</t>
  </si>
  <si>
    <t>기타.</t>
  </si>
  <si>
    <t>건축</t>
  </si>
  <si>
    <t>설계</t>
  </si>
  <si>
    <t>미승인 자재 사용</t>
  </si>
  <si>
    <t>설계, 도면의 부정확</t>
  </si>
  <si>
    <t>도면, 기술시방서와 규격, 표준요건의 상이</t>
  </si>
  <si>
    <t>기술검토 미비, 기술시방서의 부정확</t>
  </si>
  <si>
    <t>환경</t>
  </si>
  <si>
    <t>소화설비공사</t>
  </si>
  <si>
    <t>CI</t>
    <phoneticPr fontId="4" type="noConversion"/>
  </si>
  <si>
    <t>CI</t>
  </si>
  <si>
    <t>RM</t>
  </si>
  <si>
    <t>Etc.</t>
  </si>
  <si>
    <t>SC</t>
  </si>
  <si>
    <t>EL201</t>
  </si>
  <si>
    <t>IN001</t>
  </si>
  <si>
    <t>SE001</t>
  </si>
  <si>
    <t>IN002-2</t>
  </si>
  <si>
    <t>SC001</t>
  </si>
  <si>
    <t>SC002</t>
  </si>
  <si>
    <t>N/A</t>
  </si>
  <si>
    <t>RM001</t>
  </si>
  <si>
    <t>NCR-OOK-EL201-001</t>
  </si>
  <si>
    <t>NCR-OOK-MS003-001</t>
  </si>
  <si>
    <t>NCR-OOK-MS018-002</t>
  </si>
  <si>
    <t>oms</t>
  </si>
  <si>
    <t>NCR-OOK-EL203-001</t>
  </si>
  <si>
    <t>NCR-OOK-MS010-002</t>
  </si>
  <si>
    <t>NCR-OOK-MS007-011</t>
  </si>
  <si>
    <t>NCR-OOK-MS018-003</t>
  </si>
  <si>
    <t>NCR-OOK-EL005-001</t>
  </si>
  <si>
    <t>NCR-OOK-EL006-001</t>
  </si>
  <si>
    <t>NCR-OOK-EL203-002</t>
  </si>
  <si>
    <t>NCR-OOK-IN001-001</t>
  </si>
  <si>
    <t>NCR-OOK-MS001-007</t>
  </si>
  <si>
    <t>NCR-OOK-EL006-002</t>
  </si>
  <si>
    <t>NCR-OOK-MS005-001</t>
  </si>
  <si>
    <t>NCR-OOK-EL005-002</t>
  </si>
  <si>
    <t>NCR-OOK-EL007-001</t>
  </si>
  <si>
    <t>NCR-OOK-EL005-003</t>
  </si>
  <si>
    <t>NCR-OOK-MS017-001</t>
  </si>
  <si>
    <t>NCR-OOK-RM011-001</t>
  </si>
  <si>
    <t>NCR-OOK-RM011-002</t>
  </si>
  <si>
    <t>NCR-OOK-SE001-001</t>
  </si>
  <si>
    <t>NCR-OOK-RM011-003</t>
  </si>
  <si>
    <t>NCR-OOK-MS010-003</t>
  </si>
  <si>
    <t>NCR-OOK-MS015-002</t>
  </si>
  <si>
    <t>NCR-OOK-IN002-2-001</t>
  </si>
  <si>
    <t>NCR-OOK-MS015-004</t>
  </si>
  <si>
    <t>NCR-OOK-IN012-001</t>
  </si>
  <si>
    <t>NCR-OOK-MS015-005</t>
  </si>
  <si>
    <t>NCR-OOK-SC001-001</t>
  </si>
  <si>
    <t>NCR-OOK-SC001-002</t>
  </si>
  <si>
    <t>NCR-OOK-SC001-003</t>
  </si>
  <si>
    <t>NCR-OOK-SC002-001</t>
  </si>
  <si>
    <t>NCR-OOK-GE-002</t>
  </si>
  <si>
    <t>NCR-OOK-PI016-001</t>
  </si>
  <si>
    <t>NCR-OOK-RM001-001</t>
  </si>
  <si>
    <t>NCR-OOK-EL004-001</t>
  </si>
  <si>
    <t>NCR-OOK-PI011-001</t>
  </si>
  <si>
    <t>NCR-OOK-MS007-001</t>
  </si>
  <si>
    <t>NCR-OOK-MS007-002</t>
  </si>
  <si>
    <t>NCR-OOK-RM002-001</t>
  </si>
  <si>
    <t>NCR-OOK-MS007-003</t>
  </si>
  <si>
    <t>NCR-OOK-MS007-004</t>
  </si>
  <si>
    <t>NCR-OOK-MS001-003</t>
  </si>
  <si>
    <t>NCR-OOK-MS007-005</t>
  </si>
  <si>
    <t>NCR-OOK-MS001-004</t>
  </si>
  <si>
    <t>NCR-OOK-MS007-006</t>
  </si>
  <si>
    <t>NCR-OOK-MS001-005</t>
  </si>
  <si>
    <t>NCR-OOK-MS007-007</t>
  </si>
  <si>
    <t>NCR-OOK-MS007-008</t>
  </si>
  <si>
    <t>NCR-OOK-PI003-001</t>
  </si>
  <si>
    <t>NCR-OOK-MS007-009</t>
  </si>
  <si>
    <t>NCR-OOK-MS001-006</t>
  </si>
  <si>
    <t>NCR-OOK-MS010-001</t>
  </si>
  <si>
    <t>NCR-OOK-MS007-010</t>
  </si>
  <si>
    <t>NCR-OOK-MS012-001</t>
  </si>
  <si>
    <t>NCR-OOK-MS006-002</t>
  </si>
  <si>
    <t>NCR-OOK-RM014-001</t>
  </si>
  <si>
    <t>NCR-OOK-MS009-001</t>
  </si>
  <si>
    <t>NCR-OOK-MS009-002</t>
  </si>
  <si>
    <t>NCR-OOK-MS010-004</t>
  </si>
  <si>
    <t>NCR-OOK-MS015-003</t>
  </si>
  <si>
    <t>NCR-OOK-IN002-2-002</t>
  </si>
  <si>
    <t>NCR-OOK-PI064-001</t>
  </si>
  <si>
    <t>International Building System Factory</t>
  </si>
  <si>
    <t>HDPE Fittings</t>
  </si>
  <si>
    <t>National Marketing EST.CO.LTD</t>
  </si>
  <si>
    <t>Plastitalia SPA</t>
  </si>
  <si>
    <t>Air Dryer Package</t>
  </si>
  <si>
    <t>KAESER Kompressoren GMBH</t>
  </si>
  <si>
    <t>Schwartz-Hautmont</t>
  </si>
  <si>
    <t>230kV GIS Assembly
(Interconnection Elements)</t>
  </si>
  <si>
    <t>HITACHI (ABB)</t>
  </si>
  <si>
    <t>90° LR ELBOW 2, 1/2” STD ASME SA403 WP316 (QTY : 4 EA)</t>
  </si>
  <si>
    <t>Al-Zamil Company For Heavy Steel</t>
  </si>
  <si>
    <t>Piping Spools</t>
  </si>
  <si>
    <t xml:space="preserve">AL Zamil Heavy Industries limited </t>
  </si>
  <si>
    <t>Skid A/ B/ C
T76-U-0702A/B/C</t>
  </si>
  <si>
    <t>Zhejiang Jiuli HI-TECH Metals</t>
  </si>
  <si>
    <t>Zeeco Middle East Limited</t>
  </si>
  <si>
    <t>Kaeser Kompressoren GMBH</t>
  </si>
  <si>
    <t>Emerson Automation Solutions</t>
  </si>
  <si>
    <t>Drinking Water Return Mixer
(T76-K-0401)</t>
  </si>
  <si>
    <t>Samwon Engineering Co., Ltd.</t>
  </si>
  <si>
    <t>Walnut Shell Filtration Package
(T78-U-0903)</t>
  </si>
  <si>
    <t>AES Arabia LIMITED</t>
  </si>
  <si>
    <t>Krohne Altometer</t>
  </si>
  <si>
    <t>Water Pumps (Bare Pump) for Flare Gas Recovery Package</t>
  </si>
  <si>
    <t>Goulds Pumps Co. Ltd</t>
  </si>
  <si>
    <t>Wahah Electric Supply Company
(WESCOSA)</t>
  </si>
  <si>
    <t>Veolia Water Solutions</t>
  </si>
  <si>
    <t>T76-U-0504 SKID - A,B,C,D
(4 SKIDs)</t>
  </si>
  <si>
    <t>Schweitzer Engineering Laboratories, Saudi Ltd.</t>
  </si>
  <si>
    <t>Rawabi Electirc</t>
  </si>
  <si>
    <t>DC System</t>
  </si>
  <si>
    <t>AEG Power Solutions GmbH</t>
  </si>
  <si>
    <t xml:space="preserve">DCS MARSHALLING &amp; FF MARSHALLING cabinets </t>
  </si>
  <si>
    <t>Yokogawa Saudi Arabia (YKSA)</t>
  </si>
  <si>
    <t>Direct Contact After Cooler</t>
  </si>
  <si>
    <t>Air Product and Chemicals Inc</t>
  </si>
  <si>
    <t>Munters</t>
  </si>
  <si>
    <t>DC / AC UPS System</t>
  </si>
  <si>
    <t>DEMINERALIZED WATER TANK</t>
  </si>
  <si>
    <t>Amiantit Fiberglass Industries</t>
  </si>
  <si>
    <t>Emergency Diesel Generator</t>
  </si>
  <si>
    <t>Saudi Disel Equipment Company</t>
  </si>
  <si>
    <t>Disposal Vaporizer</t>
  </si>
  <si>
    <t>Al-Zamil Heavy Industries Ltd.</t>
  </si>
  <si>
    <t>Non-Standard forging of Pressure Vessel for Flare &amp; Burn Pit Package</t>
  </si>
  <si>
    <t>Maritime Industrial Services
(MISA)</t>
  </si>
  <si>
    <t>TSA ReactivationH eater
(T76-E-0801/0901)</t>
  </si>
  <si>
    <t>Chromalox, Inc.</t>
  </si>
  <si>
    <t>Odor Abatement Package</t>
  </si>
  <si>
    <t>Chemical Injection Package</t>
  </si>
  <si>
    <t>Deluge Valve Skid for Fire and Safety Equipment</t>
  </si>
  <si>
    <t>REDA TRADING AND DEVELOPMENT CO. FO</t>
  </si>
  <si>
    <t>12” Ball Valve (SN 2201300010001 / TAG No. T74-47-ZV-0244)</t>
  </si>
  <si>
    <t>LCM ITALIA SPA</t>
  </si>
  <si>
    <t>T78-D-0821A</t>
  </si>
  <si>
    <t>TSA Reactivation Heater</t>
  </si>
  <si>
    <t>EIV valve (Tag No. T74-47-ZV-0250)</t>
  </si>
  <si>
    <t>Valmet Flow Control Industrial LLC</t>
  </si>
  <si>
    <t>Analyzer System for ASU (+MPS Shelter)</t>
  </si>
  <si>
    <t xml:space="preserve">Yokogawa Saudi Arabia Company </t>
  </si>
  <si>
    <t>Analyzer System for ASU
(T76-AH-0006)</t>
  </si>
  <si>
    <t>Yusuf Bin Ahmed Kanoo Company Limited</t>
  </si>
  <si>
    <t>Strucral Steel</t>
  </si>
  <si>
    <t>Strucral Steel II</t>
  </si>
  <si>
    <t>Astra Factory for Heavy Industries</t>
  </si>
  <si>
    <t>Transformer (230/13.8kV)</t>
  </si>
  <si>
    <t>SAUDI POWER TRANSFORMER COMPANY</t>
  </si>
  <si>
    <t>Forged Fitting</t>
  </si>
  <si>
    <t>MEGA SPA</t>
  </si>
  <si>
    <t>Dish Heads of Vessel I</t>
  </si>
  <si>
    <t>Arabian Oasis Industries LLC</t>
  </si>
  <si>
    <t>Thermowell for Air Compressor</t>
  </si>
  <si>
    <t>HANWHA POWER SYSTEMS CO LTD</t>
  </si>
  <si>
    <t>WIKA ALEXANDER WIEGAND SE AND CO KG</t>
  </si>
  <si>
    <t>Transformer &amp; NGR
(13.8/4.16kV, 13.8/0.48kV)</t>
  </si>
  <si>
    <t>Motor for Centrifugal Pump, API 610 BB</t>
  </si>
  <si>
    <t>ITT Saudi Company</t>
  </si>
  <si>
    <t>TECO MIDDLE EAST ELECTRICAL AND MFR</t>
  </si>
  <si>
    <t>Ball Valve of WSF PKG</t>
  </si>
  <si>
    <t>BAC Valves</t>
  </si>
  <si>
    <t>Air Dryer Package
(Dryer Vessels)</t>
  </si>
  <si>
    <t>LP Flare Header Drain Drum (T78-D-0802) of Vessel I (C.S)</t>
  </si>
  <si>
    <t>4” SCH. STD ASME SA333-6 (QTY : 1 EA)</t>
  </si>
  <si>
    <t>MFR : Ali N. AL Nassar and
Partners</t>
  </si>
  <si>
    <t>Filters</t>
  </si>
  <si>
    <t>Saddle Assembly &amp; Embedded plates
(T78-D-0801/0802/0805)</t>
  </si>
  <si>
    <t>Skid A/ B/ C</t>
  </si>
  <si>
    <t>PIPE (SS SMLS)</t>
  </si>
  <si>
    <t>Skid structure</t>
  </si>
  <si>
    <t>Davit arm &amp; eye bolts damage during transportation (T74-D-0802)</t>
  </si>
  <si>
    <t>Flange to End Plate welds (T76-E-00501 A/B/C/D/E/F)</t>
  </si>
  <si>
    <t>LHE Co., Ltd</t>
  </si>
  <si>
    <t>Valve Assembly Hydro Test</t>
  </si>
  <si>
    <t>L&amp;T Valves Limited</t>
  </si>
  <si>
    <t>18 Relief Valves</t>
  </si>
  <si>
    <t>Sand Filters for Sand Filter PKG</t>
  </si>
  <si>
    <t>Al-Zamil Metal Works Factory</t>
  </si>
  <si>
    <t>Cooling water Flow Transmitter</t>
  </si>
  <si>
    <t>Buckling Pin Relief Valve</t>
  </si>
  <si>
    <t>BS and B Safety systems</t>
  </si>
  <si>
    <t>Control and Protective Relay Panel</t>
  </si>
  <si>
    <t>4.16 kV MCC</t>
  </si>
  <si>
    <t>Fabrication of skid structure frame</t>
  </si>
  <si>
    <t>Power Tech. For Metal Fabrications</t>
  </si>
  <si>
    <t>T76-U-0702A/B/C (3 SKIDs)</t>
  </si>
  <si>
    <t>ASU Oxygen General Valve</t>
  </si>
  <si>
    <t>Herose Gmbh Arnaturen UND Metalle</t>
  </si>
  <si>
    <t>Air Quality Monitoring Station (AQMS)</t>
  </si>
  <si>
    <t>Control Valve (Butterfly) for ASU</t>
  </si>
  <si>
    <t xml:space="preserve">Valmet </t>
  </si>
  <si>
    <t>It was observed that there was discrepancy on length of Drinking Water Return Mixer between DWG and Actual during final inspection. Please refer to the followed value in detail. - Drawing Length: 760±3.17 - Actual Length: 766 (+2.83mm)</t>
  </si>
  <si>
    <t xml:space="preserve">WALNUT SHELL FILTER AND FACE PIPING SKID ( T78-D-0932 A / B) AND GUARD FILTER PIPING SKID, (T78-D-0931 A/B) – Checkered floor plates used in the skid assembly is not meeting the minimum mandatory requirement of the 12-SAMSS-007 para 4.13 – ASTM A 786 pattern 4 or 5, instead the checkered floor plates used were not incompliance with this requirement. </t>
  </si>
  <si>
    <t>Factory Acceptance Test (FAT) shall be performed at the skid-mounted unit manufacturer’s facility to ensure that the unit meets all functional and operational requirements as described in the project specifications. However, the following activities were not performed during FAT. 1. Instrument Tubing were not subjected to pneumatic leak tests in accordance with requirements of 34-SAMSS-831. 2. All flanged joints were not inspected by pneumatic test and soap solution. 3. Visual inspection for whole skid not completed. 4. Dimensional Inspection of Critical Points (TI-01D &amp; TP-03D) for only Skid-D not done during FAT. 5. Lock nut for all Piping U Bolts not installed. 6. Flow Transmitter to be installed at site. (T76-65-FT-0101, 0102, 0103 &amp; 0104) 7. Uninstalled AOV Tag# T76-65-AOV-0294 shall be installed and cable work to be done as per the approved drawing. 8. Skid-D- AOV-0294 &amp; PI-0211 were not installed and Main Pipe spool (SHT-022 SPL-S3) is also uninstalled during FAT. Those shall be installed at site. 9. Name Plates for the Skids not installed. 10. Pipe supports (L-4045mm x W-800mm) are dismantled from skids for transportation to site.</t>
  </si>
  <si>
    <t>1. Punch list Issued during DAT
- Total number of punches issued:146 (Inspector issued 59, PSED issued 87)
2. Punch Re-inspection conducted and resulted as follows.
- Closed 115, Open 31 (Completed but Not Verified)
&gt; 31 out of 87 punch points issued by PSED will be still open and verified for closing at site during site testing.</t>
  </si>
  <si>
    <t>14 open punch items out of 94 items issued during FAT will be implemented at site during site testing and pre-commissioning stage.</t>
  </si>
  <si>
    <t xml:space="preserve">1. Materials are delivered with conditional IRC due to seven(?) FAT punches and four(4) iFAT punches open;
2. FAT punch listed that;
#1 : Protection settings changed is not in the 10list ,need to add check #2 : IED firmware changed is not in the 10 list ,need to add check 
#3 : Sag swell detection is not in the 10 list 
#4 : Markup in the 10 list need to update </t>
  </si>
  <si>
    <t>The mis-arrangement of bolting between N3/N4 permanent internal nozzle flange and removal internal distribution nozzle plate flange due to mismatch of flange rating 
- N3/N4 permanent internal nozzle flange: #300 
- Removal internal distribution nozzle plate flange: #150 
The elevation and orientation each nozzle is as below. (Refer to Att. #1) 
- N3 Nozzle (4”): Orientation 234 deg. / Elevation 18,029mm from reference tangent line. 
- N4 Nozzle (10”): Orientation 305 deg. / Elevation 10,285mm from reference tangent line.</t>
  </si>
  <si>
    <t>1. Tewnty six (26) open punch items our of 100 items issued during FAT will be implimented at site during site testing and pre-commissioning stage.</t>
  </si>
  <si>
    <t>It’s observed some leakage on the flange connection and passing through the shell of tank (T76-D-0401B) during 24 Hrs. leak test.
 The location of leakage is on bottom of flange and near to shell.</t>
  </si>
  <si>
    <t>1. Punch list Issued during DAT
- Total number of punches issued:118 (Inspector issued 61, PSED issued 57)
2. Punch Re-inspection conducted and resulted as follows.
- Closed 46, Open 5 (by TPI)
- Closed 51, Open 5 (by PSED)
Ten (10) Open punch points will be rectified and verified for closing at site during pre-commissioning.</t>
  </si>
  <si>
    <t>One(1) open punch items out of 35 items issued during FAT will be implemented at site during site testing and pre-commissioning stage. 
-	 SM12-EL007-SDEC-PL-003 : Total 35 issued, 34 items closed, 1 items open
Refer to the attached punch list</t>
  </si>
  <si>
    <t>FAT Punch list listed that;
1. Historians are not configured. Vendor to confirm and ensure thath Historians are configured in all panels.
2. Vendor to ensure the buffer ports are configured for all the panels.
3. In the HMI, the statgus of each device to be displayed correctly. Vendor to fix.
4. Vendor to ensure SLD/Network Drawing is correct in HMI before SAT.
As per SEL's response these comments will be closed at site during SAT.</t>
  </si>
  <si>
    <t>ZHI used SA193 B8M stud bolts and SA194 8M nuts which is not coated, for girth flange connection.
- as per detail drawing No. VD-MS017-T76E08080908-004 Sheet No.002 and Coating Map CE-034351, material piece
mark E0808-212, 212A, 213 and 213A are required to use ceramic fluoropolymer coated bolts and nuts.</t>
  </si>
  <si>
    <t>Final inspection including pneumatic test for all flanged joints shall be performed at the skid-mounted unit manufacturer’s facility to ensure that the unit meets requirements as described in the project specifications. However, the following activity won’t be completed during the final inspection due to the below:
1. The final visual inspection &amp; Pneumatic test couldn’t be completed because the 3” Gate Valves (10ea) need to be delivered as loose supplied items due to the delay in production and shall be installed at site.</t>
  </si>
  <si>
    <t>During final &amp; packing inspection for T76-U-0001, we found punches as per the attachments #1, 2.
Open punches were closed at vendor shop. But, some of punches were still open during final inspection.
All open outstanding / punch lists (Mech. &amp; E&amp;I) as below to be closed at job site.
1.	Paint touch-up to be done at site by Zeeco workers.
2.	Motor &amp; Pump earthing to be done at site by HDEC.
Loose grounding cables for this Sodium Hypochlorite will be provided by Zeeco.
3.	Related VDs such as GA drawing to be revised.
4.	Missing test reports for Junction Box and Motor to be provided.</t>
  </si>
  <si>
    <t>During final &amp; packing inspection for Corrosion Inhibitor Skid of T76-U-0505, we found punch as per the attachments #1.
One punch was open during final &amp; packing inspection.
All open outstanding / punch list as below to be closed after deliver to site.
1.	The 3/4” PTFE Lined Blind Flange shall be installed on the topside of LG0032.</t>
  </si>
  <si>
    <t>During final &amp; packing inspection for deluge valve skid (T76-U-0502 #1~#7), there are some open points as per
the attachment #1. REDA will close out all the open points at site.
Open Points
#6. Air inlet (TP-3) and air outlet (TP-4) spools missing from assembly.
#8. After assembly of spools mentioned in point #6, full skid pneumatic test shall be performed to ensure the
integrity of joint tightness.
#14. As per datasheet CE-033885-001 Rev.00, Item #24, S.No #12 – There shall be placard for deluge valve
but no such placard found on skid.
#15. As per datasheet CE-033885-001 Rev.00, Item #24, S.No #14 – All letters shall be written in both English
&amp; Arabic on skid. There is no Arabic written on skid. Also to clarify which contents to be written on skid in both
English &amp; Arabic.
#16. As per datasheet CE-033885-001 Rev.00, Item #24, S.No #16 – Requirements mentioned in this point
was not found on skid. REDA to provide.
Attachment #1. Punch List
Requirements/</t>
  </si>
  <si>
    <t>During final &amp; packing inspection for Sulphuric Acid Skid of T76-U-0505, we found punches as per the attachments #1.
Four punches were open during final &amp; packing inspection.
All open outstanding / punch list as below to be closed after deliver to site.
1.	There is No enough space to assemble Stud bolt/Nut on the 1” - 45° Elbow PTFE Lined spool between two flanges.
2.	Two SPECIAL 40º ELBOWs NPS1'' 150# A536 SCH80 were not assembled to the strainer drain lines.
3.	The only PTFE(Teflon) piece (70mm) instead of PTFE lined pipe spool has been installed on the LG-0044 drain line.
4.	Upper vent valve of LG-0044 is not closed with PTFE lined blind flange.</t>
  </si>
  <si>
    <t>During draining check as part of final inspection, it was noted that drain valve (gate type) of TAG T74-47-ZV-0244, 
was found blocked and valve wheel is not working for open / close.</t>
  </si>
  <si>
    <t>During surveillance inspection, it was noticed that vendor was performed the repair work on nozzle N4 J1 of vessl no-T78-D-0821A after completion of post weld heat treatment without intimating of any inspection authority, it is the vilation of 32-SAMSS-04 clause 16.4.2 and SAES-W-10 clause 13.11</t>
  </si>
  <si>
    <t xml:space="preserve">1.5” pipe with heat number A231216 was utilized in the fabrication of nozzles 3 and 4. This pipe was sourced from a non-approved vendor and is not listed on the ARAMCO Regulated Vendor List (RVL). </t>
  </si>
  <si>
    <t>The testing for 1 EIV valve was not completed due to some issues with the Solenoid Valve.</t>
  </si>
  <si>
    <t>1.	 Seven (7) open punch items out of Eighty nine(89) issued during FAT will be implemented at site during site testing and pre-commissioning stage.
-	Refer to the attached six punchlists (SM12-IN002-YKSA-PL-001)</t>
  </si>
  <si>
    <t>During the FAT Inspection TPI noticed that for the Analyzer shelter T76-AH-0006 the 3-Phase step down transformer (480VAC/400/230VAC) is missing as per the drawing and BOM, refer the punch point #194.
As per section 9.8 of SAEP-1151 requirement, contractor shall not release material with punch list items unless approval is obtained from company representative. Hence it was agreed with the company representative to issue INCR for outstanding point along with conditional release.</t>
  </si>
  <si>
    <t>MPS shelter (housing) was shipped to project site under the following incomplete conditions;
1) Incomplete installation and integration work (like electrical cable, enclosure, instrument, duct etc.)
2) No factory inspection and testing conducted
3) No inspection release certificate issued</t>
  </si>
  <si>
    <t>During the FAT inspection TPI noticed that for the QMS Shelter T80-AH-001 at Sub-supplier, some punch points were not rectified by main supplier and sub-supplier. As agreed by all parties (PMT, EPD and Proponent), CAT b &amp; C punch points are moved to site.
As per section 9.8 of SAPE-1151 requirement, contractor shall not release material with punch list items unless approval is obtained from company. Hence it was agreed with company to issue INCR for outstanding point along with conditional release. The punch list is attached along with this INCR.</t>
  </si>
  <si>
    <t>It was found during painting inspection that the bolt holes of structural steel main members were painted. This is a violation of 12-SAMSS-007 para 6.2.7.3 related to electrical continuity for non-conductive coating.</t>
  </si>
  <si>
    <t xml:space="preserve">It was found that the HOLD member item list of Steel Structure issued by HDEC was not monitored correctly by IBSF.
 Therefore, there are two cases not follow as per HOLD item list issued:
Case 1 : Two pieces of steel structure members was wrongly delivered to site after HOLD. 
Case 2 : One piece of steel structure member wrongly on-going fabrication after HOLD.  </t>
  </si>
  <si>
    <t>During shop material inspection of Galvanizing, it was found out that below items has a low DFT of under 100microns as per minimum requirement of the procedures.</t>
  </si>
  <si>
    <t>During surveillance inspection it was observed that AHI QC failed to control the Erection Part Marking. Hard punching of 3863-J01-01 PR-79-IC2-B4-G098 &amp; 3863-J01-01 PR-79-IC2-B4-C025, is not matching with the stenciling and stickers provided. Stenciled Part Mark 3863-J01-01 PR79-IC2-B4-C027 and Part Mark on Stickers 3863-J01-01 PR-79-IC2-B4-G027 do not match with each other.
Items : 3863-J01-01 PR-79-IC2-B4-G098, 3863-J01-01 PR-79-IC2-B4-G025 and 3863-J01-01 PR-79-IC2-B4-C027</t>
  </si>
  <si>
    <t>For any CONTRACTOR/Subcontractor issued Purchase Order with a value exceeding Ten Thousand U.S. Dollars ($10,000), CONTRACTOR shall obtain COMPANY Approval prior to placing and revising the Purchase Order as per Schedule G Para. 11.2 and Schedule Q Attachment VI Para 1.3 &amp; 1.4. However, CONTRACTOR/Subcontractor has issued Purchase Order without obtaining COMPANY’s NOL for following items as well as Non-Inspectable Item which exceed Ten Thousand U.S. Dollars ($10,000)
1. SM12-AR-MR-001 Epoxy Coated Rebar
2. SM12-AR-MR-002 Precast Concrete 
3. SM12-HV-MR-002 PVC and CPVC Pipe, fittings and adhesives
Moreover, CONTRACTOR revised steel structure P.O (SC-PO-001 Rev.1) without COMPANY’s approval.</t>
  </si>
  <si>
    <t>As per 14-SAMSS-531 Sec 5.1 “All wiring shall be a minimum of 2.5 mm² (14 AWG) 600-V stranded copper”. It was found that the cables provided to RPRR devices are 16AWG un-armored cables.</t>
  </si>
  <si>
    <t>Corrosion test of below listed items in A182 F44 has been performed with test duration.
24 which is in contrasr to applicable 02-SAMSS-013, paragraph 11 which stated that duration shall be of 48h.
ITEM 209 (TAG I146333687) MEGALET Sch. 40S/10S A/SA182 F44 1x3 qty 1 ITEM 218 (TAG I149346060) MEGALET Sch. 10S/10S A/SA182 F44 3x8 qty 2</t>
  </si>
  <si>
    <t>Impact test of Dished Head (2:1 Ellipsoidal Dish Heads (Welded)  Tag No # T74-D-0701A/B/C) weld production test coupon of was performed at -45⁰C after simulation heat treatment.
Heat Treatment condition: Normalized + Stress Relieved@ 630⁰C +/-10⁰C for 140mts holding time. 
Impact test values were found not meeting the required impact value (Minimum Average - 34J and Minimum Individual –27J) at following specimen location per 32-SAMSS-004 Para. 12.3.3</t>
  </si>
  <si>
    <t xml:space="preserve">For the following thermowells the tip diameter is 0,625” instead of required 0.79”:
T76-67-TW-0104, T76-67-TZW-0105, T76-67-TW-0107, T76-67-TW-0108, T76-67-TW-0146, T76-67-TZW-0147, T76-67-TW-0149, T76-67-TW-0150, T76-67-TW-0188, T76-67-TZW-0189, T76-67-TW-0191, T76-67-TW-0192, T76-67-TW-0230, T76-67-TZW-0231, T76-67-TW-0233, T76-67-TW-0234
For the following thermowells the tip diameter is 0,625” instead of required 1.024”:
T76-67-TW-0100, T76-67-TW-0102, T76-67-TW-0101, T76-67-TW-0103, T76-67-TW-0106, T76-67-TW-0142, T76-67-TW-0144, T76-67-TW-0143, T76-67-TW-0145, T76-67-TW-0148, T76-67-TW-0184, T76-67-TW-0186, T76-67-TW-0185, T76-67-TW-0187, T76-67-TW-0190, T76-67-TW-0226, T76-67-TW-0228, T76-67-TW-0227, T76-67-TW-0229, T76-67-TW-0232
</t>
  </si>
  <si>
    <t>Temperature raise test was started at 7.00Am as per NOI and around 9.00Am suddenly the transformer Pressure relief valve pop-upped and the transformer oil splashed from the PRD for the transformer tag # T76-022-XFR(T)-316, S.No. 2021W03646.</t>
  </si>
  <si>
    <t>Plate LJ Flange / items 1, 2, 3, 5, 39 have been purchased by Plastitalia to other sub-supplier in RVL named AGRU, that is not mentioned in approved sub-vendor list.</t>
  </si>
  <si>
    <t>Hydrostatic test for T76-D-0721A/B (Dryer Vessel), T76-D-0722A/B (Pre-Filter), T76-D-0723A/B (After Filter) were performed without ‘Punch Close’ &amp; In addition without contractor having cleared all the NDE report to ensure full compliance as well as having outstanding welding activities and no prior approval thereof.</t>
  </si>
  <si>
    <t>Skid welds joint are not fully seal welded as required by 12-SAMSS-007 Para 5.2.4.4 “The edges of tightly contacting surfaces shall be completely seal welded”. Floor plates against skid beams.</t>
  </si>
  <si>
    <t>Stator Winding immersion test or Sealed Winding conformation test as per 17-SAMSS-502, sec.6.3.4.4
The Stator Insulation resistance value measured very low in water and not complying the NEMA-MG1- 2016 Part 12.62 &amp; ITP sec.0020-0020 requirements. Hence the testing activity was failed.
As per 17-SAMSS-502, sec.6.3.4.4, Vendor shall submit the report as below.
Repairs to the stator winding system required to correct a failed test shall be documented and submitted within two weeks to the Saudi Aramco representative in coordination with the Coordinator, Electrical Systems Division, and Consulting Services Department. The report shall detail the repair, the life impact of the repair, and the design changes that may be required on identical machines.</t>
  </si>
  <si>
    <t>Coating inspection as per Aramco painting system APCS 1B performed. As per Painting system DFT results shall be between 275-400 microns finding that average results were 550 microns on average – out of acceptance criteria. 
Coating inspection – 599 / 571 / 681 microns (shall be between 275-400 microns as per Specification).</t>
  </si>
  <si>
    <t>In a reference to Non-conformance of length of interconnections issue, discovered during an ongoing installation in Marjan PKG6 project, and documented vis INCR NCR-OOK-EL001-002-GIS, the length of the interconnection Element was less than the length required for the end-to-end connection between the ES/DS. After an internal investigation, the same issue was confirmed for SM12 project, as this GIS was designed and delivered within the same timeframe.
This NCR is issued for HITACHI to provide RCA &amp; Corrective action.</t>
  </si>
  <si>
    <t xml:space="preserve">Prior to the hydrostatic test inspection, ARAMCO pointed out the followings
1) All welds must be dressed-up.
- All welding of the Dryer vessels have the toes of the welds shall be dressed (smooth contour / fatigue finish) 
as it is noted that the vessels are in Cyclic service.
 2) There are the misalignment on weld between head and shell for both top and bottom sides. </t>
  </si>
  <si>
    <t>During the painting inspection, it was observed High DFT on flange face and side. The detected DFT is often 600-1000µ, otherwise the acceptable value is 275-400µ (micrometers, min-max.)</t>
  </si>
  <si>
    <t>Welding is done for L-seams and C-seams of main shell with improper WPS/PQR (VD-MS001-COMMON-030 Rev.C)
Despite MDMT was changed from 1.11℃ to - 44.44℃ in GAD (VD-MS001-T78D0802-005 Rev.C) on 3-Aug-2021,
WPS/PQR (VD001-COMMON-030 Rev.C) was not revised to include a required impact testing on MDMT -44.44℃ and
Welding has been conducted.</t>
  </si>
  <si>
    <t>During material receiving inspection of elbows by ZHI, it was found that wrong original marking in actual material engraved SA-234 instead SA-403 as violation of 02-SAMSS-013 Para.15.
Material Descriptions:
1) 90° LR ELBOW 2, 1/2” STD ASME SA403 WP316 - QTY : 4 EA
2) MFR :  PETROL RACCORD SPA / MFR ID 30003102 
3) To be used for T74-D-0701C</t>
  </si>
  <si>
    <t>Hydrostatic pressure test of Piping Spools has been carried out respectively at the followed pressure as
per pressure test procedure No. VD-MS007-COMMON-040 Rev.0
Skids No. T76-U-0702A/B : 418.47 psig (432.97 psi)
But it’s observed that test pressure was wrongly calculated and applied as per piping GA &amp; ISO METRIC
/ VD-MS007-COMMON-091 Rev.1 and hydrostatic test pressure shall be 425 psig (439.5 psi) in accordance
with 01-SAMSS-010 Para. 9.1.1</t>
  </si>
  <si>
    <t>1. Impact testing for pipes ordered to ASTM A333 and A671 shall be carried out at -45°C or as required by the applicable ASTM
standard, whichever is colder as per Para 9.2.1 of 01-SAMSS-043.
2. Where the largest possible test specimen has a width along the notch of less than 80% of the material nominal thickness shall be
conducted at a temperature lower than the MDMT by an amount equal to the difference between the temperature reduction
corresponding to the actual material thickness as per UG-84(c)(5)(-b) of ASME Sec.VIII Div.1.
3. Nominal thickness of 4” STD is 6mm and test specimen is 3.33mm which is less than 80% of the material nominal thickness shall
be conducted impact test at -56􀈔 considering temperature reduction 11􀰁 from original MDMT(-45􀰁).
4. Impact test was conducted at -55􀈔􀀃􀁚􀁄􀁕􀁐􀁈􀁕􀀃􀁗􀁋􀁄􀁑􀀃􀀐􀀘􀀙􀈔 for stockiest 4” SCH.STD in SA333-6 after SPWHT(1cycle &amp; 4cycle) by
Saudi Aramco’s approval 3rd party laboratory (TCR Arabia). It is non-conformance for 32-SAMSS-043 &amp; ASME Sec.VIII Div.1.</t>
  </si>
  <si>
    <t>MTC of Studs and bolts installed on assembled Filters was checked and following non-conformance found:
Sub Vendor "LGC US Asset Holdings" of Stud bolts 1"8 UN-2A x 5-1/2" B7 FPC and HEX NUT 1"8UN-2B H2 FPC is not on Approved Vendor List - 9COM 60000000577/580.</t>
  </si>
  <si>
    <t xml:space="preserve">Anchor bolt hole distance from center line for Fixed &amp; Sliding Saddle, Sliding/Embedded Plate shall be 475mm and hole to hole distance shall be 950mm as per the approved GA drawing whereas actual distance found 380mm from saddle center to anchor bolt hole and 760mm from hole to hole center which is a violation of design requirement as per the GA drawing. 
Fixed &amp; Sliding Saddles, Sliding/Embedded plates have been fabricated as per the detail drawing and discrepancy (dimension mismatch) noticed in both GA and detail drawings. </t>
  </si>
  <si>
    <t>Painting system for Hand rail &amp; Ladder are revised after painting from APCS-26 to APCS-26T as per Coating Map / T80-H-CE-034351 Rev.00F</t>
  </si>
  <si>
    <t>During pre-assembly of checkered plate in the Skid frame, it’s observed that
1. Skid frame supporting dryer leg support is not aligned
2. Checkered plate couldn’t be installed in Skid frame.</t>
  </si>
  <si>
    <t>During chemical composition analysis, the below item found the PREN was not qualified as per 01-SAMSS-046 30-Oct-2013 para.8.3 requirement. Detail result as per below:
The required Pitting Resistance Equivalent (PREN) (%Cr+3.3(%Mo+0.5%W)+16%N) for the base material shall be greater than or equal to 24 as per 01-SAMSS-046 30-Oct-2013 para.8.3 requirement for material TP316/316L.</t>
  </si>
  <si>
    <t>Vendor has realized that SH(Manufacturer) made a mistake with the mechanical calculation of the skid structure. The weight value of
Dryers used for the mechanical calculation was 2.548,42 kg(service empty), instead of 5.000 kg(service full).</t>
  </si>
  <si>
    <t>Item : CPI Slop Oil Tank (T74-D-0802)
Davit arm &amp; eye bolt of M1 manway were damaged during transportation due to inconsideration height of trailer.</t>
  </si>
  <si>
    <t>Welding defects(LF : Lack of Fusion) were found on all weld joints by UT before PWHT
Weld Details : Double sided bevel weld / weld 
deposit : total 145mm (72.5mm per each side)
Tag No # T76-E-00501 A/B/C/D/E/F
 Flange Detail : LWN 18” 150 RF SA105N (WELD OVERLAY)
 End Plate Detail : SA516-70N 145t
 Joint no : N1~N4 (X 6 items)
 Qty :24 Joints (4flanges/1item X 6items)</t>
  </si>
  <si>
    <t>During Valve Assembly Hydro Shell test, leakage was observed on Body Shell (Heat No. : GLBP 
/ PT Report No. : D03 / Foundry : Amazon)</t>
  </si>
  <si>
    <t>Per ITP the valves shall be coted per SAES-H-001 and SAES-H-101V using the painting system APCS-1B. However, all valves were coted using the painting system APCS-1D.</t>
  </si>
  <si>
    <t>It’s noticed that ZMF failed to protect the flanges during fabrication stage and the flange faces have been observed some damages. 
- Total Flanges observed for investigation as per ZMF inspection report: 64 nos.
- Flanges applied re-serration as per ZMF inspection report: 25 nos.
- Flanges decided to use it as it is (without re-serration) as per ZMF inspection report: 39 nos.
In addition, re-serration was applied without proper notice and inspection.
- Evaluation has not been done as per applicable standard and it’s not offered for evaluation &amp; Inspection
- Re-serration procedure is not approved by HDEC
- No approval record for re-serration company is shared
- Post inspection after re-serration has not been done properly to verify required surface roughness (3.2-6.4 um Ra) &amp; raised face height</t>
  </si>
  <si>
    <t>The painting system applied does not concur with the approved painting procedure. 
The coating on the flow meter had been performed as per KROHNE standards.    
APCS-1D shall be applied as per the approved procedure.</t>
  </si>
  <si>
    <t xml:space="preserve">During surface preparation for valve external coating, open porosity or sand inclusions were found after grit blasting. During visual examination of the grit blasted surfaces, open porosity or sand inclusions became visible.   
Several isolated areas were noted as well as areas with clusters of porosity/sand inclusions. 
The applicable Tag are for three (3) 48’’ #150 Buckling Pin Relief Valves,  
Tagged: T78-58-PZV-0012, T78-58-PZV-0013 &amp; T78-58-PZV-0010. 
Ref. Casting markings: GG46630-15 Heat K309, GG46630-14 Heat K306 and GG46630-16 Heat K309. 
Finally, the above valve’s final surfaces requirement is out of acceptance criteria as per MSS SP-55 Class ‘A’. </t>
  </si>
  <si>
    <t>1. FAT Punch listed that ;
As per 16-SAMSS-514 Section 15.1.1 c) Lamp shall be field replaceable from the front. Presently the installed lamps are not replceable from front. (Common for all 79 tags).
Metrosil and Stabilizing resistors were missing. (Two tags for T80-026-RP-049, T80-026-RP-050) Reger to the attached photos.
2. iFAT Punch listed that;
I/O configuration comments to be rectified at site by Vendor during iSAT.</t>
  </si>
  <si>
    <t>During performance test for T74-G-0711A, measured vibration value was exceed the requirement for performance test procedure. And performance test reports for other units (T74-G-0711B/C/D) were not prepared, because there was no successful internal testing due to same issue of high vibration as well.</t>
  </si>
  <si>
    <t>The materials are delivered to the site with an open punch list.
Refer to the attached punch list no. SM12-EL001-WES-PL-009 for further details</t>
  </si>
  <si>
    <t>1) PT STEEL carried out modification work on the released skid structure frame (after final inspection &amp; IRC) without an approval from CONTRACTOR. The modification works were done without submission/approval of revised fabrication drawings.
2) Hot work (gas cutting) was carried out on the painted frame to make holes for pipe. Due to the hot work, the existing paint was damaged on many locations.
3) Welded CS plates were removed and re-welded with SS plates without submission/approval of revised drawings and approved WPS for SS materials (VD-RM014-COMMON-118 / WPS &amp; PQR for Skids Structure).
4) As per 12-SAMSS-007, Para. 4.1.2, the minimum thickness of any part of a structural shape shall be 5 mm, but whereas drip plate is of 3 mm. Drip plate (SS Material) welding is ongoing without WPS approved by CONTRACTOR. On 3 mm thickness plate, SMAW is ongoing due to which the entire drip plate got distortion/bend.</t>
  </si>
  <si>
    <t xml:space="preserve">The stud bolts near all ball valves flanges connections are short. (threads are not exposed on above nuts)
The followed bolts are need to be replaced.  </t>
  </si>
  <si>
    <t>The fire incident happened on 07th Oct 2023 at YKSA basement floor manufacturing area,( YKSA- DTV). During the time of fire incident PKG#12- Six (06) cabinets were placed for the MOD-PACK modification. The incident area and cabinet staqed area see the below photo. 
The following six cabinets for PKG#12 are staged T76-043-DCS-XMC-201, T76-043-DCS-XMC-202, 
T76-043-DCS-XMC-204, T76-043-DCS-XMC-203, T76-043-DCS-FMC-201 &amp; T76-043-DCS-FMC-202. 
The cabinet (T76-043-DCS-XMC-201) front door was fully opened during the water sprinklers activated. While doing the visually verification water dried mark found on the side punched rails, some of the mounting plate location also (see the below photo's).
The other five(5) cabinets ( T76-043-DCS-XMC-202, T76-043-DCS-XMC-204, T76-043-DCS-XMC-203, T76- 043-DCS-FMC-201 &amp; T76-043-DCS-FMC-202 ) between the edges of the cabinets and GASKET the dust water stained found (see the below photo)</t>
  </si>
  <si>
    <t>1. Applicable Item: LLP LSD/KO DRUM (T78-D-0822A/B)
Non-Conformance Component:
1) N2 (30”) 2EA (Non-Standard Forging (Shape Machining Error)
2) N6A/B (4”) 4EA (Non-Standard Forging (Shape Machining Error)
2. Description
1) TPI found during material receiving inspection that N2 Nozzle is installed on Top Head, so it is required to be Spherical
in Shape on forged lip. But materials (N2 Flange) were machined to Cylindrical Radius on forged lip as photos below.</t>
  </si>
  <si>
    <t>It is noted that the rolled and welded plate for Heater Chamber has been purchased through “Mach Industrial Group.” which is not in RVL (Regulated Vendor List) and not approved by sub-vendor List / VD-MS015-COMMON-003 DWG No. : VD-MS015-T76E080109 01-003 rev.0 Tag No.. : T76-E-0801/09 01 (2ea) Rolled and Welded Plate Quantities: 4pcs (2pcs for 1 heater)</t>
  </si>
  <si>
    <t>The followings were observed during the material receiving inspection.
1. The bore size on the 1.5” RFWN was in compliance with the drawing 121-307180-407, but not in compliance to the drawing note 2 and not in compliance with ASME B16.50.
2. With regard to tube MTC, the requirements of 01-SAMSS-047 concerning the Corrosion Testing, Section 10, Table 4, ASTM G28, Steel Grade UNS NO8825 was not reported as being performed on the first shipment of tubes or the current tubes set for this inspection.
3. Replacement 1.5” pipe receiving inspection was conducted with non-conforming findings. Inside of the 1.5 pipe, with heat number 126118, has a non-round interior on all three pipes presented.</t>
  </si>
  <si>
    <t>During inspection, it was found that the Inconel 800 heating elements 1.125 OD X 1.031/1.047 ID 800 SMLS tubes had been subjected to abrasive blasting and it has raised concerns regarding the performance of the elements.
Also, the Gasket Seal Serration Surface are blasted too. 
Lastly, VENDOR failed to comply with ITP witness step. (Pre-blast preparation and etc.) This step was not performed and notified to the inspector.</t>
  </si>
  <si>
    <t>1. One (1) open action required item issued during inspection will be closed at site. 
- Action required Item Description 
Following information are missed on nameplates as per MSS-SP-25 (mandated by 04-SAMSS-035 and MR 
§10.7). 
 Body Material Designation 
 Rating Class 
 Service limitation</t>
  </si>
  <si>
    <t xml:space="preserve">During routine inspection surveillance on 23 July 2025, it was identified that multiple heater units supplied by CHX contain cancelled heating elements that were not replaced, documented, or authorized in accordance with project quality procedures. 
Although the governing datasheet does not require spare heating elements, CHX elected to install additional elements in each bundle to serve as built-in spares in the event of failures. This provision was an internal CHX decision. However, the handling of failed elements within these spares has raised significant quality and traceability concerns. </t>
  </si>
  <si>
    <t>1.	One (1) open action required item issued during inspection will be closed at site.
-	Action required Item Description
The Tag # T76-60-ZV-0111 has a galvanized Carbon Steel ASTM A732 Fr 1A coupling on the shaft. This item is not found on the Materials List provided by HDEC. Also, ASTM T732 Fr 1A is not equivalent material of Shaft (ASTM A564 gr. 630 H1150M).</t>
  </si>
  <si>
    <t>발주처</t>
    <phoneticPr fontId="4" type="noConversion"/>
  </si>
  <si>
    <t>500015424</t>
  </si>
  <si>
    <t xml:space="preserve">TECO Middle East </t>
  </si>
  <si>
    <t>Water Recovery Package</t>
  </si>
  <si>
    <t>VEOLIA WATER SOLUTIONS</t>
  </si>
  <si>
    <t>PTFE Lined Piping</t>
  </si>
  <si>
    <t>ELEMENTOS FLEXIBLES ARCONI SA</t>
  </si>
  <si>
    <t>Air Compressor Package</t>
  </si>
  <si>
    <t>Hanwha Power Systems</t>
  </si>
  <si>
    <t>Boldrocchi</t>
  </si>
  <si>
    <t>PIPE (CS WELD)</t>
  </si>
  <si>
    <t>Water Pump</t>
  </si>
  <si>
    <t>ZEECO MIDDLE EAST LTD</t>
  </si>
  <si>
    <t>GOULDS PUMPS</t>
  </si>
  <si>
    <t>NCR has been issued to document the repeated failure of stator sealed Winding conformance test for the Closed Loop Cooling Water Pump “T76-GM-0503A” manufactured by TECO middle east (MFR ID#30006593). The previously failed motor has been Re-tested on July, 3rd 2022 where the values of IR(Immersed in water condition after High Potential Test) was 10.7KΩ against the acceptance -criteria of 25MΩ per 17-SAMSS-502/6.3.4.4 and NEMA-MT1. The Manufacturer “TECO” failed to identify the proper RCA which caused a repeated failure for the same motor three times.</t>
  </si>
  <si>
    <t>Description of Deficiency: Schedule Q Violation
Hyundai violated the following:
1. Short notice for inspection (it was sent on Wednesday to conduct inspection on the next day), please find attached the notification.
2. Even though Hyundai received rejection for the notification, they proceed with the activities.
3. The inspection took place on Thursday and Friday (out working days).
The inspection level is 3 and the material is chemical skid IL# 107000217826.</t>
  </si>
  <si>
    <t>CONTRACTOR have had an incompliance of SVL requirements. CONTRACTOR violated the following:
1. The SVL was submitted with incorrect material requested by the manufacturer.
2. Hyundai did not issue INCR for incorrect material requested in the SVL by the manufacturer.
3. Hyundai submitted the new SVL with the new material after receiving the materials
4. Hyundai did not implement the review comments on the SVL. [SM12] PI008 / PTFE Lined Piping IL107000223155</t>
  </si>
  <si>
    <t>During Sub-POs review for Instrument Air Compressor, Company has noticed that the Main manufacturer (HANWHA POWER SYSTEMS,ID#30006086) has placed their Sub PO (order# P20BD09002 dated Apr,20 2020) for the (Inlet Air Filter) with on-hold manufacturer (BOLDROCCHI, Italy ID# 30004546). Moreover, the Sub PO placed prior to obtain the Company review of the sub vendor list which is in violation to SAEP-1151, Para. 6.3 that stated "When requested, after P.O. award and prior to sub-P.O placements contractor shall submit sub-vendor list for company review that shall include as a minimum the following: material description, 9COM, approved sub-vendor (Name and ID), inspection level and material specification".
In addition to the above, the Contractor did not Document/Report the Nonconformity as Contractor NCR (INCR) which is a violation to SchQ Para 7.5.2.
Contractor is requested to provide Root Cause, Corrective action and Preventive action to eliminate reoccurrence of similar issues.</t>
  </si>
  <si>
    <t>Hyundai Steel Company (HSC) ID#30008916 neither use pyrometers equipped heat treatment furnace nor attach thermocouples to the pipe which deviates from the heat treatment requirement in 01-SAMSS-043 para. 7.2. The thermocouples in HSC have been located on the upper side of the furnace wall which is not directly attached on the pipe. CONTRACTOR shall conduct full investigation, provide RCA and Corrective Actions to ensure meetings Company standards as well as ensuring the integrity of supplied materials.
Contractor PO# 4600061069
IL# 107000205868
Material: CS WELD PIPE / ASTM A671 CC60 CL22.
Quantities involved in violation: approximately 1,455 M out of 13,781 M</t>
  </si>
  <si>
    <t>NCR has been issued to document the repeated failure of vibration test of the Water Pump “T74-G-0711A” for Flare Gas Recovery PKG manufactured by GOULDS PUMPS/Korea (MFR ID# 30006824). The high vibration issue has been initially observed on June, 2023 during the performance test where the Contractor documented the failure through INCR “NCR-OOK-MS010-002”. After implementing the corrective actions which include the replacement of 3rd stage impeller and other course of actions, the Pump has been Re-tested on Nov, 15 2023 where the high vibration issue was observed again which exceeded the acceptance tolerance (Max. 3.0 mm/sec) as per 31-SAMSS-004 Para 6.9.3 and API-610 table 8. The Manufacturer “GOULDS PUMPS” failed to identify the proper root causes which caused a repeated failure for the same Pump.
# Measured vibration value during the initial testing (First Failure):
DE _ Horizontal: 8.57 mm/sec / Vertical: 3.11 mm/sec
NDE _ Horizontal: 10.17 mm/sec
# Measured vibration value during the second Failure:
DE – 6.002 mm/sec (Min. Continuous flow) / Vertical
DE – 3.975 mm/sec (Mid. Flow) / Vertical
Contractor Shall conduct full investigation, provide RCA and Corrective Actions to ensure the quality of supplied equipment. The ACD is Feb-18-2024.</t>
  </si>
  <si>
    <t>계장제어</t>
  </si>
  <si>
    <t>시험, 검사 주기의 부적절</t>
  </si>
  <si>
    <t>점검, 및 시험자의 과실</t>
  </si>
  <si>
    <t xml:space="preserve">STA4-MS003-ZAH-NCR-001 </t>
  </si>
  <si>
    <t>STA4-PI003-HYS-NCR-001</t>
  </si>
  <si>
    <t>STA4-PI004-PCK-NCR-001</t>
  </si>
  <si>
    <t>STA4-MS004-XIN-NCR-001</t>
  </si>
  <si>
    <t>STA4-MS016-STK-NCR-001</t>
  </si>
  <si>
    <t>STA4-MS018-INX-NCR-001</t>
  </si>
  <si>
    <t>STA4-MR005-FLW-NCR-001</t>
  </si>
  <si>
    <t>STA4-EL001-HIT-NCR-001</t>
  </si>
  <si>
    <t>STA4-EL002-HYO-NCR-001</t>
  </si>
  <si>
    <t xml:space="preserve">STA4-EL002-HYO-NCR-002 </t>
  </si>
  <si>
    <t>STA4-MR001-HTC-ABB-NCR-001</t>
  </si>
  <si>
    <t>STA4-MR005-FLW-NID-NCR-001</t>
  </si>
  <si>
    <t>STA4-PI003-HYS-NCR-002</t>
  </si>
  <si>
    <t>STA4-EL006-SCH-NCR-001</t>
  </si>
  <si>
    <t xml:space="preserve">STA4-MR012-NIJ-WEE-NCR-001 </t>
  </si>
  <si>
    <t>STA4-EL001-HIT-NCR-003</t>
  </si>
  <si>
    <t>STA4-EL006-SCH-NCR-002</t>
  </si>
  <si>
    <t>STA4-EL001-HIT-NCR-004</t>
  </si>
  <si>
    <t>STA4-MS011-MHS-NCR-001</t>
  </si>
  <si>
    <t xml:space="preserve">STA-EL011-CEG-NCR-001 </t>
  </si>
  <si>
    <t>STA4-MS021-ZE2-FMC-NCR-001</t>
  </si>
  <si>
    <t>STA4-EL001-HIT-NCR-002</t>
  </si>
  <si>
    <t>STA4-MS016-STK-NCR-002</t>
  </si>
  <si>
    <t>STA4-MS018-INX-NCR-002</t>
  </si>
  <si>
    <t>STA4-MS016-STK-NCR-003</t>
  </si>
  <si>
    <t>STA4-MR003-HHI-NCR-001</t>
  </si>
  <si>
    <t>STA4-EL001-HIT-NCR-005</t>
  </si>
  <si>
    <t>STA4-MR001-HTC-ABB-NCR-002</t>
  </si>
  <si>
    <t>STA4-CI005-VAL-NCR-001</t>
  </si>
  <si>
    <t>STA4-MS004-XIN-NCR-002</t>
  </si>
  <si>
    <t>STA4-MR010-OPT-NCR-001</t>
  </si>
  <si>
    <t>STA4-EL012-SEL2-NCR-001</t>
  </si>
  <si>
    <t>STA4-PI016-AMP-NCR-001</t>
  </si>
  <si>
    <t>STA4-MS016-STK-NCR-004</t>
  </si>
  <si>
    <t xml:space="preserve">STA4-PI038-DON-NCR-001 </t>
  </si>
  <si>
    <t>STA4-EL008-AFN-NCR-001</t>
  </si>
  <si>
    <t>STA4-EL009-AFN-NCR-001</t>
  </si>
  <si>
    <t>STA4-MS017-SYC-NCR-001</t>
  </si>
  <si>
    <t>STA4-EL012-SEL1-NCR-001</t>
  </si>
  <si>
    <t>STA4-EL007-AFN-NCR-001</t>
  </si>
  <si>
    <t>STA4-MS011-MHS-NCR-002</t>
  </si>
  <si>
    <t>STA4-MS011-MHS-NCR-003</t>
  </si>
  <si>
    <t>STA4-MR010-OPT-NCR-002</t>
  </si>
  <si>
    <t>STA4-CI001-EME-NCR-001</t>
  </si>
  <si>
    <t>STA4-MS020-ZE1-MO-NCR-001</t>
  </si>
  <si>
    <t>STA4-MS016-STK-NCR-005</t>
  </si>
  <si>
    <t>STA4-MS023-KES-SMF-NCR-001</t>
  </si>
  <si>
    <t>STA4-EL012-SEL1-NCR-002</t>
  </si>
  <si>
    <t>STA4-CI001-EME-NCR-002</t>
  </si>
  <si>
    <t>STA4-CI005-VAL-NCR-002</t>
  </si>
  <si>
    <t>STA4-EL012-SEL2-NCR-002</t>
  </si>
  <si>
    <t>Pressure Vessel</t>
  </si>
  <si>
    <t>Filter</t>
  </si>
  <si>
    <t>SALINE COOLING WATER PUMP (LOOP 1) 404-G-3001 A</t>
  </si>
  <si>
    <t>230kv GIS Drives</t>
  </si>
  <si>
    <t>230kv Power Transformer</t>
  </si>
  <si>
    <t>Main Motor for Centrifugal Compressor (API617)</t>
  </si>
  <si>
    <t>SOFT COOLING WATER PUMP DRIVING MOTORS</t>
  </si>
  <si>
    <t>Carbon Seamless Pipes (NPS 1.5 and below)</t>
  </si>
  <si>
    <t>Voltage Transformer (VT)</t>
  </si>
  <si>
    <t>HV Motor 1 set</t>
  </si>
  <si>
    <t>230kV GIS ( 9 bays)</t>
  </si>
  <si>
    <t>34.5kv SWGR 1st batch</t>
  </si>
  <si>
    <t>230kV GIS ( 5 bays)</t>
  </si>
  <si>
    <t>Shell plate with Nozzle</t>
  </si>
  <si>
    <t>AC UPS &amp; DC SYSTEM(3rd batch)</t>
  </si>
  <si>
    <t>DERRICK STRUCTURE</t>
  </si>
  <si>
    <t>LCC</t>
  </si>
  <si>
    <t>Stockiest Pipe</t>
  </si>
  <si>
    <t>Dish Head</t>
  </si>
  <si>
    <t>Stockiest Flange</t>
  </si>
  <si>
    <t>impeller</t>
  </si>
  <si>
    <t>9 bays</t>
  </si>
  <si>
    <t>On-Off Valve (Ball)</t>
  </si>
  <si>
    <t>Spent Caustic Transfer Pump 420-G-0044-A/B</t>
  </si>
  <si>
    <t>PMS</t>
  </si>
  <si>
    <t>VALVE; GATE; WEDGE; 26 INCH AND UP; FLANGED</t>
  </si>
  <si>
    <t xml:space="preserve">Knife Gate Valve </t>
  </si>
  <si>
    <t xml:space="preserve">LV Controlgear </t>
  </si>
  <si>
    <t>Air Dryer Package (407-X-2001)</t>
  </si>
  <si>
    <t>SS2, SS21, SS22</t>
  </si>
  <si>
    <t>HV Switchgear</t>
  </si>
  <si>
    <t>Shell plate</t>
  </si>
  <si>
    <t>Aluminum dome roof</t>
  </si>
  <si>
    <t>PDC(Power Dst.)</t>
  </si>
  <si>
    <t>Incinerator Chamber &amp; Stack</t>
  </si>
  <si>
    <t>Saddle of Deaerator</t>
  </si>
  <si>
    <t>Separator vessel for flare gas recovery package
(430-D-0102)</t>
  </si>
  <si>
    <t>PCS overall</t>
  </si>
  <si>
    <t>Vendor placed order for dish head to “Arabian Oasis” prior to get approval from COMPANY. 
 It is violation comparing to MR requirement</t>
  </si>
  <si>
    <t>During marking inspection of pipe, the contract number displayed on the pipes is STA-PI-PO-003-4600066444, it is the same as the contract number shown on the cover of the contract. However, the contract number shown on all vendor documents and ITP is STA4-PI-PO-003-4600066444. 
The involved pipes refer to attachment-the item list of pipes involved PO number issue.</t>
  </si>
  <si>
    <t>the welding control for production line of 508*9.52, founded incorrect weld wire (ESAB weld EH14) to be used in pipe with 508*9.52(pipe No: 12411266,12411272) due to WPS240610 by welder (Jin long, welder No: PW02208)</t>
  </si>
  <si>
    <t>Longitudinal weld on Skirt and circumferential weld on Tag No. 404-S-3002 skirt were not identified weld number in the weld map (No. SA-AMI-000-4XIN-102005, Rev.0). The weld number for longitudinal weld of skirt of Tag No. 420-S-0008 (Seam No. A12) was not identified in the weld map (No. A-AMI-000-4XIN-102005, Rev.0.).</t>
  </si>
  <si>
    <t>It was observed that the specimen of plates for SPWHT to meet AMIMS-D-3204 requirement are taken from 
longitudinal instead of Transvers to the rolling direction.</t>
  </si>
  <si>
    <t>The longitudinal welds of two adjacent shell rings offset kept by 30° instead of 60° on the following joints</t>
  </si>
  <si>
    <t>404-G-3001A, Saline Cooling Water Pump(LOOP 1).
Flatness on pump pads is out of tolerance according to construction drawing and Flowserve procedure SQ 53 rev.2: required is 0.05 mm/mt while measured values are above 0.25 mm/mt.</t>
  </si>
  <si>
    <t>According to SA-AMI-451-4HIT-402107_1, 230kV GIS: INSPECTION AND TEST PLAN-GIS, the highlighted
inspection requires Contractor’s (HDEC) witness at Hitachi Energy Bulgaria. However, the Drives (Operating
Mechanism for CB) were tested without Contractor’s (HDEC) witness and subsequently delivered to Hitachi
Energy in KSA.</t>
  </si>
  <si>
    <t>During the Lightning Impulse Test on Phase H2 on 13th.Mar.2025, per SA-AMI-451-4HYO-402002_0_230kV Power TR - FACTORY INSPECTION &amp; TEST PLAN, the result of sequence 7(LI 100%) was failed with the abnormal traces, when performed seventh full wave impulse on H2 terminal,</t>
  </si>
  <si>
    <t>According to SA-AMI-000-HDAI-510003_2 (Vendor Inspection Procedure), all punch list items must be cleared before the inspection release. Additionally, as per SA-AMI-451-HDAI-414002_0 (Unpriced Purchase Order for 230/34.5kV Power Transformer), delivery cannot proceed without the inspection release certificate (IRC) from the purchaser (HDEC).
However, considering the site erection situation, HDEC has agreed to issue the IRC with outstanding punch list items
(1ea / No .19), as noted in the NCR with the attached punch list. This NCR will be used to track the resolution of the punch 
list items and will be closed upon HDEC’s agreement.</t>
  </si>
  <si>
    <t>During the Final test of the motor, the forced oil lubrication system for the sleeve bearings was not activated, and
the oil sumps were apparently dry. As a result, the bearings operated without proper lubrication, leading to
excessive friction, heat generation, and severe damage to the bearing components and shaft journal.
- Inspection Findings:
Following the disassembly of the motor, the following damages were observed. However, please note that this is
not the full information of the issues.
A. DE and NDE bearing liners (white metal) completely destroyed
B. Outer labyrinth seals (DE and NDE) damaged
C. Inner labyrinth seals showed discoloration due to excessive heat
D. Shaft journal damaged</t>
  </si>
  <si>
    <t>According to SA-AMI-000-HDAI-510003_2 (Vendor Inspection Procedure), all punch list items must be cleared
before the inspection release. Additionally, as per SA-AMI-000-HDAI-412005_0 / UNPRICED PO FOR COOLING
WATER PUMP (API 610 BB), delivery cannot proceed without the inspection release certificate (IRC) from the
purchaser (HDEC).
However, considering the characteristic of punch, HDEC has agreed to issue the IRC with 1 outstanding punch
list item, as noted in the NCR with the attached punch list. This NCR will be used to track the resolution of the punch
list items and will be closed upon HDEC’s agreement.
- Note: The IECEx CES 25.0003X certification for the soft cooling pump (Type ET 1000) is nearing completion,
with the hard copy expected soon. The draft copy currently shared confirms that this motor meets the
certification requirements for hazardous area installations as specified by the project. Since the third-party
certification body (CESI) is a government institution, the process of issuing the final copy is taking
considerable time. The final copy will be verified during the review of the final dossier."</t>
  </si>
  <si>
    <t xml:space="preserve">- During TBE stage and PIM held on June 25th 2024, HYST has confirmed that Sub-Vendor is not applicable.  
- For the small pipes (NPS 1.5 and below), HYST outsourced them to Hongda Precision manufacturing Co., Ltd; HYST provided the mother pipes, sub-vendor (Hongda Precision manufacturing Co., Ltd) executed the cold-drawing, HT, ECT whereas the Sch.Q mandate that manufacturing shall be conducted by the sub-vendor which is approved by HDEC and COMPANY. 
</t>
  </si>
  <si>
    <t>According to AMIMS-P-6504, para 15.3.4(Indoor Metal-Clad Switchgear: 1 to 40 kV), voltage transformers (VTs) shall be of the withdrawable type.
However, the VT installed on the incomer panels is of the fixed type, whereas the VTs on the Bus VT and VT
Riser panels are of the withdrawable type</t>
  </si>
  <si>
    <t xml:space="preserve">The HV Motor (403-GM-0001-C / 1 out 3ea) has been shipped to Main vendor (Nijhuis Pompen BV / Netherlands) without the required approval of the ITP/Test procedure which is a clear violation of project quality requirements. 
As per the Vendor Inspection Procedure, all ITPs must be submitted and approved by both CONTRACTOR and COMPANY prior to the commencement of any inspection, testing, or the start of fabrication. Fabrication, inspection, or testing activities shall not begin until the ITP and procedures have received formal approval from both CONTRACTOR and COMPANY, in accordance with project requirements
</t>
  </si>
  <si>
    <t>According to SA-AMI-000-HDAI-510003_2 (Vendor Inspection Procedure), all punch list items must be cleared before the inspection release. Additionally, as per SA-AMI-000-HDAI-340705 (MATERIAL REQUISITION FOR 34.5kV Switchgear), Equipment/material shall not be released with punch list items unless approval is obtained from COMPANY Representative.
However, considering the site erection situation, HDEC has agreed to issue the IRC with outstanding punch list items as
attached. This release is also aligned with CPY PMT as the outstanding punch lists are from CPY proponents.
This NCR will be used to track the resolution of the punch list items and will be closed upon HDEC’s agreement.</t>
  </si>
  <si>
    <t xml:space="preserve">According to SA-AMI-000-HDAI-510003_2, Vendor Inspection Procedure, all punch list items must be cleared before the inspection release. Additionally, as per SA-AMI-451-HDAI-340700_3, MATERIAL REQUISITION FOR 230kV GIS (Gas Insulated Switchgear), Equipment/material shall not be released with punch list items unless approval is obtained from COMPANY Representative.
However, considering the site erection situation, HDEC has agreed to issue the IRC with outstanding punch list items as 
attached.
This NCR will be used to track the resolution of the punch list items and will be closed upon HDEC’s agreement.
</t>
  </si>
  <si>
    <t>During final inspection of shell plates with nozzle, the minimum shell horizontal butt weld toe to toe distance is not meeting the code requirement as follows,
Dwg No: SA-AMI-420-4MHS-101009 Sheet 02 of 09 Rev.00
Tag No: 420-T-0002 (TK-491)
Shell Plate: SP2-01C
Nozzle No: B3 44" Ø
 1. The distance between the bottom shell weld toe and the R.F. pad weld toe is 45 mm.
 2. The distance between the R.F. pad weld toe and the top shell weld toe is 60 mm</t>
  </si>
  <si>
    <t>According to Vendor Inspection Procedure, all punch list items must be cleared before the inspection release. Additionally, as per MATERIAL REQUISITION FOR AC UPS &amp; DC SYSTEM,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t>
  </si>
  <si>
    <t>During the inspection visit to the subcontractor responsible for the galvanizing process, conducted to verify compliance
with the approved procedure, it was observed that some flanges exhibited evidence of being manufactured from multiple
pieces after galvanizing. As a result, this report has been issued due to the following: -
• Zeeco's drawings do not indicate any welded splices, specifying that each flange should be fabricated from a single
piece.
• The segmented flanges were assembled, welded, and potentially subjected to NOT (Non-Destructive Testing) without
prior notification for witness inspection at these critical points.
• Since these joints are not specified in the approved drawings, they are classified as shop splices and require formal
written approval prior to fabrication.</t>
  </si>
  <si>
    <t>According to SA-AMI-000-HDAI-510003_2 (Vendor Inspection Procedure), all punch list items must be cleared before the
inspection release. Additionally, as per STA4-EL-PO-001-4600066433 (Purchase Order for 230KV GIS), delivery cannot
proceed without the inspection release certificate (IRC) from the purchaser (HDEC).
However, considering the characteristic of punch, HDEC has agreed to issue the IRC with outstanding punch
list item, as noted in the NCR with the attached punch list. This NCR will be used to track the resolution of the punch
list items and will be closed upon HDEC’s agreement</t>
  </si>
  <si>
    <t>CPY inspector observed that the SA106-B 8” SCH.100 pipe purchased from Van Leewen stockiest should not followed AMIMS-L-1043 requirements as below.
- 8’’ Sh100 Pipe is only examined according ISO 10893-3 and only in transverse direction. ASTM testing to be 
Performed
- Pipe is only non-destructive examined with Magnetic flux in accordance with ISO 10893-3 and not with the 
mentioned ASTM standards.
- Hydrotest pressure to be at 90% of yield = 388barg
- Marking does not comply with AMIMS L 1043. The marking shall include the specification number AMIMS-L-
1043 along with date of issue.
- Pipes shall be supplied with bevelled ends in accordance with Figure 4 of ASME B16.25 irrespective of wall 
thickness, unless otherwise specified in the Purchase Order. Weld bevels must be NDE MPI tested
- Certificate does not mention a radiation level. This to be verified. It shall be certified that the radiation level of 
the pipes is less than 100 beckerel /gram.</t>
  </si>
  <si>
    <t xml:space="preserve">Required minimum thickness as mentioned in the drawing : 15.00 mm 
The lowest actual thickness: 
Outer Vessel Tag: 408-D-2001-A: 14.70 mm 
Outer Vessel Tag: 408-D-2001-D: 14.90 mm 
Outer Vessel Tag: 408-D-2001-F: 14.68 mm 
Location Pattern: Lowest thickness noticed all the formed dish head with in Crown Area at radius around 1400mm. 
Dish Head ID 5000mm. 
The 14.70, 14.90 and 14.68mm are in isolated spots at the radius of around 1400mm. 
Thickness check by D-Meter. Calibration ok. 
Inspection Date : 18 &amp; 19.April.2025 
Offered Items: Bottom Dish Head, Outer Vessel 
Outer Vessel Tag: 408-D-2001-A 
Outer Vessel Tag: 408-D-2001-B: Ok [ 15.64 mm ] 
Outer Vessel Tag: 408-D-2001-D 
Outer Vessel Tag: 408-D-2001-F </t>
  </si>
  <si>
    <t>For the following flanges, the tensile tests carried out are slightly below the minimum required tensile values as
required by the SA 105:
N10 - BFW Pumps Recycle
WNRF 4" 600# SCH.160 SA105 (Heat 23-39573)
N05 - BFW Pumps suction
WNRF 8" 300# SCH.80 SA105 (Heat BK1427)
N6 Steam Inlet
WNRF 16" 150# SCH30 SA105 (Heat J6AV22)</t>
  </si>
  <si>
    <t>Dimensional changes following overspeed test were out with the allowed limit
- 1st stage impeller of compressor tag 407-K-0001-B &amp; C
- Allowed limit: 0.038mm
407-K-0001-2 : Before - 382.826 / After - 382.875 / Deformation - 0.049mm
407-K-1001-3 : Before - 382.819 / After - 382.866 / Deformation - 0.047mm</t>
  </si>
  <si>
    <t>conditional IRC with NCR (open punch items)</t>
  </si>
  <si>
    <t>Two open punches are open till final completion of factory inspection at the manufacturer’s factory.
Those will be closed at Main-Vendor’s factory prior to final shipment of Main pump to site.</t>
  </si>
  <si>
    <t>The body joint nuts are of wrong size, not M20 Hexnuts for tag 404-ZV-10001 but apparently ¾ UNC. These must be replaced and tested.</t>
  </si>
  <si>
    <t xml:space="preserve">During the inspection stage, a dent was identified on the shell as per the below picture.  
The dent has dimensions of approximately 160 mm in length, 130 mm in width, and a maximum depth of 5 mm.
This defect was found after the hydrostatic test and before the blasting operation. 
</t>
  </si>
  <si>
    <t>Performance test was carried out as per STA4-MR010-OPT-IN-004 rev01, tag 420-G-0044-A, Spent Caustic Transfer Pump.
After review performance test reports, it was found that power consumption was higher that required value.</t>
  </si>
  <si>
    <t>With Company approval, a conditional IRC with NCR has been issued for the item described herein. 
Refer to the punch List_ STA4-EL-012-SEL-PMS-PL-001 (PMS) dated 05 OCT 2025.
This NCR will be used to track the resolution of punch list item at site till final closure. (punch item #4)</t>
  </si>
  <si>
    <t>Damages/ defects in RF detected. As general comment: roughness not uniform:
1) Isolated mechanical damages have been by grinding/ sand papering, resulting in a smooth/flat surface
2) Localized areas showing not uniform shape (to correspond with roughness 3,2-6,3 Ra)</t>
  </si>
  <si>
    <t>During the pressure test, test pressure did not hold, due to leakages on test jig connections.</t>
  </si>
  <si>
    <t>According to SA-AMI-000-HDAI-510003_2 (Vendor Inspection Procedure), all punch list items must be cleared before the inspection release. Additionally, as per the Sec. 5.9 of  SA-AMI-000-HDAI-340707 (MATERIAL REQUISITION FOR LV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A 'partially closed sample &amp; Partially Closed (SITE)' indicates that a full inspection and verification must be carried out upon installation at the site under supervision of ALFANAR.
2. Partially Closed (Documentation)’ refers to closure achieved through documentation updates
All as-built documents must reflect the relevant punch items and obtain approval from our design team
3. As the IFAT punch items require SEL's involvement, they will be closed during the SAT stage
All aforementioned site activity shall be supported by ALFANAR under get complete close.
 Attachment 1 : Final punch list
- STA4-EL008-AF2-PL-001 (SSG)
- STA4-EL008-AF2-PL-002 (SG,ESG)
- STA4-EL008-AF2-PL-003 (IFAT with SEL)
 Attachment 2 : IRC (with condition) , STA4-EL008-AF2-IRC-001</t>
  </si>
  <si>
    <t>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t>
  </si>
  <si>
    <t>Factory Acceptance Test (FAT) had been done at the skid-mounted unit manufacturer’s facility to ensure that the unit meets all
functional and operational requirements as described in the project specifications.
However, the following punch couldn’t be closed due to material issue.
1. Punch No. 38-2 from PL (STA4-MS017-SYC-PL-002)
-. 4 leak points were founded (407-PG-05015, 05018, 05025, 05028 drain valve 1/2”)
2. Punch No. 15 from PL (STA4-MS017-SYC-PL-003)
-. Twenty percent (20%) spare take off fittings and block valves shall be installed on the branch header and
provided with low point drain valve. Currently, there were no drain valve and spare valves.</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</si>
  <si>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STA4-EL012-SEL1-PL-001 FAT Punch list</t>
  </si>
  <si>
    <t xml:space="preserve">Description (with Nature of Non-Conformance / Attach sketch and Photograph if applicable)
According to SA-AMI-000-HDAI-510003_2 (Vendor Inspection Procedure), all punch list items must be cleared before the inspection release. Additionally, as per the Sec. 5.9 of SA-AMI-000-HDAI-340706 (MATERIAL REQUISITION FOR HV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Partially Closed (SITE)' indicates that a full inspection and verification must be carried out upon installation at the site under supervision of ALFANAR.
2.	Partially Closed (Documentation)’ indicates that document review for test report, certificate etc.
Also, All as-built documents must reflect the relevant punch items and obtain approval from HDEC design team
3.	CPY review’ It is under Company review, thus any necessary corrections will be implemented later on site. Based on the results of the CPY review, ALFANAR’s additional actions will be determined.
All aforementioned site activity shall be supported by ALFANAR under get complete close.
Attachment 1 : Final punch list 
-	STA4-EL007-AF1-PL-001 (Open Punch)
-	STA4-EL007-AF1-PL-001 (Total)
Attachment 2 : IRC (with condition) 
-	STA4-EL007-AF1-IRC-001
</t>
  </si>
  <si>
    <t xml:space="preserve">During surveillance on 11th Oct 2025, it was observed that the welder for part mark SP1-02A TK488 (405-T-0003) was welding over a pitted area without any approved procedure or prior approval.
Dwg Ref: SA-AMl-405-4MHS-101037 Sheet 03 of 06 Rev.02 &amp; Refer attached Annexure-1 </t>
  </si>
  <si>
    <t>For the aluminum dome roof (Inspection Level-3), the material was dispatched to site without prior submission and approval of the applicable ITP and required inspection documents, which is non-compliant with the project quality requirements.</t>
  </si>
  <si>
    <t xml:space="preserve">For high power consumption, waiver request was submitted for CPY approval. 
CTR would like to deliver sealless pumps to site conditionally with this open punch. </t>
  </si>
  <si>
    <t xml:space="preserve">According to SA-AMI-000-HDAI-510003_2 (Vendor Inspection Procedure), all punch list items must be cleared before the inspection release. Additionally, as per SA-AMI-000-HDAI-353101, MATERIAL REQUISITION FOR PCS equipment shall not be released with punch list items unless approval is obtained from COMPANY Representative. 
A conditional IRC has been issued for the 7(seven) open punch items which require to be as built.  
Drawing update can be finalized at the time of final shipment of the rest batches. </t>
  </si>
  <si>
    <t>Before issuance IRC, pending drawing which are not approved by CPY were found.
These drawings were approved by CTR only.
CTR would like to deliver incinerator chamber &amp; stack to site conditionally with this open punch.</t>
  </si>
  <si>
    <t>During final painting inspection, inspector found non-conformance final coating color for saddle between approved procedure (RAL 7042) and actual (RAL 7032).</t>
  </si>
  <si>
    <t>During the Final Visual and Dimensional Inspection (FVDI) of the Separator Vessel, Equipment Tag No. 430-D-0102, carried out in accordance with the approved ITP Stage No. 20, both the internal and external areas of the vessel were inspected.
It was observed that the external dish head nozzles, Item Nos. L3A, L3B, L5A, and L5B, do not conform to the requirements specified in the approved detailed fabrication drawing No. SA-AMI-430-4KES-101007_F.
As per the approved drawing, the required dimension from the dish center to each nozzle is 610 mm. But the actual measured dimension is 605 mm, resulting in a deviation of 5 mm.
This deviation exceeds the specified tolerance and requires root cause and corrective action.</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</si>
  <si>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STA4-EL012-SEL1-PL-002 FAT Punch list</t>
  </si>
  <si>
    <t>According to SA-AMI-000-HDAI-510003_2 (Vendor Inspection Procedure), all punch list items must be cleared before the_x000D_inspection release. Additionally, as per SA-AMI-000-HDAI-353101, MATERIAL REQUISITION FOR PCS equipment shall not_x000D_be released with punch list items unless approval is obtained from COMPANY Representative.
This NCR is issued based on the punch list items identified during the Final Wrap-Up Meeting held on February 9. 2026_x000D_All punch items will be managed through Test Studio (Emerson’s system)
A final wrap-up will be again conducted at the time of SAT completion, and any remaining follow-up items will be transferred to_x000D_ICAPS for further tracking and closure.</t>
  </si>
  <si>
    <t xml:space="preserve">According to the TBE and the valve datasheet (instrument specification sheets), the standard code for all Trunnion Ball Valves shall be API 6D. However, the vendor has not inspected the valves in accordance with API 6D.
Eleven of these valves require re-testing because the high-pressure seat test / DBB test was omitted. 
Total Q’ty: Trunnion Type Ball Valve (27 pcs)
</t>
  </si>
  <si>
    <t>The 230kV GIS has been delivered to the site without meeting the following contractual quality requirements:
1. SA-AMI-451-HDAI-340700_3(MATERIAL REQUISITION FOR 230kV GIS (Gas Insulated Switchgear)),
 Final inspection shall be performed prior to delivery. Equipment/material shall be delivered only after Final Inspection
had been performed and Release Note Issued.
 Equipment/material shall not be released with punch list items unless approval is obtained from COMPANY
Representative.
▶ The final inspection(C4) was applied to only 3 bays and the GIS was shipped without IRC.
2. SA-AMI-000-HDAI-510003 (Vendor Inspection Procedure)
 Agreed Exceptions List shall be prepared by Vendor, reviewed and approved by the CONTRACTOR and COMPANY
to accompany the material and / or equipment to site.
▶ The punch lists from the FAT and final inspection have not been closed, nor have they been agreed upon
as an exception list.
3. Additional issue
▶ According to the approved ITP (SA-AMI-451-4HIT-402107 Rev.2), the final inspection (C4) and Release Note(C5 / Hold point) shall be applied to all bays. This requirement was clarified, agreed upon, and recorded as a punch
during the FAT.
However, despite HDEC's request to update the applicable quantity on the inspection notification, the final inspection
was only applied to 3 bays.</t>
  </si>
  <si>
    <t>During dimensional examination it was observed that N18 showed a deviation nozzle location 15mm where a tolerance of ±3
mm is allowed and deviation 1° from parallel plane where a tolerance of ±0.5° The stand-off of this nozzle is 600 mm.
This nozzle will be used to install a pressure transmitter</t>
  </si>
  <si>
    <t>AMIRAL-P4-NCR-0376</t>
  </si>
  <si>
    <t>AMIRAL-P4-NCR-0391</t>
  </si>
  <si>
    <t>공통</t>
    <phoneticPr fontId="4" type="noConversion"/>
  </si>
  <si>
    <t>CTR-INCR for Procurement (STA4-NCR-OOK-QM-006) is escalated to company (AMIRAL) NCR, for not completing the proposed corrective action (CA) within the specified ECD (in line with "NON-CONFORMANCE MANAGEMENT PROCEDURE" (SA-AMl-OOO-EQAC-000003) 
STA4-NCR-OOK-QM-006: It is observed that 257 VENDOR documents have not been submitted for over 45 days since they were received from the company. This is clear violation of SA-AMI-OOO-HDAI-110002, para 5.9.1. Delayed document submission will have a considerable impact in the manufacturing, inspection and testing activities at vendor shops and subsequent delivery impact.
Contractor to comply with the requirements and implement both corrective and preventive measures. A root cause analysis should also be conducted to prevent the recurrence of such non-compliance in future projects.</t>
  </si>
  <si>
    <t>This Company NCR is issued to Contractor HYUNDAI (PKG-4) for Fiber Optic (F.O.) cables for_x000D_the AMIRAL Project supplied by the approved vendor MIDDLE EAST FIBER CABLE_x000D_MANUFACTURING COMPANY (MEFC), due to failure to comply with the contractual and_x000D_technical requirements of AMIMS-J-4913, Clause 6.1.3, and AMIITP-J-347600 which mandates_x000D_the Oil-resistant test for F.O. cables. MEFC is obligated to conduct the Oil-resistant test on the_x000D_final F.O. cable and invite Company for test witnessing (Inspection Level 2), and provide a valid,_x000D_project-specific test certificate. However, to date, Contractor/MEFC failed to perform the required_x000D_oil test and has only submitted an outdated certificate from a sub-supplier (SHAKUN Polymers)_x000D_applicable solely to sheath material, which is not acceptable and does not demonstrate_x000D_compliance with AMIRAL requirements. The Contractor/Vendor is therefore required to_x000D_immediately conduct the oil test in accordance with the applicable specifications and approved_x000D_waivers, arrange Company witnessing. Contractor Hyundai, through the Project Management_x000D_Team (PMT), is hereby instructed to investigate and determine the root cause of this_x000D_nonconformity and to develop, submit, and implement effective corrective and preventive_x000D_actions.</t>
  </si>
  <si>
    <t>NCR-OOK-PI-0001</t>
  </si>
  <si>
    <t>NCR-OOK-PI-0002</t>
  </si>
  <si>
    <t>NCR-OOK-PI-0003</t>
  </si>
  <si>
    <t>NCR-OOK-CI-0001</t>
  </si>
  <si>
    <t>JUS&amp;ICS2-PI-PO-0022-1-NCR-001</t>
  </si>
  <si>
    <t>JUS&amp;ICS2-CI-PO-0007-NCR-001</t>
  </si>
  <si>
    <t>JUS&amp;ICS2-PI-PO-0007-NCR-001</t>
  </si>
  <si>
    <t>Contractor found that piping PO for Flange-3 from ULMA under MR No. JUS&amp;ICS2-PI-MR-0031 has singed on July 2, 2024 before obtaining the No Objection Letter from Company as approval was given in July 8, 2024.</t>
  </si>
  <si>
    <t>Contractor found that 'Change Order(P.O Addendum)' for Piping Materials were submitted to company later than the Contractural Due date (10 Working days)</t>
  </si>
  <si>
    <t>Regarding the process of bid equalization for pipe support, IK Manufacturer obtained confidential bid equalization documents which the information should not be shared with the bidders.</t>
  </si>
  <si>
    <t xml:space="preserve"> Contractor found that Instrumentation PO Addendum No.1 was issued without Technical Bid Evalluation revision.
  1. Item : Control Valve (General &amp; Non-General)
  2. Original PO No. : JUS&amp;ICS2-CI-PO-0015 &amp; 0016 (Signed on 5th Sep, 2024)
  3. PO Addendum No.1 Issue Date : 12th Dec, 2024 (for Oxygen service)
  4. Technical Bid Evalluation No. : JUS&amp;ICS2-CI-TBE-0015 &amp; 0016 (Issued on 12th Nov, 2024)
  5. TBE Rev.00 was issued with the ARAMCO's comments on the Oxygen Valve still pending resolution</t>
  </si>
  <si>
    <t>Contractor found that The raw material used to Manufacture the wrought fitting exceeded the sulfur content limit specified in the project requirements.
 1. Vendor Name : ERNE Fitting (MFR # 30005383)
 2. Violation Details for Sulfur Contents (%)
     * Requirement in 02-SAMSS-005 : Shall not exceed 0.003%
     * Actual Contents in MTC : Below table</t>
  </si>
  <si>
    <t>Tag no. : 861-B-6106, 862-B-6206A, 869-400-B-6906, 869-500-B-6906 (Analyzer Shelter)
It was submitted that In-Process inspection would be carried out at an unapproved location. 1. Notified location : No. 282, Qingwei Road, Qingcun Town, Fengxian District, Shanghai (Shanghai Qianyi Industrial Co., Ltd) 2. Approved location : No. 4528, Kangxin Road, Shanghai (ABB ENGINEERING (SHANGHAI) LTD - MFR no_30005668)</t>
  </si>
  <si>
    <t>IL No. : 107000292139,  Cladtek Arabia KSA, Item: Clad Piping,  Item No.: Line Item No. 390 (Ident Code: M361761213 / Vendor Internal Code : CA98-WO-039-00004 ),  Item Description: CS API-5L-BM-PSL2 SAWL w/100% RT BE B36.10M N06625 CLADDING Sour 68 inch, 1.125". 
During witnessing of repair welding after CRA at Cladtek, using Approved WPS CA098-WPS-001I, the following observations/non-conformities were noted:
1. Discrepancy with the WPS
(1) Welding Position (QW-405): The WPS specifies that repair welding shall be performed in the flat (1G) position by rotating the pipe. However, the welder performed welding in a fixed 5G position, carrying out repairs from inside the pipe in multiple orientations (overhead, vertical, and horizontal).
(2) Amperage Range (QW-409): The WPS specifies a maximum of 140 Amps, whereas the welder used 151 Amps.
2. CRA Weld Defects: On the same pipe (CA98-WO-039-00004), after completion of CRA welding, several unusual visual defects/Pin holes and uncladded areas were observed (see the attached images).</t>
  </si>
  <si>
    <t>It has been identified that instrument cable tray clamps supplied by ABAHSAIN COPE (ID 30005833) under PO JUS-ICS2-CI-PO-0042 do not  comply with the approved project specifications, NEMA VE 1 and 2, and design drawings (VD-CI0042-102 Rev. C). The clamps were suppl  ied with a welded construction, whereas a one-piece design was specified. In addition, Contractor did not provide cable tray’s inst  a llation and erection instruction by manufacturer which is key deliverable part of NMR-603. The contractor failed to report these d is crepancies through INCRs and accepted the release of material despite non-conformities, which violates Schedule Q para. 7.5.3, S A E P-1151 10.2, and the contractor’s Quality Plan 8.7.3 (JUS-ICS2-PM-PD-6001 Rev.00). As per SAEP-381 5.2, these are classified a  s a m oderate violations and therefore Company NCR has been issued to investigate the root causes and implement corrective actions t o prev ent recurrence.</t>
  </si>
  <si>
    <t>균열</t>
  </si>
  <si>
    <t>IC</t>
  </si>
  <si>
    <t>MS-2110-2001-002</t>
  </si>
  <si>
    <t>MR-SH1-2000-3012-001</t>
  </si>
  <si>
    <t>MS-2110-2001-001</t>
  </si>
  <si>
    <t>MR-SH1-2000-4001-001</t>
  </si>
  <si>
    <t>MR-SH1-2000-3201-001</t>
  </si>
  <si>
    <t>MR-SH1-2135-1003-001</t>
  </si>
  <si>
    <t>SHN1-2110-2001-002-KHA-NCR-0001</t>
    <phoneticPr fontId="4" type="noConversion"/>
  </si>
  <si>
    <t>SHN1-2110-2001-001-ARV-NCR-0001</t>
    <phoneticPr fontId="4" type="noConversion"/>
  </si>
  <si>
    <t>SHN1-2110-2001-001-ENG-NCR-0001</t>
    <phoneticPr fontId="4" type="noConversion"/>
  </si>
  <si>
    <t>SHN1-2110-2001-002-IPL-NCR-0001</t>
    <phoneticPr fontId="4" type="noConversion"/>
  </si>
  <si>
    <t>SHN1-2110-2001-002-IPL-NCR-0002</t>
    <phoneticPr fontId="4" type="noConversion"/>
  </si>
  <si>
    <t>SHN1-2110-2001-002-KHA-NCR-0002</t>
    <phoneticPr fontId="4" type="noConversion"/>
  </si>
  <si>
    <t>SHN1-2110-2001-002-IPL-NCR-0003</t>
    <phoneticPr fontId="4" type="noConversion"/>
  </si>
  <si>
    <t>SHN1-2110-2001-002-IPL-NCR-0004</t>
    <phoneticPr fontId="4" type="noConversion"/>
  </si>
  <si>
    <t>SHN1-2110-2001-001-JZH-NCR-0001</t>
    <phoneticPr fontId="4" type="noConversion"/>
  </si>
  <si>
    <t>SHN1-2110-2001-002-IPL-NCR-0005</t>
    <phoneticPr fontId="4" type="noConversion"/>
  </si>
  <si>
    <t>SHN1-2110-2001-002-IPL-NCR-0006</t>
    <phoneticPr fontId="4" type="noConversion"/>
  </si>
  <si>
    <t>SHN1-2000-3012-001-EUR-NCR-0001</t>
    <phoneticPr fontId="4" type="noConversion"/>
  </si>
  <si>
    <t>SHN1-2000-4001-001-YKO-NCR-0001</t>
    <phoneticPr fontId="4" type="noConversion"/>
  </si>
  <si>
    <t>SHN1-2000-3201-001-KDA-NCR-0001</t>
    <phoneticPr fontId="4" type="noConversion"/>
  </si>
  <si>
    <t>SHN1-2135-1003-001-DIQ-NCR-0001</t>
    <phoneticPr fontId="4" type="noConversion"/>
  </si>
  <si>
    <t>Arvos</t>
  </si>
  <si>
    <t>Convection Module &amp; GTE Duct</t>
  </si>
  <si>
    <t>JNK Heaters</t>
  </si>
  <si>
    <t>I-Plant</t>
  </si>
  <si>
    <t xml:space="preserve">Europower </t>
  </si>
  <si>
    <t>PCS (Process Control System)</t>
  </si>
  <si>
    <t>Radiant Module
(Steel structure)</t>
  </si>
  <si>
    <t>KHAN Plant
(KIC)</t>
  </si>
  <si>
    <t>Transfer Line Exchanger</t>
  </si>
  <si>
    <t>Lummus</t>
  </si>
  <si>
    <t>Radiant Coil
(Gas Heater)</t>
  </si>
  <si>
    <t>Engemasa</t>
  </si>
  <si>
    <t>Radiant Module</t>
  </si>
  <si>
    <t>KHAN Plant</t>
  </si>
  <si>
    <t>Burners</t>
  </si>
  <si>
    <t>AD / DC UPS with Battery</t>
  </si>
  <si>
    <t>Yokogawa Electric Korea</t>
  </si>
  <si>
    <t>Communication System</t>
  </si>
  <si>
    <t>Kukdong Automation</t>
  </si>
  <si>
    <t>Cooling Tower</t>
  </si>
  <si>
    <t>Daeil Aqua</t>
  </si>
  <si>
    <t xml:space="preserve">It’s observed that painting color for steel structure is wrongly applied with Blue gray instead of gray (Munsell No. N-6) and
mosf of them have been installed for back to back module (H-211103 &amp; 04) at KHAN Plant </t>
  </si>
  <si>
    <t>During inspection before PWHT, the dimension “F” as per dimensional check found out of tolearance by 2mm</t>
  </si>
  <si>
    <t>It was found that items 222014 and 222015, SMLs Pipe OD 60.3 x 3.9 x 604 &amp; 814 mm, were thicker than specified, revealing to
be schedule 80 instead of schedule 40 as requested on material list of S-Oil Shaheen Project.
222014 (ASTM A312 TP347H) :
204 pcs - 192 + 12 (spares) pcs
222015 (ASTM A312 TP347H) :
204 pcs - 192 + 12 (spares) pcs</t>
  </si>
  <si>
    <t>It’s observed that Intermediate heat treatment have not been applied on weld joint between manifold pipe (SA335 P91) to weldolet
(SA335 F91) as per ASME SEC.I PW 38.8
- Item : H211101 ~ H211104 /
USSH Outlet Pipe</t>
  </si>
  <si>
    <t>During material receiving inspection and pre-assembly, it’s observed that the strainer on cross over can’t be assembled because thickness of intermediate wall on concentric reducer
(Item No. 123506 &amp; 223506 /
O.D 273.1 x 15.08 &amp; O.D 219.1 x 8.18)
where strainer support
(Item No. 123508 &amp; 223508)
to be inserted is thick and various.
- Reducer - Q’ty : 80 ea
(8 x 10 Heaters) / Heat No. : I69722
- Strainer - Q’ty : 80 ea
(8 x 10 Heaters) / Heat No. : E71K</t>
  </si>
  <si>
    <t>During document review on refractory lining (castable) for peep door for H-211104,
it’s observed that water and casing temperature were lower than spec. requirement
(SHAHEEN-COM-ML-SPC-0010 Para. 5.3.10)
as following;</t>
  </si>
  <si>
    <t>During material receiving inspection and pre-assembly for convection module
(CM-01 for 8 Liquid Heaters),
it’s observed that
1. the clearance between ITS (Part No. 131002) and support guide is not designed so that it can’t be assembled
2. the clearance between ITS (Part No. 131002) and support bracket (Part No. 123006) spacing between was designed with 1mm gap.
In addition, the cast support brackets were fabricated smaller than the drawing so that ITS can’t be installed.
For the detail, please find attached investigation reports describing measuring result.</t>
  </si>
  <si>
    <t>During material receiving inspection and pre-assembly for convection module
(CM-01 for 8 Liquid Heaters),
it’s observed that Interference between upper ITS (Part No. 131002) and lower ITS
(Part No. 131001) is made against design value with 11mm,
because the supplied ITS is thicker than drawing, also surface condition is irregular and bent outward.
For the detail, please find attached investigation reports describing measuring result.</t>
  </si>
  <si>
    <t xml:space="preserve">During receiving inspection, it was found that two(2ea) burners for H-211107 are wrongly fabricated and delivered.
1) External : Lighting port/Pilot/Sight port locations are rotated about 45 degree from the drawing. 
2) Internal : Turning vane angle is rotated about 45 degree from the drawing. </t>
  </si>
  <si>
    <t>During castable lining inspection after dry out (visual &amp; hammering inspection), cracks which is out of tolerance are observed at 2 (two) different location as following;</t>
  </si>
  <si>
    <t xml:space="preserve">It was found that the welder used an tungsten electrode type that is not conformed to the WPS for RT repair works.
-WPS : Tungsten Electrode Type - EWTh-2 
-Actual use : EWTh-2 + Non identified steel + EWTh-2 
-Applicable repair joint no.: H211106 CM-01, LMP #1-C1, #4-C2, Defect is Incomplete Penetration </t>
  </si>
  <si>
    <t>1. Compared to the quantity of MCCB or other components (TB.Bus-bar, etc…) the PANEL size has been designed too small and component are congested due to the space limit inside the panel.
→It causes the limitation of access to each component or major Maintenance part of the Panel.
2. Two Terminal blocks are installed too close to the bottom entrance with no enough clearance secured and it is deemed to causes the limit of access during the site termination and Maintenance</t>
  </si>
  <si>
    <t>Fabrication of the Process Control System (PCS) began on August 6, 2024, before the Pre-Inspection Meeting (PIM), which was conducted 
on December 2, 2024, contrary to project requirements.</t>
  </si>
  <si>
    <t>The components installed in the listed cabinets for Communication System  have been procured from the restricted country; China.</t>
  </si>
  <si>
    <t>Fast Ball Oil Pump(Supplied by Graco) / Part No. : BST-77900903 / Tag No. : P-213511(Air operated pump)
It was observed that the fast ball oil pump was assembled in a Graco factory in China with global component.
Vendor is not possible to present original material mill certificate.</t>
  </si>
  <si>
    <t>처리분류</t>
    <phoneticPr fontId="4" type="noConversion"/>
  </si>
  <si>
    <t>VIRB 제출 필요</t>
  </si>
  <si>
    <t>복구 공사로 VO 발주시 IRC % 수정 예정</t>
  </si>
  <si>
    <t>Fuel Gas Compressor Package</t>
  </si>
  <si>
    <t>Air Compressor</t>
  </si>
  <si>
    <t>Shipping Pump</t>
  </si>
  <si>
    <t>Centrifugal Pump (BB)</t>
  </si>
  <si>
    <t>Centrifugal Pump (VS)</t>
  </si>
  <si>
    <t>Sealless Pump</t>
  </si>
  <si>
    <t>Submersible Pump</t>
  </si>
  <si>
    <t>Rotary Pump</t>
  </si>
  <si>
    <t>Progressive Cavity Pump</t>
  </si>
  <si>
    <t>Air Operated Diaphragm Pump</t>
  </si>
  <si>
    <t>Fire Water Pump Package</t>
  </si>
  <si>
    <t>Seawater Intake System</t>
  </si>
  <si>
    <t>Reactor Clarifier</t>
  </si>
  <si>
    <t>Electrochlorination System</t>
  </si>
  <si>
    <t>Potable Water Generation Package</t>
  </si>
  <si>
    <t>Polymer Makeup System Package</t>
  </si>
  <si>
    <t>Sewage Treatment Pakcage</t>
  </si>
  <si>
    <t>CPI &amp; Oil Skimmer</t>
  </si>
  <si>
    <t>Centrifuge System</t>
  </si>
  <si>
    <t>Goliath Gantry Crane</t>
  </si>
  <si>
    <t>Crane &amp; Hoist</t>
  </si>
  <si>
    <t>Truck Scale</t>
  </si>
  <si>
    <t>Fuel Dispenser Unit</t>
  </si>
  <si>
    <t>Workshop Equipment</t>
  </si>
  <si>
    <t>Elevator</t>
  </si>
  <si>
    <t>Fire Fighting Equipment</t>
  </si>
  <si>
    <t>Vessel</t>
  </si>
  <si>
    <t>Filter Package</t>
  </si>
  <si>
    <t>Vacuum Deaeration Package</t>
  </si>
  <si>
    <t>Nitrogen Package</t>
  </si>
  <si>
    <t>Storage Tank (AWWA D103)</t>
  </si>
  <si>
    <t>Storage Tank (API 650)</t>
  </si>
  <si>
    <t>GRP Tank</t>
  </si>
  <si>
    <t>Static Mixer</t>
  </si>
  <si>
    <t>Strainer</t>
  </si>
  <si>
    <t>Vent Stack</t>
  </si>
  <si>
    <t>Pig Launcher</t>
  </si>
  <si>
    <t>Air Eliminator</t>
  </si>
  <si>
    <t>Geodesik Cover</t>
  </si>
  <si>
    <t>Carbon deodorizer</t>
  </si>
  <si>
    <t>Electric Heater</t>
  </si>
  <si>
    <t>Calcite Filter</t>
  </si>
  <si>
    <t>Penstock &amp; Stopgate</t>
  </si>
  <si>
    <t>GRV Piping</t>
  </si>
  <si>
    <t>Chemical Injection Fitting</t>
  </si>
  <si>
    <t>Oil Stop Valve</t>
  </si>
  <si>
    <t>HVAC Equipment (HVAC Control 포함)</t>
  </si>
  <si>
    <t>33kV GIS</t>
  </si>
  <si>
    <t>HV SWGR/MCC, Bus duct</t>
  </si>
  <si>
    <t>LV SWGR/MCC, Bus duct</t>
  </si>
  <si>
    <t>UPS &amp; DC System</t>
  </si>
  <si>
    <t>Elec. Heat Tracing System</t>
  </si>
  <si>
    <t>Fire Alarm System</t>
  </si>
  <si>
    <t>Cable Tray</t>
  </si>
  <si>
    <t>LCS &amp; Junction Box</t>
  </si>
  <si>
    <t>Power &amp; Control Cable</t>
  </si>
  <si>
    <t>Signal Cable</t>
  </si>
  <si>
    <t>Cable Gland</t>
  </si>
  <si>
    <t>Conduit &amp; Fitting</t>
  </si>
  <si>
    <t>Electrical Bulk Material</t>
  </si>
  <si>
    <t>Telecommunication System</t>
  </si>
  <si>
    <t>Integrated Control &amp; Safety System (ICSS)</t>
  </si>
  <si>
    <t>Machine Condition Monitoring System (MCMS)</t>
  </si>
  <si>
    <t>Leak Detection System</t>
  </si>
  <si>
    <t>Analyser System with Shelter</t>
  </si>
  <si>
    <t>On-Off Valve and MOV (Ball)</t>
  </si>
  <si>
    <t>On-Off Valve (Solenoid)</t>
  </si>
  <si>
    <t>On-Off Valve and MOV (Butterfly)</t>
  </si>
  <si>
    <t>MOV (Plug)</t>
  </si>
  <si>
    <t>MOV (Butterfly, 600# FBE)</t>
  </si>
  <si>
    <t>Pressure Safety Valve and Rupture Disk</t>
  </si>
  <si>
    <t>Active Check Valve</t>
  </si>
  <si>
    <t>Local Gauge</t>
  </si>
  <si>
    <t>Flow Element</t>
  </si>
  <si>
    <t>Level Instrument and Level Switch</t>
  </si>
  <si>
    <t>Level Gauge</t>
  </si>
  <si>
    <t>Gas Detector, Horn and Beacon</t>
  </si>
  <si>
    <t xml:space="preserve">Instrument Cable   </t>
  </si>
  <si>
    <t>Instrument Cable Tray</t>
  </si>
  <si>
    <t>Instrument Juntion Box</t>
  </si>
  <si>
    <t>Instrument Cable Gland</t>
  </si>
  <si>
    <t>Instrument Tube &amp; Fitting</t>
  </si>
  <si>
    <t>Instrument Pipe &amp; Fitting</t>
  </si>
  <si>
    <t>Instrument Conduit &amp; Fitting</t>
  </si>
  <si>
    <t>Laboratory Equipment</t>
  </si>
  <si>
    <t>Fabricated Structural Steel for Pre-Shutdown &amp; Shutdown</t>
  </si>
  <si>
    <t>Storage Tank</t>
  </si>
  <si>
    <t>LNG Loading Arm</t>
  </si>
  <si>
    <t>Condensate Loading Hose &amp; Hose Reel</t>
  </si>
  <si>
    <t>Telescopic Knuckle Boom Crane</t>
  </si>
  <si>
    <t>Sea Water Intake Pump</t>
  </si>
  <si>
    <t>Non-API Pump</t>
  </si>
  <si>
    <t>Between Bearing Pump</t>
  </si>
  <si>
    <t>Steam Turbine Generator (YOC → SOC)</t>
  </si>
  <si>
    <t>Gas Turbine Generator (YOC → SOC)</t>
  </si>
  <si>
    <t>Air Cooled Vacuum Steam Condenser Package (YOC → SOC)</t>
  </si>
  <si>
    <t>Sea Water Intake Chlorination Unit</t>
  </si>
  <si>
    <t>Highly Demineralized Water Generation Package &amp; Blowdown Neutralization Package</t>
  </si>
  <si>
    <t>Heat Recovery Steam Generator (HRSG)</t>
  </si>
  <si>
    <t>Pig Receiver</t>
  </si>
  <si>
    <t>Pipeline Valves</t>
  </si>
  <si>
    <t>Hydrocarbon Sensing Valves (Spill Stop Valve)</t>
  </si>
  <si>
    <t>Pipeline Pipes and Fittings</t>
  </si>
  <si>
    <t>Steam Conditioning Valves with Dump Tube</t>
  </si>
  <si>
    <t>On-Off Valves (Gate)</t>
  </si>
  <si>
    <t>Pilot Actuated Butterfly Valves</t>
  </si>
  <si>
    <t>Chemicals</t>
  </si>
  <si>
    <r>
      <t xml:space="preserve">IDR 작성/제출 </t>
    </r>
    <r>
      <rPr>
        <sz val="10"/>
        <color rgb="FFFF0000"/>
        <rFont val="현대하모니 L"/>
        <family val="1"/>
        <charset val="129"/>
      </rPr>
      <t>완료</t>
    </r>
    <r>
      <rPr>
        <sz val="10"/>
        <color theme="1"/>
        <rFont val="현대하모니 L"/>
        <family val="1"/>
        <charset val="129"/>
      </rPr>
      <t>, VIRB 제출</t>
    </r>
    <r>
      <rPr>
        <sz val="10"/>
        <color rgb="FFFF0000"/>
        <rFont val="현대하모니 L"/>
        <family val="1"/>
        <charset val="129"/>
      </rPr>
      <t>완료 / 서류 종료 26.03</t>
    </r>
    <phoneticPr fontId="15" type="noConversion"/>
  </si>
  <si>
    <r>
      <t>IDR 제출완료/VIRB 제출</t>
    </r>
    <r>
      <rPr>
        <sz val="10"/>
        <color rgb="FFFF0000"/>
        <rFont val="현대하모니 L"/>
        <family val="1"/>
        <charset val="129"/>
      </rPr>
      <t>완료</t>
    </r>
    <r>
      <rPr>
        <sz val="10"/>
        <color theme="1"/>
        <rFont val="현대하모니 L"/>
        <family val="1"/>
        <charset val="129"/>
      </rPr>
      <t xml:space="preserve"> / 서류 종료 예상시기 26.0</t>
    </r>
    <r>
      <rPr>
        <sz val="10"/>
        <color rgb="FFFF0000"/>
        <rFont val="현대하모니 L"/>
        <family val="1"/>
        <charset val="129"/>
      </rPr>
      <t>3</t>
    </r>
    <phoneticPr fontId="15" type="noConversion"/>
  </si>
  <si>
    <r>
      <t xml:space="preserve">IDR 필요없음 (Inspection Level 3) / AET Procedure 발주처 </t>
    </r>
    <r>
      <rPr>
        <sz val="10"/>
        <color rgb="FFFF0000"/>
        <rFont val="현대하모니 L"/>
        <family val="1"/>
        <charset val="129"/>
      </rPr>
      <t>승인 완료</t>
    </r>
    <r>
      <rPr>
        <sz val="10"/>
        <color theme="1"/>
        <rFont val="현대하모니 L"/>
        <family val="1"/>
        <charset val="129"/>
      </rPr>
      <t xml:space="preserve"> 
/ VIRB 진행 필요(현재 미접수) / 서류 종료 예상시기 26.</t>
    </r>
    <r>
      <rPr>
        <sz val="10"/>
        <color rgb="FFFF0000"/>
        <rFont val="현대하모니 L"/>
        <family val="1"/>
        <charset val="129"/>
      </rPr>
      <t>04</t>
    </r>
    <phoneticPr fontId="15" type="noConversion"/>
  </si>
  <si>
    <r>
      <rPr>
        <sz val="10"/>
        <rFont val="현대하모니 L"/>
        <family val="1"/>
        <charset val="129"/>
      </rPr>
      <t xml:space="preserve">IDR 작성/제출 필요, </t>
    </r>
    <r>
      <rPr>
        <sz val="10"/>
        <color rgb="FFFF0000"/>
        <rFont val="현대하모니 L"/>
        <family val="1"/>
        <charset val="129"/>
      </rPr>
      <t xml:space="preserve">VIRB 접수(26.04.08) </t>
    </r>
    <r>
      <rPr>
        <sz val="10"/>
        <rFont val="현대하모니 L"/>
        <family val="1"/>
        <charset val="129"/>
      </rPr>
      <t>/ 서류 종료 예상시기 26.04</t>
    </r>
    <phoneticPr fontId="15" type="noConversion"/>
  </si>
  <si>
    <r>
      <t xml:space="preserve">IRC Filter Vessel 12/22일 발행 완료 / </t>
    </r>
    <r>
      <rPr>
        <sz val="10"/>
        <color rgb="FFFF0000"/>
        <rFont val="현대하모니 L"/>
        <family val="1"/>
        <charset val="129"/>
      </rPr>
      <t>Skid 4/16 발행 예정</t>
    </r>
    <phoneticPr fontId="15" type="noConversion"/>
  </si>
  <si>
    <t>FLARE GAS RECOVERY PACKAGE</t>
    <phoneticPr fontId="15" type="noConversion"/>
  </si>
  <si>
    <r>
      <t>MS02</t>
    </r>
    <r>
      <rPr>
        <sz val="10"/>
        <color theme="1"/>
        <rFont val="맑은 고딕"/>
        <family val="1"/>
        <charset val="129"/>
      </rPr>
      <t>5</t>
    </r>
    <phoneticPr fontId="15" type="noConversion"/>
  </si>
  <si>
    <t>EQUIPMENT PLATFORM &amp; LADDER</t>
    <phoneticPr fontId="15" type="noConversion"/>
  </si>
  <si>
    <t>ISOLATED SUPPORT</t>
    <phoneticPr fontId="15" type="noConversion"/>
  </si>
  <si>
    <r>
      <rPr>
        <sz val="10"/>
        <color rgb="FFFF0000"/>
        <rFont val="현대하모니 L"/>
        <family val="1"/>
        <charset val="129"/>
      </rPr>
      <t>100%</t>
    </r>
    <r>
      <rPr>
        <sz val="10"/>
        <color theme="1"/>
        <rFont val="현대하모니 L"/>
        <family val="1"/>
        <charset val="129"/>
      </rPr>
      <t xml:space="preserve">
100%</t>
    </r>
    <phoneticPr fontId="15" type="noConversion"/>
  </si>
  <si>
    <r>
      <rPr>
        <sz val="10"/>
        <color theme="1"/>
        <rFont val="Calibri"/>
        <family val="2"/>
      </rPr>
      <t xml:space="preserve">VIRB </t>
    </r>
    <r>
      <rPr>
        <sz val="10"/>
        <color theme="1"/>
        <rFont val="현대하모니 L"/>
        <family val="2"/>
        <charset val="129"/>
      </rPr>
      <t>진행필요</t>
    </r>
    <r>
      <rPr>
        <sz val="10"/>
        <color theme="1"/>
        <rFont val="Calibri"/>
        <family val="2"/>
      </rPr>
      <t xml:space="preserve"> / IDR </t>
    </r>
    <r>
      <rPr>
        <sz val="10"/>
        <color theme="1"/>
        <rFont val="현대하모니 L"/>
        <family val="2"/>
        <charset val="129"/>
      </rPr>
      <t>작성필요 (</t>
    </r>
    <r>
      <rPr>
        <sz val="10"/>
        <color theme="1"/>
        <rFont val="Calibri"/>
        <family val="2"/>
      </rPr>
      <t>Inspection Level 1 item)</t>
    </r>
    <phoneticPr fontId="15" type="noConversion"/>
  </si>
  <si>
    <r>
      <t xml:space="preserve">VIRB 진행필요 / IDR 필요없음(IL 3)
</t>
    </r>
    <r>
      <rPr>
        <sz val="10"/>
        <color rgb="FFFF0000"/>
        <rFont val="현대하모니 L"/>
        <family val="1"/>
        <charset val="129"/>
      </rPr>
      <t>Auto Coupling의 adaptor 추가 제작 5월 검사 예정</t>
    </r>
    <phoneticPr fontId="15" type="noConversion"/>
  </si>
  <si>
    <t>SIDE ENTRY MIXER</t>
    <phoneticPr fontId="15" type="noConversion"/>
  </si>
  <si>
    <t>SEA WATER BOOSER PUMP</t>
    <phoneticPr fontId="15" type="noConversion"/>
  </si>
  <si>
    <t>LV SWGR</t>
    <phoneticPr fontId="15" type="noConversion"/>
  </si>
  <si>
    <t>Power Monitoring System (PMS)</t>
    <phoneticPr fontId="15" type="noConversion"/>
  </si>
  <si>
    <t>COOLING TOWER</t>
    <phoneticPr fontId="15" type="noConversion"/>
  </si>
  <si>
    <t>33kv Power and Control cable with accessories</t>
    <phoneticPr fontId="15" type="noConversion"/>
  </si>
  <si>
    <t>LABORATORY EQUIPMENT</t>
    <phoneticPr fontId="15" type="noConversion"/>
  </si>
  <si>
    <t>LABORATORY EQUIPMENT (GC)</t>
    <phoneticPr fontId="15" type="noConversion"/>
  </si>
  <si>
    <t>Steam Turbine Gnerator PKG</t>
    <phoneticPr fontId="15" type="noConversion"/>
  </si>
  <si>
    <t>ANALYZER SYSTEM (INCLUDING CEMS)</t>
    <phoneticPr fontId="15" type="noConversion"/>
  </si>
  <si>
    <r>
      <t xml:space="preserve">Chamber는 Level 0이나, FAT는 시공사 TPI witness 필요, </t>
    </r>
    <r>
      <rPr>
        <sz val="10"/>
        <color rgb="FFFF0000"/>
        <rFont val="현대하모니 L"/>
        <family val="1"/>
        <charset val="129"/>
      </rPr>
      <t>검사 진행 중 - 4/10, 4/20</t>
    </r>
    <phoneticPr fontId="15" type="noConversion"/>
  </si>
  <si>
    <r>
      <rPr>
        <sz val="10"/>
        <color theme="1"/>
        <rFont val="현대하모니 L"/>
        <family val="1"/>
        <charset val="129"/>
      </rPr>
      <t>IDR 완료 /</t>
    </r>
    <r>
      <rPr>
        <sz val="10"/>
        <color rgb="FFFF0000"/>
        <rFont val="현대하모니 L"/>
        <family val="1"/>
        <charset val="129"/>
      </rPr>
      <t xml:space="preserve"> VIRB 제출 필요</t>
    </r>
    <phoneticPr fontId="15" type="noConversion"/>
  </si>
  <si>
    <t>TELECOM SYSTEM</t>
    <phoneticPr fontId="15" type="noConversion"/>
  </si>
  <si>
    <t>TELECOM SYSTEM (NON-IT)</t>
    <phoneticPr fontId="15" type="noConversion"/>
  </si>
  <si>
    <t>SECURITY SYSTEM</t>
    <phoneticPr fontId="15" type="noConversion"/>
  </si>
  <si>
    <r>
      <t>3개 PO 분리 발주</t>
    </r>
    <r>
      <rPr>
        <sz val="10"/>
        <color rgb="FFFF0000"/>
        <rFont val="맑은 고딕"/>
        <family val="3"/>
        <charset val="129"/>
      </rPr>
      <t xml:space="preserve"> (1개 P.O IDR 제출)</t>
    </r>
    <phoneticPr fontId="15" type="noConversion"/>
  </si>
  <si>
    <r>
      <t>4개 PO 분리 발주, Sub-P.O 3개</t>
    </r>
    <r>
      <rPr>
        <sz val="10"/>
        <color rgb="FFFF0000"/>
        <rFont val="맑은 고딕"/>
        <family val="3"/>
        <charset val="129"/>
      </rPr>
      <t>(2개 P.O &amp; 2개 Sub P.O IDR 제출)</t>
    </r>
    <phoneticPr fontId="15" type="noConversion"/>
  </si>
  <si>
    <r>
      <t>594</t>
    </r>
    <r>
      <rPr>
        <sz val="10"/>
        <color rgb="FFFF0000"/>
        <rFont val="맑은 고딕"/>
        <family val="1"/>
        <charset val="129"/>
      </rPr>
      <t>71</t>
    </r>
    <r>
      <rPr>
        <sz val="10"/>
        <color rgb="FFFF0000"/>
        <rFont val="현대하모니 L"/>
        <family val="1"/>
        <charset val="129"/>
      </rPr>
      <t>.</t>
    </r>
    <r>
      <rPr>
        <sz val="10"/>
        <color rgb="FFFF0000"/>
        <rFont val="맑은 고딕"/>
        <family val="1"/>
        <charset val="129"/>
      </rPr>
      <t>83</t>
    </r>
    <r>
      <rPr>
        <sz val="10"/>
        <color rgb="FFFF0000"/>
        <rFont val="현대하모니 L"/>
        <family val="1"/>
        <charset val="129"/>
      </rPr>
      <t xml:space="preserve"> m</t>
    </r>
    <phoneticPr fontId="15" type="noConversion"/>
  </si>
  <si>
    <r>
      <rPr>
        <sz val="10"/>
        <color rgb="FFFF0000"/>
        <rFont val="맑은 고딕"/>
        <family val="1"/>
        <charset val="129"/>
      </rPr>
      <t>411</t>
    </r>
    <r>
      <rPr>
        <sz val="10"/>
        <color rgb="FFFF0000"/>
        <rFont val="현대하모니 L"/>
        <family val="1"/>
        <charset val="129"/>
      </rPr>
      <t>.7 m/ea</t>
    </r>
    <phoneticPr fontId="15" type="noConversion"/>
  </si>
  <si>
    <r>
      <t xml:space="preserve">Sub P.O </t>
    </r>
    <r>
      <rPr>
        <sz val="10"/>
        <color rgb="FFFF0000"/>
        <rFont val="맑은 고딕"/>
        <family val="3"/>
        <charset val="129"/>
      </rPr>
      <t>4</t>
    </r>
    <r>
      <rPr>
        <sz val="10"/>
        <color theme="1"/>
        <rFont val="현대하모니 L"/>
        <family val="1"/>
        <charset val="129"/>
      </rPr>
      <t>개</t>
    </r>
    <r>
      <rPr>
        <sz val="10"/>
        <color rgb="FFFF0000"/>
        <rFont val="맑은 고딕"/>
        <family val="3"/>
        <charset val="129"/>
      </rPr>
      <t>(Sub P.O 3개 IDR 제출)</t>
    </r>
    <phoneticPr fontId="15" type="noConversion"/>
  </si>
  <si>
    <r>
      <t>8</t>
    </r>
    <r>
      <rPr>
        <sz val="10"/>
        <color rgb="FFFF0000"/>
        <rFont val="맑은 고딕"/>
        <family val="1"/>
        <charset val="129"/>
      </rPr>
      <t>8019</t>
    </r>
    <r>
      <rPr>
        <sz val="10"/>
        <color rgb="FFFF0000"/>
        <rFont val="현대하모니 L"/>
        <family val="1"/>
        <charset val="129"/>
      </rPr>
      <t xml:space="preserve"> m/ea</t>
    </r>
    <phoneticPr fontId="15" type="noConversion"/>
  </si>
  <si>
    <r>
      <t>438</t>
    </r>
    <r>
      <rPr>
        <sz val="10"/>
        <color rgb="FFFF0000"/>
        <rFont val="맑은 고딕"/>
        <family val="1"/>
        <charset val="129"/>
      </rPr>
      <t>20</t>
    </r>
    <r>
      <rPr>
        <sz val="10"/>
        <color rgb="FFFF0000"/>
        <rFont val="현대하모니 L"/>
        <family val="1"/>
        <charset val="129"/>
      </rPr>
      <t xml:space="preserve"> ea</t>
    </r>
    <phoneticPr fontId="15" type="noConversion"/>
  </si>
  <si>
    <r>
      <t>3개 PO 분리 발주, Sub-P.O 1개</t>
    </r>
    <r>
      <rPr>
        <sz val="10"/>
        <color rgb="FFFF0000"/>
        <rFont val="맑은 고딕"/>
        <family val="3"/>
        <charset val="129"/>
      </rPr>
      <t>(Sub P.O 1개 IDR 제출)</t>
    </r>
    <phoneticPr fontId="15" type="noConversion"/>
  </si>
  <si>
    <r>
      <rPr>
        <sz val="10"/>
        <color rgb="FFFF0000"/>
        <rFont val="현대하모니 L"/>
        <family val="1"/>
        <charset val="129"/>
      </rPr>
      <t>21</t>
    </r>
    <r>
      <rPr>
        <sz val="10"/>
        <color rgb="FFFF0000"/>
        <rFont val="맑은 고딕"/>
        <family val="1"/>
        <charset val="129"/>
      </rPr>
      <t>6</t>
    </r>
    <r>
      <rPr>
        <sz val="10"/>
        <color theme="1"/>
        <rFont val="현대하모니 L"/>
        <family val="1"/>
        <charset val="129"/>
      </rPr>
      <t xml:space="preserve"> ea</t>
    </r>
    <phoneticPr fontId="15" type="noConversion"/>
  </si>
  <si>
    <r>
      <rPr>
        <sz val="10"/>
        <color rgb="FFFF0000"/>
        <rFont val="현대하모니 L"/>
        <family val="1"/>
        <charset val="129"/>
      </rPr>
      <t>6</t>
    </r>
    <r>
      <rPr>
        <sz val="10"/>
        <color rgb="FFFF0000"/>
        <rFont val="맑은 고딕"/>
        <family val="1"/>
        <charset val="129"/>
      </rPr>
      <t>2025</t>
    </r>
    <r>
      <rPr>
        <sz val="10"/>
        <color theme="1"/>
        <rFont val="현대하모니 L"/>
        <family val="1"/>
        <charset val="129"/>
      </rPr>
      <t xml:space="preserve"> ea</t>
    </r>
    <phoneticPr fontId="15" type="noConversion"/>
  </si>
  <si>
    <r>
      <rPr>
        <sz val="10"/>
        <color rgb="FFFF0000"/>
        <rFont val="현대하모니 L"/>
        <family val="1"/>
        <charset val="129"/>
      </rPr>
      <t>40</t>
    </r>
    <r>
      <rPr>
        <sz val="10"/>
        <color rgb="FFFF0000"/>
        <rFont val="맑은 고딕"/>
        <family val="1"/>
        <charset val="129"/>
      </rPr>
      <t>5076</t>
    </r>
    <r>
      <rPr>
        <sz val="10"/>
        <color theme="1"/>
        <rFont val="현대하모니 L"/>
        <family val="1"/>
        <charset val="129"/>
      </rPr>
      <t xml:space="preserve"> ea</t>
    </r>
    <phoneticPr fontId="15" type="noConversion"/>
  </si>
  <si>
    <r>
      <rPr>
        <sz val="10"/>
        <color rgb="FFFF0000"/>
        <rFont val="현대하모니 L"/>
        <family val="1"/>
        <charset val="129"/>
      </rPr>
      <t>22</t>
    </r>
    <r>
      <rPr>
        <sz val="10"/>
        <color rgb="FFFF0000"/>
        <rFont val="맑은 고딕"/>
        <family val="1"/>
        <charset val="129"/>
      </rPr>
      <t>116</t>
    </r>
    <r>
      <rPr>
        <sz val="10"/>
        <color theme="1"/>
        <rFont val="현대하모니 L"/>
        <family val="1"/>
        <charset val="129"/>
      </rPr>
      <t xml:space="preserve"> ea</t>
    </r>
    <phoneticPr fontId="15" type="noConversion"/>
  </si>
  <si>
    <r>
      <t xml:space="preserve">Sub P.O 1개
</t>
    </r>
    <r>
      <rPr>
        <sz val="10"/>
        <color theme="1"/>
        <rFont val="맑은 고딕"/>
        <family val="3"/>
        <charset val="129"/>
      </rPr>
      <t>Oxygen Service Valve (Sub Vendor 제작분) 현장 도착한 Valve 226ea 중 49ea에서 Sealing Damage 발생함. Project 요구사항에 따라서 Sealing 되어야 하며, 문제 발생한 49ea 의 Valve는 Vendor로 반출할 예정(Italy). 추 후 재발 방지를 위한 검사 주기 확대관련 협의 진행 예정</t>
    </r>
    <phoneticPr fontId="15" type="noConversion"/>
  </si>
  <si>
    <r>
      <t>4개 PO 분리 발주</t>
    </r>
    <r>
      <rPr>
        <sz val="10"/>
        <color theme="1"/>
        <rFont val="맑은 고딕"/>
        <family val="1"/>
        <charset val="129"/>
      </rPr>
      <t>(</t>
    </r>
    <r>
      <rPr>
        <sz val="10"/>
        <color rgb="FFFF0000"/>
        <rFont val="맑은 고딕"/>
        <family val="3"/>
        <charset val="129"/>
      </rPr>
      <t>1개 P.O IDR 제출</t>
    </r>
    <r>
      <rPr>
        <sz val="10"/>
        <color theme="1"/>
        <rFont val="맑은 고딕"/>
        <family val="1"/>
        <charset val="129"/>
      </rPr>
      <t>)</t>
    </r>
    <phoneticPr fontId="15" type="noConversion"/>
  </si>
  <si>
    <r>
      <rPr>
        <sz val="10"/>
        <color rgb="FFFF0000"/>
        <rFont val="현대하모니 L"/>
        <family val="1"/>
        <charset val="129"/>
      </rPr>
      <t>2</t>
    </r>
    <r>
      <rPr>
        <sz val="10"/>
        <color rgb="FFFF0000"/>
        <rFont val="맑은 고딕"/>
        <family val="1"/>
        <charset val="129"/>
      </rPr>
      <t>69</t>
    </r>
    <r>
      <rPr>
        <sz val="10"/>
        <color rgb="FFFF0000"/>
        <rFont val="현대하모니 L"/>
        <family val="1"/>
        <charset val="129"/>
      </rPr>
      <t>9</t>
    </r>
    <r>
      <rPr>
        <sz val="10"/>
        <color theme="1"/>
        <rFont val="현대하모니 L"/>
        <family val="1"/>
        <charset val="129"/>
      </rPr>
      <t xml:space="preserve"> ea</t>
    </r>
    <phoneticPr fontId="15" type="noConversion"/>
  </si>
  <si>
    <r>
      <t>3개 PO 분리 발주, Sub-P.O 1개</t>
    </r>
    <r>
      <rPr>
        <sz val="10"/>
        <color theme="1"/>
        <rFont val="맑은 고딕"/>
        <family val="1"/>
        <charset val="129"/>
      </rPr>
      <t>(</t>
    </r>
    <r>
      <rPr>
        <sz val="10"/>
        <color rgb="FFFF0000"/>
        <rFont val="맑은 고딕"/>
        <family val="3"/>
        <charset val="129"/>
      </rPr>
      <t>2개 P.O IDR 제출</t>
    </r>
    <r>
      <rPr>
        <sz val="10"/>
        <color theme="1"/>
        <rFont val="맑은 고딕"/>
        <family val="1"/>
        <charset val="129"/>
      </rPr>
      <t>)</t>
    </r>
    <phoneticPr fontId="15" type="noConversion"/>
  </si>
  <si>
    <r>
      <rPr>
        <sz val="10"/>
        <color rgb="FFFF0000"/>
        <rFont val="현대하모니 L"/>
        <family val="1"/>
        <charset val="129"/>
      </rPr>
      <t>2</t>
    </r>
    <r>
      <rPr>
        <sz val="10"/>
        <color rgb="FFFF0000"/>
        <rFont val="맑은 고딕"/>
        <family val="1"/>
        <charset val="129"/>
      </rPr>
      <t>35</t>
    </r>
    <r>
      <rPr>
        <sz val="10"/>
        <color rgb="FFFF0000"/>
        <rFont val="현대하모니 L"/>
        <family val="1"/>
        <charset val="129"/>
      </rPr>
      <t xml:space="preserve"> </t>
    </r>
    <r>
      <rPr>
        <sz val="10"/>
        <color theme="1"/>
        <rFont val="현대하모니 L"/>
        <family val="1"/>
        <charset val="129"/>
      </rPr>
      <t>ea</t>
    </r>
    <phoneticPr fontId="15" type="noConversion"/>
  </si>
  <si>
    <r>
      <rPr>
        <sz val="10"/>
        <color rgb="FFFF0000"/>
        <rFont val="현대하모니 L"/>
        <family val="1"/>
        <charset val="129"/>
      </rPr>
      <t>1</t>
    </r>
    <r>
      <rPr>
        <sz val="10"/>
        <color rgb="FFFF0000"/>
        <rFont val="맑은 고딕"/>
        <family val="1"/>
        <charset val="129"/>
      </rPr>
      <t>78</t>
    </r>
    <r>
      <rPr>
        <sz val="10"/>
        <color theme="1"/>
        <rFont val="현대하모니 L"/>
        <family val="1"/>
        <charset val="129"/>
      </rPr>
      <t xml:space="preserve"> ea</t>
    </r>
    <phoneticPr fontId="15" type="noConversion"/>
  </si>
  <si>
    <r>
      <rPr>
        <sz val="10"/>
        <color rgb="FFFF0000"/>
        <rFont val="현대하모니 L"/>
        <family val="1"/>
        <charset val="129"/>
      </rPr>
      <t>12</t>
    </r>
    <r>
      <rPr>
        <sz val="10"/>
        <color rgb="FFFF0000"/>
        <rFont val="맑은 고딕"/>
        <family val="1"/>
        <charset val="129"/>
      </rPr>
      <t>50</t>
    </r>
    <r>
      <rPr>
        <sz val="10"/>
        <color theme="1"/>
        <rFont val="현대하모니 L"/>
        <family val="1"/>
        <charset val="129"/>
      </rPr>
      <t xml:space="preserve"> ea</t>
    </r>
    <phoneticPr fontId="15" type="noConversion"/>
  </si>
  <si>
    <r>
      <t xml:space="preserve">3개 PO 분리 발주
</t>
    </r>
    <r>
      <rPr>
        <sz val="10"/>
        <color theme="1"/>
        <rFont val="Calibri"/>
        <family val="1"/>
      </rPr>
      <t xml:space="preserve">Aramco Monitoring </t>
    </r>
    <r>
      <rPr>
        <sz val="10"/>
        <color theme="1"/>
        <rFont val="맑은 고딕"/>
        <family val="1"/>
        <charset val="129"/>
      </rPr>
      <t xml:space="preserve">검사원의 </t>
    </r>
    <r>
      <rPr>
        <sz val="10"/>
        <color theme="1"/>
        <rFont val="Calibri"/>
        <family val="1"/>
      </rPr>
      <t xml:space="preserve">Comment </t>
    </r>
    <r>
      <rPr>
        <sz val="10"/>
        <color theme="1"/>
        <rFont val="맑은 고딕"/>
        <family val="1"/>
        <charset val="129"/>
      </rPr>
      <t xml:space="preserve">발생 (12건: Painting 7, 자재추적 2, PMI 1, Report 2) 으로. </t>
    </r>
    <r>
      <rPr>
        <sz val="10"/>
        <color theme="1"/>
        <rFont val="Calibri"/>
        <family val="1"/>
      </rPr>
      <t>Vendor</t>
    </r>
    <r>
      <rPr>
        <sz val="10"/>
        <color theme="1"/>
        <rFont val="맑은 고딕"/>
        <family val="1"/>
        <charset val="129"/>
      </rPr>
      <t xml:space="preserve">와 </t>
    </r>
    <r>
      <rPr>
        <sz val="10"/>
        <color theme="1"/>
        <rFont val="Calibri"/>
        <family val="1"/>
      </rPr>
      <t xml:space="preserve">Clarification </t>
    </r>
    <r>
      <rPr>
        <sz val="10"/>
        <color theme="1"/>
        <rFont val="맑은 고딕"/>
        <family val="1"/>
        <charset val="129"/>
      </rPr>
      <t>중</t>
    </r>
    <phoneticPr fontId="15" type="noConversion"/>
  </si>
  <si>
    <t>AIR COOLED CONDENSER</t>
    <phoneticPr fontId="15" type="noConversion"/>
  </si>
  <si>
    <t>EXHAUST GAS BYPASS SYSTEM</t>
    <phoneticPr fontId="15" type="noConversion"/>
  </si>
  <si>
    <t>STOP GATE</t>
    <phoneticPr fontId="15" type="noConversion"/>
  </si>
  <si>
    <r>
      <t xml:space="preserve">(VO 가능성 </t>
    </r>
    <r>
      <rPr>
        <sz val="10"/>
        <color theme="1"/>
        <rFont val="Gulim"/>
        <family val="1"/>
        <charset val="129"/>
      </rPr>
      <t>高</t>
    </r>
    <r>
      <rPr>
        <sz val="10"/>
        <color theme="1"/>
        <rFont val="현대하모니 L"/>
        <family val="1"/>
        <charset val="129"/>
      </rPr>
      <t>)</t>
    </r>
    <phoneticPr fontId="15" type="noConversion"/>
  </si>
  <si>
    <t>COMMUNICATION SYSTEM
 1 TELEPHONE &amp; LAN SYSTEM
 2 PUBLIC ADDRESS SYSTEM
 3 RADIO SYSTEM
 4 CCTV SYSTEM
 5 SLAVE CLOCK SYSTEM
 6 INSTRUSION ALARM SYSTEM
 7 UNINTERRUPTED POWER SUPPLY SYSTEM</t>
    <phoneticPr fontId="15" type="noConversion"/>
  </si>
  <si>
    <r>
      <t xml:space="preserve">Distillation column 재 제작 </t>
    </r>
    <r>
      <rPr>
        <sz val="10"/>
        <color rgb="FFFF0000"/>
        <rFont val="현대하모니 L"/>
        <family val="1"/>
        <charset val="129"/>
      </rPr>
      <t>(4/20 Pneumatic Test 및 Final Inspection 예정)</t>
    </r>
    <phoneticPr fontId="15" type="noConversion"/>
  </si>
  <si>
    <t>GTG Package</t>
    <phoneticPr fontId="9" type="noConversion"/>
  </si>
  <si>
    <t>Centrifugal Horizontal Pump</t>
    <phoneticPr fontId="15" type="noConversion"/>
  </si>
  <si>
    <t>Conveyor Package</t>
    <phoneticPr fontId="15" type="noConversion"/>
  </si>
  <si>
    <t>Submersible Mixer (Side Entry Mixer)</t>
    <phoneticPr fontId="15" type="noConversion"/>
  </si>
  <si>
    <t>Clamshell Bucket Crane</t>
    <phoneticPr fontId="15" type="noConversion"/>
  </si>
  <si>
    <t>Mobile Crane &amp; Forklift</t>
    <phoneticPr fontId="15" type="noConversion"/>
  </si>
  <si>
    <t>Gas Extinguishing System</t>
    <phoneticPr fontId="15" type="noConversion"/>
  </si>
  <si>
    <t>Hydropneumatic Tank</t>
    <phoneticPr fontId="15" type="noConversion"/>
  </si>
  <si>
    <t>HDPE Piping</t>
    <phoneticPr fontId="15" type="noConversion"/>
  </si>
  <si>
    <t>CPVC Piping</t>
    <phoneticPr fontId="15" type="noConversion"/>
  </si>
  <si>
    <t>Flame Arrestor</t>
    <phoneticPr fontId="15" type="noConversion"/>
  </si>
  <si>
    <t>Isolating Joint</t>
    <phoneticPr fontId="15" type="noConversion"/>
  </si>
  <si>
    <t>Power Transformer &amp; NGR</t>
    <phoneticPr fontId="15" type="noConversion"/>
  </si>
  <si>
    <t>Solar Power Supply System &amp; Local Equipment Room (LER)</t>
    <phoneticPr fontId="15" type="noConversion"/>
  </si>
  <si>
    <t>Distribution Substation (DSS)</t>
    <phoneticPr fontId="15" type="noConversion"/>
  </si>
  <si>
    <t>Cathodic Protection System</t>
    <phoneticPr fontId="15" type="noConversion"/>
  </si>
  <si>
    <t>Lighting System</t>
    <phoneticPr fontId="15" type="noConversion"/>
  </si>
  <si>
    <t>Power and Lighting Distribution Panel</t>
    <phoneticPr fontId="15" type="noConversion"/>
  </si>
  <si>
    <t>Earthing &amp; Lightning</t>
    <phoneticPr fontId="15" type="noConversion"/>
  </si>
  <si>
    <t>Cable Termination Kit</t>
    <phoneticPr fontId="15" type="noConversion"/>
  </si>
  <si>
    <t>Custody Transfer Metering System</t>
    <phoneticPr fontId="15" type="noConversion"/>
  </si>
  <si>
    <t>Control Valve</t>
    <phoneticPr fontId="15" type="noConversion"/>
  </si>
  <si>
    <t>Pressure Regulator</t>
    <phoneticPr fontId="15" type="noConversion"/>
  </si>
  <si>
    <t>Magnetic Flowmeter and Flow Switch</t>
    <phoneticPr fontId="15" type="noConversion"/>
  </si>
  <si>
    <t>Positive Displacement Flowmeter</t>
    <phoneticPr fontId="15" type="noConversion"/>
  </si>
  <si>
    <t>Transmitters</t>
    <phoneticPr fontId="15" type="noConversion"/>
  </si>
  <si>
    <t>Ultrasonic Flowmeter</t>
    <phoneticPr fontId="15" type="noConversion"/>
  </si>
  <si>
    <t>Instrument Block Valve, Air Manifold</t>
    <phoneticPr fontId="15" type="noConversion"/>
  </si>
  <si>
    <t>MISC bulk</t>
    <phoneticPr fontId="15" type="noConversion"/>
  </si>
  <si>
    <t>Instrument Support &amp; Consumable</t>
    <phoneticPr fontId="15" type="noConversion"/>
  </si>
  <si>
    <t>Specialty Chemicals</t>
    <phoneticPr fontId="15" type="noConversion"/>
  </si>
  <si>
    <t>Commodity Chemicals</t>
    <phoneticPr fontId="15" type="noConversion"/>
  </si>
  <si>
    <t>Chemical Anchor Bolt for Pre-Shutdown &amp; Shutdown</t>
    <phoneticPr fontId="15" type="noConversion"/>
  </si>
  <si>
    <t>Insulation Gasket Kits</t>
    <phoneticPr fontId="15" type="noConversion"/>
  </si>
  <si>
    <t>Fire Fighting Equipment</t>
    <phoneticPr fontId="15" type="noConversion"/>
  </si>
  <si>
    <t>Life Buoys</t>
    <phoneticPr fontId="15" type="noConversion"/>
  </si>
  <si>
    <t>사우디아라비아</t>
    <phoneticPr fontId="4" type="noConversion"/>
  </si>
  <si>
    <t>이라크</t>
    <phoneticPr fontId="4" type="noConversion"/>
  </si>
  <si>
    <t>대한민국</t>
    <phoneticPr fontId="4" type="noConversion"/>
  </si>
  <si>
    <t>알제리</t>
    <phoneticPr fontId="4" type="noConversion"/>
  </si>
  <si>
    <t>베트남</t>
    <phoneticPr fontId="4" type="noConversion"/>
  </si>
  <si>
    <t>파푸아뉴기니</t>
    <phoneticPr fontId="4" type="noConversion"/>
  </si>
  <si>
    <t>미국</t>
    <phoneticPr fontId="4" type="noConversion"/>
  </si>
  <si>
    <t>스페인 / 사우디아라비아</t>
    <phoneticPr fontId="4" type="noConversion"/>
  </si>
  <si>
    <t>Arconi / Misa</t>
    <phoneticPr fontId="4" type="noConversion"/>
  </si>
  <si>
    <t>대한민국/중국/미국</t>
    <phoneticPr fontId="4" type="noConversion"/>
  </si>
  <si>
    <t>대한민국</t>
    <phoneticPr fontId="9" type="noConversion"/>
  </si>
  <si>
    <t>아랍에미리트</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</si>
</sst>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_);[Red]\(0\)"/>
    <numFmt numFmtId="177" formatCode="_-* #,##0.0_-;\-* #,##0.0_-;_-* &quot;-&quot;_-;_-@_-"/>
    <numFmt numFmtId="178" formatCode="yyyy/mm"/>
    <numFmt numFmtId="179" formatCode="_-* #,##0.00_-;\-* #,##0.00_-;_-* &quot;-&quot;_-;_-@_-"/>
    <numFmt numFmtId="180" formatCode="0.0%"/>
  </numFmts>
  <fonts count="35">
    <font>
      <sz val="11"/>
      <name val="맑은 고딕"/>
    </font>
    <font>
      <b/>
      <sz val="15"/>
      <color rgb="FF0A2A5E"/>
      <name val="맑은 고딕"/>
      <family val="3"/>
      <charset val="129"/>
    </font>
    <font>
      <b/>
      <sz val="12"/>
      <color rgb="FF0A2A5E"/>
      <name val="맑은 고딕"/>
      <family val="3"/>
      <charset val="129"/>
    </font>
    <font>
      <b/>
      <sz val="10.5"/>
      <color rgb="FFFFFFFF"/>
      <name val="맑은 고딕"/>
      <family val="3"/>
      <charset val="129"/>
    </font>
    <font>
      <sz val="8"/>
      <name val="돋움"/>
      <family val="3"/>
      <charset val="129"/>
    </font>
    <font>
      <sz val="11"/>
      <name val="맑은 고딕"/>
      <family val="3"/>
      <charset val="129"/>
    </font>
    <font>
      <sz val="10"/>
      <name val="맑은 고딕"/>
      <family val="3"/>
      <charset val="129"/>
    </font>
    <font>
      <u/>
      <sz val="11"/>
      <color theme="10"/>
      <name val="맑은 고딕"/>
      <family val="3"/>
      <charset val="129"/>
    </font>
    <font>
      <sz val="10"/>
      <color theme="1"/>
      <name val="현대하모니 L"/>
      <family val="1"/>
      <charset val="129"/>
    </font>
    <font>
      <sz val="8"/>
      <name val="맑은 고딕"/>
      <family val="3"/>
      <charset val="129"/>
      <scheme val="minor"/>
    </font>
    <font>
      <sz val="11"/>
      <color rgb="FF262626"/>
      <name val="현대하모니 L"/>
      <family val="1"/>
      <charset val="129"/>
    </font>
    <font>
      <sz val="10"/>
      <color theme="1"/>
      <name val="맑은 고딕"/>
      <family val="3"/>
      <charset val="129"/>
    </font>
    <font>
      <sz val="11"/>
      <color theme="1"/>
      <name val="맑은 고딕"/>
      <family val="2"/>
      <charset val="129"/>
      <scheme val="minor"/>
    </font>
    <font>
      <sz val="10"/>
      <color theme="1"/>
      <name val="맑은 고딕"/>
      <family val="3"/>
      <charset val="129"/>
      <scheme val="minor"/>
    </font>
    <font>
      <sz val="10"/>
      <name val="현대하모니 L"/>
      <family val="1"/>
      <charset val="129"/>
    </font>
    <font>
      <sz val="8"/>
      <name val="맑은 고딕"/>
      <family val="2"/>
      <charset val="129"/>
      <scheme val="minor"/>
    </font>
    <font>
      <sz val="12"/>
      <name val="¨?oUAAA¡§u"/>
      <family val="1"/>
      <charset val="129"/>
    </font>
    <font>
      <sz val="8"/>
      <name val="맑은 고딕"/>
      <family val="3"/>
      <charset val="129"/>
    </font>
    <font>
      <sz val="11"/>
      <color theme="1"/>
      <name val="맑은 고딕"/>
      <family val="3"/>
      <charset val="129"/>
      <scheme val="minor"/>
    </font>
    <font>
      <sz val="11"/>
      <name val="돋움"/>
      <family val="3"/>
      <charset val="129"/>
    </font>
    <font>
      <sz val="6"/>
      <name val="맑은 고딕"/>
      <family val="2"/>
      <charset val="128"/>
      <scheme val="minor"/>
    </font>
    <font>
      <sz val="11"/>
      <color theme="1"/>
      <name val="맑은 고딕"/>
      <family val="2"/>
      <scheme val="minor"/>
    </font>
    <font>
      <sz val="10"/>
      <color rgb="FFFF0000"/>
      <name val="현대하모니 L"/>
      <family val="1"/>
      <charset val="129"/>
    </font>
    <font>
      <sz val="8"/>
      <color rgb="FFFF0000"/>
      <name val="현대하모니 L"/>
      <family val="1"/>
      <charset val="129"/>
    </font>
    <font>
      <sz val="10"/>
      <color rgb="FFFF0000"/>
      <name val="맑은 고딕"/>
      <family val="3"/>
      <charset val="129"/>
    </font>
    <font>
      <sz val="10"/>
      <color rgb="FF7030A0"/>
      <name val="현대하모니 L"/>
      <family val="1"/>
      <charset val="129"/>
    </font>
    <font>
      <sz val="10"/>
      <color theme="1"/>
      <name val="맑은 고딕"/>
      <family val="1"/>
      <charset val="129"/>
    </font>
    <font>
      <sz val="10"/>
      <color theme="1"/>
      <name val="현대하모니 L"/>
      <family val="2"/>
      <charset val="129"/>
    </font>
    <font>
      <sz val="10"/>
      <color theme="1"/>
      <name val="Calibri"/>
      <family val="2"/>
    </font>
    <font>
      <sz val="8"/>
      <color theme="1"/>
      <name val="현대하모니 L"/>
      <family val="1"/>
      <charset val="129"/>
    </font>
    <font>
      <sz val="10"/>
      <color theme="1"/>
      <name val="현대하모니 L"/>
      <family val="1"/>
    </font>
    <font>
      <sz val="10"/>
      <color rgb="FFFF0000"/>
      <name val="현대하모니 L"/>
      <family val="1"/>
    </font>
    <font>
      <sz val="10"/>
      <color rgb="FFFF0000"/>
      <name val="맑은 고딕"/>
      <family val="1"/>
      <charset val="129"/>
    </font>
    <font>
      <sz val="10"/>
      <color theme="1"/>
      <name val="Calibri"/>
      <family val="1"/>
    </font>
    <font>
      <sz val="10"/>
      <color theme="1"/>
      <name val="Gulim"/>
      <family val="1"/>
      <charset val="129"/>
    </font>
  </fonts>
  <fills count="6">
    <fill>
      <patternFill patternType="none"/>
    </fill>
    <fill>
      <patternFill patternType="gray125"/>
    </fill>
    <fill>
      <patternFill patternType="solid">
        <fgColor rgb="FF0A2A5E"/>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0">
    <xf numFmtId="0" fontId="0" fillId="0" borderId="0">
      <alignment vertical="center"/>
    </xf>
    <xf numFmtId="41" fontId="5" fillId="0" borderId="0" applyFont="0" applyFill="0" applyBorder="0" applyAlignment="0" applyProtection="0">
      <alignment vertical="center"/>
    </xf>
    <xf numFmtId="9" fontId="5" fillId="0" borderId="0" applyFon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0" fontId="18" fillId="0" borderId="0">
      <alignment vertical="center"/>
    </xf>
    <xf numFmtId="0" fontId="19" fillId="0" borderId="0">
      <alignment vertical="center"/>
    </xf>
    <xf numFmtId="0" fontId="19" fillId="0" borderId="0">
      <alignment vertical="center"/>
    </xf>
    <xf numFmtId="0" fontId="21" fillId="0" borderId="0"/>
  </cellStyleXfs>
  <cellXfs count="111">
    <xf numFmtId="0" fontId="0" fillId="0" borderId="0" xfId="0">
      <alignment vertical="center"/>
    </xf>
    <xf numFmtId="0" fontId="1" fillId="0" borderId="0" xfId="0" applyFont="1" applyAlignment="1"/>
    <xf numFmtId="0" fontId="2" fillId="0" borderId="0" xfId="0" applyFont="1" applyAlignment="1"/>
    <xf numFmtId="0" fontId="3" fillId="2" borderId="0" xfId="0" applyFont="1" applyFill="1" applyAlignment="1">
      <alignment horizontal="center" vertical="center" wrapText="1"/>
    </xf>
    <xf numFmtId="0" fontId="6" fillId="0" borderId="1" xfId="0" applyFont="1" applyBorder="1" applyAlignment="1">
      <alignment horizontal="center" vertical="center"/>
    </xf>
    <xf numFmtId="41" fontId="6" fillId="0" borderId="1" xfId="1" applyFont="1" applyBorder="1" applyAlignment="1">
      <alignment horizontal="center" vertical="center"/>
    </xf>
    <xf numFmtId="10" fontId="6" fillId="0" borderId="1" xfId="0" applyNumberFormat="1" applyFont="1" applyBorder="1" applyAlignment="1">
      <alignment horizontal="right" vertical="center"/>
    </xf>
    <xf numFmtId="0" fontId="6" fillId="0" borderId="1" xfId="0" applyFont="1" applyBorder="1" applyAlignment="1">
      <alignment horizontal="center" vertical="center" shrinkToFi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176" fontId="8" fillId="0" borderId="1" xfId="0" applyNumberFormat="1" applyFont="1" applyBorder="1" applyAlignment="1">
      <alignment horizontal="center" vertical="center"/>
    </xf>
    <xf numFmtId="0" fontId="8" fillId="0" borderId="1" xfId="0" quotePrefix="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shrinkToFit="1"/>
    </xf>
    <xf numFmtId="0" fontId="8" fillId="0" borderId="1" xfId="0" applyFont="1" applyBorder="1" applyAlignment="1">
      <alignment horizontal="left" vertical="center" wrapText="1"/>
    </xf>
    <xf numFmtId="0" fontId="7" fillId="0" borderId="1" xfId="3" applyBorder="1" applyAlignment="1">
      <alignment horizontal="left" vertical="center" wrapText="1"/>
    </xf>
    <xf numFmtId="0" fontId="8" fillId="0" borderId="1" xfId="0" applyFont="1" applyBorder="1" applyAlignment="1">
      <alignment horizontal="center" vertical="center" shrinkToFit="1"/>
    </xf>
    <xf numFmtId="0" fontId="8" fillId="0" borderId="1" xfId="0" quotePrefix="1" applyFont="1" applyBorder="1" applyAlignment="1">
      <alignment horizontal="left" vertical="center" wrapText="1"/>
    </xf>
    <xf numFmtId="0" fontId="7" fillId="0" borderId="1" xfId="3" quotePrefix="1" applyBorder="1" applyAlignment="1">
      <alignment horizontal="left" vertical="center" wrapText="1"/>
    </xf>
    <xf numFmtId="0" fontId="10" fillId="0" borderId="1" xfId="0" applyFont="1" applyBorder="1" applyAlignment="1">
      <alignment vertical="center" wrapText="1" readingOrder="1"/>
    </xf>
    <xf numFmtId="177" fontId="11" fillId="0" borderId="1" xfId="1" applyNumberFormat="1" applyFont="1" applyFill="1" applyBorder="1" applyAlignment="1">
      <alignment horizontal="center" vertical="center"/>
    </xf>
    <xf numFmtId="177" fontId="6" fillId="0" borderId="1" xfId="1" applyNumberFormat="1" applyFont="1" applyBorder="1" applyAlignment="1">
      <alignment horizontal="center" vertical="center"/>
    </xf>
    <xf numFmtId="10" fontId="6" fillId="0" borderId="1" xfId="2" applyNumberFormat="1" applyFont="1" applyBorder="1" applyAlignment="1">
      <alignment horizontal="center" vertical="center"/>
    </xf>
    <xf numFmtId="178" fontId="11" fillId="0" borderId="1" xfId="4" applyNumberFormat="1" applyFont="1" applyBorder="1" applyAlignment="1">
      <alignment horizontal="center" vertical="center"/>
    </xf>
    <xf numFmtId="179" fontId="6" fillId="0" borderId="1" xfId="1" applyNumberFormat="1" applyFont="1" applyBorder="1" applyAlignment="1">
      <alignment horizontal="center" vertical="center"/>
    </xf>
    <xf numFmtId="178" fontId="13" fillId="0" borderId="1" xfId="4" applyNumberFormat="1" applyFont="1" applyBorder="1" applyAlignment="1">
      <alignment horizontal="center" vertical="center"/>
    </xf>
    <xf numFmtId="178" fontId="13" fillId="0" borderId="1" xfId="4" quotePrefix="1"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shrinkToFit="1"/>
    </xf>
    <xf numFmtId="0" fontId="14" fillId="0" borderId="1" xfId="0" applyFont="1" applyBorder="1" applyAlignment="1">
      <alignment horizontal="left" vertical="center"/>
    </xf>
    <xf numFmtId="0" fontId="14" fillId="3" borderId="1" xfId="0" applyFont="1" applyFill="1" applyBorder="1" applyAlignment="1">
      <alignment horizontal="center" vertical="center"/>
    </xf>
    <xf numFmtId="0" fontId="14" fillId="4" borderId="1" xfId="0" applyFont="1" applyFill="1" applyBorder="1" applyAlignment="1">
      <alignment horizontal="center" vertical="center"/>
    </xf>
    <xf numFmtId="0" fontId="14" fillId="0" borderId="1" xfId="0" applyFont="1" applyBorder="1" applyAlignment="1">
      <alignment horizontal="center" vertical="center" wrapText="1"/>
    </xf>
    <xf numFmtId="41" fontId="14" fillId="0" borderId="2" xfId="5" quotePrefix="1" applyFont="1" applyFill="1" applyBorder="1" applyAlignment="1">
      <alignment horizontal="center" vertical="center" wrapText="1"/>
    </xf>
    <xf numFmtId="38" fontId="14" fillId="0" borderId="1" xfId="6" applyNumberFormat="1" applyFont="1" applyBorder="1" applyAlignment="1">
      <alignment horizontal="center" vertical="center" shrinkToFit="1"/>
    </xf>
    <xf numFmtId="0" fontId="14" fillId="0" borderId="1" xfId="6" applyFont="1" applyBorder="1" applyAlignment="1">
      <alignment horizontal="center" vertical="center" shrinkToFit="1"/>
    </xf>
    <xf numFmtId="0" fontId="14" fillId="0" borderId="1" xfId="6" quotePrefix="1" applyFont="1" applyBorder="1" applyAlignment="1">
      <alignment horizontal="center" vertical="center" shrinkToFit="1"/>
    </xf>
    <xf numFmtId="14" fontId="14" fillId="0" borderId="1" xfId="7" applyNumberFormat="1" applyFont="1" applyBorder="1" applyAlignment="1">
      <alignment horizontal="center" vertical="center" shrinkToFit="1"/>
    </xf>
    <xf numFmtId="0" fontId="14" fillId="0" borderId="1" xfId="0" applyFont="1" applyBorder="1" applyAlignment="1">
      <alignment horizontal="left" vertical="center" shrinkToFit="1"/>
    </xf>
    <xf numFmtId="14" fontId="6" fillId="0" borderId="1" xfId="0" applyNumberFormat="1" applyFont="1" applyBorder="1" applyAlignment="1">
      <alignment horizontal="center" vertical="center"/>
    </xf>
    <xf numFmtId="0" fontId="6" fillId="0" borderId="1" xfId="0" applyFont="1" applyBorder="1">
      <alignment vertical="center"/>
    </xf>
    <xf numFmtId="0" fontId="0" fillId="0" borderId="0" xfId="0" applyAlignment="1">
      <alignment horizontal="left"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14" fontId="0" fillId="0" borderId="0" xfId="0" applyNumberFormat="1" applyAlignment="1">
      <alignment horizontal="center" vertical="center" wrapText="1"/>
    </xf>
    <xf numFmtId="14" fontId="3" fillId="2" borderId="0" xfId="0" applyNumberFormat="1" applyFont="1" applyFill="1" applyAlignment="1">
      <alignment horizontal="center" vertical="center" wrapText="1"/>
    </xf>
    <xf numFmtId="0" fontId="22" fillId="0" borderId="1" xfId="0" applyFont="1" applyBorder="1" applyAlignment="1">
      <alignment horizontal="center" vertical="center"/>
    </xf>
    <xf numFmtId="0" fontId="22" fillId="0" borderId="1" xfId="0" applyFont="1" applyBorder="1">
      <alignment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2" fillId="0" borderId="3" xfId="0" applyFont="1" applyBorder="1" applyAlignment="1">
      <alignment horizontal="center" vertical="center"/>
    </xf>
    <xf numFmtId="0" fontId="25" fillId="0" borderId="1" xfId="0" applyFont="1" applyBorder="1" applyAlignment="1">
      <alignment horizontal="center" vertical="center"/>
    </xf>
    <xf numFmtId="0" fontId="25" fillId="0" borderId="1" xfId="0" applyFont="1" applyBorder="1">
      <alignment vertical="center"/>
    </xf>
    <xf numFmtId="0" fontId="8" fillId="0" borderId="1" xfId="0" applyFont="1" applyBorder="1" applyAlignment="1">
      <alignment horizontal="left" vertical="center"/>
    </xf>
    <xf numFmtId="178" fontId="22" fillId="0" borderId="1" xfId="0" applyNumberFormat="1" applyFont="1" applyBorder="1" applyAlignment="1">
      <alignment horizontal="center" vertical="center"/>
    </xf>
    <xf numFmtId="180" fontId="22" fillId="0" borderId="1" xfId="2" applyNumberFormat="1" applyFont="1" applyBorder="1" applyAlignment="1">
      <alignment horizontal="center" vertical="center"/>
    </xf>
    <xf numFmtId="0" fontId="8" fillId="0" borderId="1" xfId="0" applyFont="1" applyBorder="1">
      <alignment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shrinkToFit="1"/>
    </xf>
    <xf numFmtId="0" fontId="8" fillId="3" borderId="1" xfId="0" applyFont="1" applyFill="1" applyBorder="1">
      <alignment vertical="center"/>
    </xf>
    <xf numFmtId="178" fontId="8" fillId="3" borderId="1" xfId="0" applyNumberFormat="1" applyFont="1" applyFill="1" applyBorder="1" applyAlignment="1">
      <alignment horizontal="center" vertical="center"/>
    </xf>
    <xf numFmtId="180" fontId="8" fillId="3" borderId="1" xfId="2"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shrinkToFit="1"/>
    </xf>
    <xf numFmtId="0" fontId="8" fillId="4" borderId="1" xfId="0" applyFont="1" applyFill="1" applyBorder="1">
      <alignment vertical="center"/>
    </xf>
    <xf numFmtId="178" fontId="22" fillId="4" borderId="1" xfId="0" applyNumberFormat="1" applyFont="1" applyFill="1" applyBorder="1" applyAlignment="1">
      <alignment horizontal="center" vertical="center"/>
    </xf>
    <xf numFmtId="180" fontId="8" fillId="4" borderId="1" xfId="2" applyNumberFormat="1" applyFont="1" applyFill="1" applyBorder="1" applyAlignment="1">
      <alignment horizontal="center" vertical="center"/>
    </xf>
    <xf numFmtId="180" fontId="8" fillId="0" borderId="1" xfId="2" applyNumberFormat="1" applyFont="1" applyBorder="1" applyAlignment="1">
      <alignment horizontal="center" vertical="center"/>
    </xf>
    <xf numFmtId="178" fontId="22" fillId="3" borderId="1" xfId="0" applyNumberFormat="1" applyFont="1" applyFill="1" applyBorder="1" applyAlignment="1">
      <alignment horizontal="center" vertical="center"/>
    </xf>
    <xf numFmtId="180" fontId="8" fillId="0" borderId="1" xfId="2" applyNumberFormat="1" applyFont="1" applyFill="1" applyBorder="1" applyAlignment="1">
      <alignment horizontal="center" vertical="center"/>
    </xf>
    <xf numFmtId="178" fontId="8" fillId="0" borderId="1" xfId="0" applyNumberFormat="1" applyFont="1" applyBorder="1" applyAlignment="1">
      <alignment horizontal="center" vertical="center"/>
    </xf>
    <xf numFmtId="0" fontId="26" fillId="0" borderId="1" xfId="0" applyFont="1" applyBorder="1">
      <alignment vertical="center"/>
    </xf>
    <xf numFmtId="0" fontId="26" fillId="0" borderId="1" xfId="0" applyFont="1" applyBorder="1" applyAlignment="1">
      <alignment horizontal="center" vertical="center"/>
    </xf>
    <xf numFmtId="180" fontId="22" fillId="0" borderId="1" xfId="2" applyNumberFormat="1" applyFont="1" applyFill="1" applyBorder="1" applyAlignment="1">
      <alignment horizontal="center" vertical="center"/>
    </xf>
    <xf numFmtId="180" fontId="8" fillId="0" borderId="1" xfId="2" applyNumberFormat="1" applyFont="1" applyBorder="1" applyAlignment="1">
      <alignment horizontal="center" vertical="center" wrapText="1"/>
    </xf>
    <xf numFmtId="180" fontId="8" fillId="0" borderId="1" xfId="2" applyNumberFormat="1" applyFont="1" applyFill="1" applyBorder="1" applyAlignment="1">
      <alignment horizontal="center" vertical="center" wrapText="1"/>
    </xf>
    <xf numFmtId="0" fontId="27" fillId="0" borderId="1" xfId="0" applyFont="1" applyBorder="1" applyAlignment="1">
      <alignment horizontal="center" vertical="center"/>
    </xf>
    <xf numFmtId="0" fontId="22" fillId="0" borderId="1" xfId="0" applyFont="1" applyBorder="1" applyAlignment="1">
      <alignment horizontal="center" vertical="center" shrinkToFit="1"/>
    </xf>
    <xf numFmtId="180" fontId="22" fillId="0" borderId="1" xfId="2" applyNumberFormat="1" applyFont="1" applyBorder="1" applyAlignment="1">
      <alignment horizontal="center" vertical="center" wrapText="1"/>
    </xf>
    <xf numFmtId="0" fontId="29" fillId="0" borderId="1" xfId="0" applyFont="1" applyBorder="1" applyAlignment="1">
      <alignment horizontal="center"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shrinkToFit="1"/>
    </xf>
    <xf numFmtId="0" fontId="8" fillId="5" borderId="1" xfId="0" applyFont="1" applyFill="1" applyBorder="1">
      <alignment vertical="center"/>
    </xf>
    <xf numFmtId="178" fontId="22" fillId="5" borderId="1" xfId="0" applyNumberFormat="1" applyFont="1" applyFill="1" applyBorder="1" applyAlignment="1">
      <alignment horizontal="center" vertical="center"/>
    </xf>
    <xf numFmtId="180" fontId="8" fillId="5" borderId="1" xfId="2" applyNumberFormat="1" applyFont="1" applyFill="1" applyBorder="1" applyAlignment="1">
      <alignment horizontal="center" vertical="center"/>
    </xf>
    <xf numFmtId="180" fontId="22" fillId="3" borderId="1" xfId="2" applyNumberFormat="1" applyFont="1" applyFill="1" applyBorder="1" applyAlignment="1">
      <alignment horizontal="center" vertical="center"/>
    </xf>
    <xf numFmtId="0" fontId="22" fillId="3" borderId="1" xfId="0" applyFont="1" applyFill="1" applyBorder="1" applyAlignment="1">
      <alignment horizontal="center" vertical="center"/>
    </xf>
    <xf numFmtId="0" fontId="22" fillId="0" borderId="1" xfId="0" applyFont="1" applyBorder="1" applyAlignment="1">
      <alignment horizontal="left" vertical="center" wrapText="1"/>
    </xf>
    <xf numFmtId="0" fontId="8" fillId="3" borderId="1" xfId="0" applyFont="1" applyFill="1" applyBorder="1" applyAlignment="1">
      <alignment horizontal="center" vertical="center" wrapText="1"/>
    </xf>
    <xf numFmtId="178" fontId="8" fillId="4" borderId="1" xfId="0" applyNumberFormat="1" applyFont="1" applyFill="1" applyBorder="1" applyAlignment="1">
      <alignment horizontal="center" vertical="center"/>
    </xf>
    <xf numFmtId="0" fontId="8" fillId="0" borderId="1" xfId="0" quotePrefix="1" applyFont="1" applyBorder="1" applyAlignment="1">
      <alignment horizontal="center" vertical="center" wrapText="1"/>
    </xf>
    <xf numFmtId="0" fontId="8" fillId="3" borderId="1" xfId="0" applyFont="1" applyFill="1" applyBorder="1" applyAlignment="1">
      <alignment horizontal="left" vertical="center"/>
    </xf>
    <xf numFmtId="0" fontId="8" fillId="4" borderId="1" xfId="0" applyFont="1" applyFill="1" applyBorder="1" applyAlignment="1">
      <alignment horizontal="left" vertical="center"/>
    </xf>
    <xf numFmtId="0" fontId="30" fillId="0" borderId="1" xfId="0" applyFont="1" applyBorder="1" applyAlignment="1">
      <alignment horizontal="center" vertical="center" wrapText="1"/>
    </xf>
    <xf numFmtId="0" fontId="31" fillId="0" borderId="1" xfId="0" applyFont="1" applyBorder="1" applyAlignment="1">
      <alignment horizontal="center" vertical="center"/>
    </xf>
    <xf numFmtId="180" fontId="22" fillId="4" borderId="1" xfId="2" applyNumberFormat="1" applyFont="1" applyFill="1" applyBorder="1" applyAlignment="1">
      <alignment horizontal="center" vertical="center"/>
    </xf>
    <xf numFmtId="3" fontId="8"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0" fontId="32" fillId="0" borderId="1" xfId="0" applyFont="1" applyBorder="1" applyAlignment="1">
      <alignment horizontal="center" vertical="center"/>
    </xf>
    <xf numFmtId="38" fontId="8" fillId="0" borderId="1" xfId="6" applyNumberFormat="1" applyFont="1" applyBorder="1" applyAlignment="1">
      <alignment horizontal="center" vertical="center" shrinkToFit="1"/>
    </xf>
    <xf numFmtId="0" fontId="8" fillId="0" borderId="1" xfId="6" applyFont="1" applyBorder="1" applyAlignment="1">
      <alignment horizontal="center" vertical="center" shrinkToFit="1"/>
    </xf>
    <xf numFmtId="0" fontId="8" fillId="0" borderId="1" xfId="6" quotePrefix="1" applyFont="1" applyBorder="1" applyAlignment="1">
      <alignment horizontal="center" vertical="center" shrinkToFit="1"/>
    </xf>
    <xf numFmtId="38" fontId="8" fillId="3" borderId="1" xfId="6" applyNumberFormat="1" applyFont="1" applyFill="1" applyBorder="1" applyAlignment="1">
      <alignment horizontal="center" vertical="center" shrinkToFit="1"/>
    </xf>
    <xf numFmtId="0" fontId="8" fillId="3" borderId="1" xfId="6" applyFont="1" applyFill="1" applyBorder="1" applyAlignment="1">
      <alignment horizontal="center" vertical="center" shrinkToFit="1"/>
    </xf>
    <xf numFmtId="0" fontId="8" fillId="3" borderId="1" xfId="6" quotePrefix="1" applyFont="1" applyFill="1" applyBorder="1" applyAlignment="1">
      <alignment horizontal="center" vertical="center" shrinkToFit="1"/>
    </xf>
    <xf numFmtId="178" fontId="26" fillId="4" borderId="1" xfId="0" applyNumberFormat="1" applyFont="1" applyFill="1" applyBorder="1" applyAlignment="1">
      <alignment horizontal="center" vertical="center"/>
    </xf>
    <xf numFmtId="180" fontId="11" fillId="3" borderId="1" xfId="2" applyNumberFormat="1" applyFont="1" applyFill="1" applyBorder="1" applyAlignment="1">
      <alignment horizontal="center" vertical="center"/>
    </xf>
    <xf numFmtId="0" fontId="8" fillId="3" borderId="1" xfId="0" applyFont="1" applyFill="1" applyBorder="1" applyAlignment="1">
      <alignment horizontal="left" vertical="center" wrapText="1"/>
    </xf>
    <xf numFmtId="176" fontId="22" fillId="3" borderId="1" xfId="5" applyNumberFormat="1" applyFont="1" applyFill="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vertical="center" shrinkToFit="1"/>
    </xf>
  </cellXfs>
  <cellStyles count="10">
    <cellStyle name="백분율" xfId="2" builtinId="5"/>
    <cellStyle name="쉼표 [0]" xfId="1" builtinId="6"/>
    <cellStyle name="쉼표 [0] 6" xfId="5" xr:uid="{ECC96D73-DBFF-4DAF-BACD-43CEC8C6C79E}"/>
    <cellStyle name="표준" xfId="0" builtinId="0"/>
    <cellStyle name="표준 2" xfId="8" xr:uid="{6A5971FC-F527-4C4F-AB22-BC443DA9819F}"/>
    <cellStyle name="표준 3" xfId="9" xr:uid="{5474F88E-4CC1-4000-BFDC-8741F72FA218}"/>
    <cellStyle name="표준 6" xfId="6" xr:uid="{DBFDEF07-BEA9-4CF0-950C-A4322ADD33C9}"/>
    <cellStyle name="표준 7" xfId="4" xr:uid="{C30B9402-8FC7-4A19-A8B0-02E4946B9AB8}"/>
    <cellStyle name="표준_rfq_list_c&amp;i" xfId="7" xr:uid="{E25D3243-6FBA-48A5-8784-EF9E2896F0E7}"/>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DEC\Downloads\260513_HPQ%20NCR%20Master%20Log_r0.xlsx" TargetMode="External"/><Relationship Id="rId1" Type="http://schemas.openxmlformats.org/officeDocument/2006/relationships/externalLinkPath" Target="file:///C:\Users\HDEC\Downloads\260513_HPQ%20NCR%20Master%20Log_r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CR 현황 요약"/>
      <sheetName val="Sheet1"/>
      <sheetName val="HPMS - 작업공종"/>
      <sheetName val="작업공종 드롭다운"/>
      <sheetName val="HPMS - 근본원인"/>
      <sheetName val="근본원인 드롭다운"/>
      <sheetName val="HPMS - 처리분류"/>
      <sheetName val="처리분류 드롭다운"/>
      <sheetName val="MIP6"/>
      <sheetName val="SM12(H)"/>
      <sheetName val="SM12(C)"/>
      <sheetName val="STA4(H)"/>
      <sheetName val="STA4(C)"/>
      <sheetName val="STA4 Status (발주처 제출용)"/>
      <sheetName val="SAC2(H)"/>
      <sheetName val="SAC2(C)"/>
      <sheetName val="SHN1"/>
      <sheetName val="CSSP(H)"/>
      <sheetName val="CSSP(C)"/>
      <sheetName val="260513_HPQ NCR Master Log_r0"/>
    </sheetNames>
    <sheetDataSet>
      <sheetData sheetId="0" refreshError="1"/>
      <sheetData sheetId="1" refreshError="1"/>
      <sheetData sheetId="2" refreshError="1"/>
      <sheetData sheetId="3"/>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TargetMode="External"/><Relationship Id="rId13" Type="http://schemas.openxmlformats.org/officeDocument/2006/relationships/hyperlink" Targe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TargetMode="External"/><Relationship Id="rId3"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7" Type="http://schemas.openxmlformats.org/officeDocument/2006/relationships/hyperlink" Targe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TargetMode="External"/><Relationship Id="rId12" Type="http://schemas.openxmlformats.org/officeDocument/2006/relationships/hyperlink" Targe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TargetMode="External"/><Relationship Id="rId2" Type="http://schemas.openxmlformats.org/officeDocument/2006/relationships/hyperlink" Targe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TargetMode="External"/><Relationship Id="rId16" Type="http://schemas.openxmlformats.org/officeDocument/2006/relationships/hyperlink" Targe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TargetMode="External"/><Relationship Id="rId1" Type="http://schemas.openxmlformats.org/officeDocument/2006/relationships/hyperlink" Targe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TargetMode="External"/><Relationship Id="rId6"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1" Type="http://schemas.openxmlformats.org/officeDocument/2006/relationships/hyperlink" Targe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TargetMode="External"/><Relationship Id="rId5"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5" Type="http://schemas.openxmlformats.org/officeDocument/2006/relationships/hyperlink" Targe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TargetMode="External"/><Relationship Id="rId10" Type="http://schemas.openxmlformats.org/officeDocument/2006/relationships/hyperlink" Targe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TargetMode="External"/><Relationship Id="rId4"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9" Type="http://schemas.openxmlformats.org/officeDocument/2006/relationships/hyperlink" Targe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TargetMode="External"/><Relationship Id="rId14" Type="http://schemas.openxmlformats.org/officeDocument/2006/relationships/hyperlink" Targe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workbookViewId="0">
      <selection activeCell="A15" sqref="A15"/>
    </sheetView>
  </sheetViews>
  <sheetFormatPr defaultRowHeight="16.5"/>
  <cols>
    <col min="1" max="1" width="118" customWidth="1"/>
  </cols>
  <sheetData>
    <row r="1" spans="1:1" ht="27.95" customHeight="1">
      <c r="A1" s="1" t="s">
        <v>0</v>
      </c>
    </row>
    <row r="3" spans="1:1" ht="17.25" customHeight="1">
      <c r="A3" s="2" t="s">
        <v>1</v>
      </c>
    </row>
    <row r="4" spans="1:1" ht="18" customHeight="1">
      <c r="A4" t="s">
        <v>2642</v>
      </c>
    </row>
    <row r="5" spans="1:1" ht="18" customHeight="1">
      <c r="A5" t="s">
        <v>2</v>
      </c>
    </row>
    <row r="6" spans="1:1" ht="18" customHeight="1">
      <c r="A6" t="s">
        <v>3</v>
      </c>
    </row>
    <row r="7" spans="1:1" ht="18" customHeight="1">
      <c r="A7" t="s">
        <v>4</v>
      </c>
    </row>
    <row r="8" spans="1:1" ht="18" customHeight="1">
      <c r="A8" t="s">
        <v>5</v>
      </c>
    </row>
    <row r="10" spans="1:1" ht="17.25" customHeight="1">
      <c r="A10" s="2" t="s">
        <v>6</v>
      </c>
    </row>
    <row r="11" spans="1:1" ht="18" customHeight="1">
      <c r="A11" t="s">
        <v>7</v>
      </c>
    </row>
    <row r="12" spans="1:1" ht="18" customHeight="1">
      <c r="A12" t="s">
        <v>8</v>
      </c>
    </row>
    <row r="13" spans="1:1" ht="18" customHeight="1">
      <c r="A13" t="s">
        <v>9</v>
      </c>
    </row>
    <row r="14" spans="1:1" ht="18" customHeight="1">
      <c r="A14" t="s">
        <v>10</v>
      </c>
    </row>
    <row r="15" spans="1:1" ht="18" customHeight="1">
      <c r="A15" t="s">
        <v>11</v>
      </c>
    </row>
    <row r="16" spans="1:1" ht="18" customHeight="1">
      <c r="A16" t="s">
        <v>2643</v>
      </c>
    </row>
    <row r="18" spans="1:1" ht="17.25" customHeight="1">
      <c r="A18" s="2" t="s">
        <v>12</v>
      </c>
    </row>
    <row r="19" spans="1:1" ht="18" customHeight="1">
      <c r="A19" t="s">
        <v>2644</v>
      </c>
    </row>
    <row r="20" spans="1:1" ht="18" customHeight="1">
      <c r="A20" t="s">
        <v>13</v>
      </c>
    </row>
    <row r="21" spans="1:1" ht="18" customHeight="1">
      <c r="A21" t="s">
        <v>14</v>
      </c>
    </row>
    <row r="22" spans="1:1" ht="18" customHeight="1">
      <c r="A22" t="s">
        <v>15</v>
      </c>
    </row>
    <row r="23" spans="1:1" ht="18" customHeight="1">
      <c r="A23" t="s">
        <v>16</v>
      </c>
    </row>
    <row r="24" spans="1:1" ht="18" customHeight="1">
      <c r="A24" t="s">
        <v>17</v>
      </c>
    </row>
    <row r="25" spans="1:1" ht="18" customHeight="1">
      <c r="A25" t="s">
        <v>18</v>
      </c>
    </row>
    <row r="26" spans="1:1" ht="18" customHeight="1">
      <c r="A26" t="s">
        <v>19</v>
      </c>
    </row>
    <row r="27" spans="1:1">
      <c r="A27" t="s">
        <v>20</v>
      </c>
    </row>
    <row r="28" spans="1:1" ht="17.25" customHeight="1"/>
    <row r="29" spans="1:1" ht="18" customHeight="1">
      <c r="A29" s="2" t="s">
        <v>21</v>
      </c>
    </row>
    <row r="30" spans="1:1" ht="18" customHeight="1">
      <c r="A30" t="s">
        <v>22</v>
      </c>
    </row>
    <row r="31" spans="1:1" ht="18" customHeight="1">
      <c r="A31" t="s">
        <v>2645</v>
      </c>
    </row>
    <row r="32" spans="1:1">
      <c r="A32" t="s">
        <v>2646</v>
      </c>
    </row>
    <row r="33" spans="1:1" ht="17.25" customHeight="1"/>
    <row r="34" spans="1:1" ht="18" customHeight="1">
      <c r="A34" s="2" t="s">
        <v>23</v>
      </c>
    </row>
    <row r="35" spans="1:1" ht="18" customHeight="1">
      <c r="A35" t="s">
        <v>24</v>
      </c>
    </row>
    <row r="36" spans="1:1">
      <c r="A36" t="s">
        <v>25</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workbookViewId="0">
      <pane ySplit="1" topLeftCell="A2" activePane="bottomLeft" state="frozen"/>
      <selection pane="bottomLeft" activeCell="G13" sqref="G13"/>
    </sheetView>
  </sheetViews>
  <sheetFormatPr defaultRowHeight="16.5"/>
  <cols>
    <col min="1" max="1" width="16" customWidth="1"/>
    <col min="2" max="5" width="19.5" customWidth="1"/>
    <col min="6" max="9" width="16" customWidth="1"/>
    <col min="10" max="10" width="20.625" bestFit="1" customWidth="1"/>
    <col min="11" max="12" width="16" customWidth="1"/>
  </cols>
  <sheetData>
    <row r="1" spans="1:12" ht="26.1" customHeight="1">
      <c r="A1" s="3" t="s">
        <v>26</v>
      </c>
      <c r="B1" s="3" t="s">
        <v>27</v>
      </c>
      <c r="C1" s="3" t="s">
        <v>28</v>
      </c>
      <c r="D1" s="3" t="s">
        <v>29</v>
      </c>
      <c r="E1" s="3" t="s">
        <v>30</v>
      </c>
      <c r="F1" s="3" t="s">
        <v>31</v>
      </c>
      <c r="G1" s="3" t="s">
        <v>32</v>
      </c>
      <c r="H1" s="3" t="s">
        <v>2641</v>
      </c>
      <c r="I1" s="3" t="s">
        <v>33</v>
      </c>
      <c r="J1" s="3" t="s">
        <v>34</v>
      </c>
      <c r="K1" s="3" t="s">
        <v>35</v>
      </c>
      <c r="L1" s="3" t="s">
        <v>36</v>
      </c>
    </row>
    <row r="2" spans="1:12">
      <c r="A2" s="4" t="s">
        <v>108</v>
      </c>
      <c r="B2" s="5">
        <v>1484</v>
      </c>
      <c r="C2" s="5">
        <v>1484</v>
      </c>
      <c r="D2" s="5"/>
      <c r="E2" s="5"/>
      <c r="F2" s="4" t="s">
        <v>109</v>
      </c>
      <c r="G2" s="4" t="s">
        <v>3611</v>
      </c>
      <c r="H2" s="4" t="s">
        <v>110</v>
      </c>
      <c r="I2" s="4" t="s">
        <v>110</v>
      </c>
      <c r="J2" s="4" t="s">
        <v>111</v>
      </c>
      <c r="K2" s="6">
        <v>1</v>
      </c>
      <c r="L2" s="4"/>
    </row>
    <row r="3" spans="1:12">
      <c r="A3" s="4" t="s">
        <v>112</v>
      </c>
      <c r="B3" s="5">
        <v>1318</v>
      </c>
      <c r="C3" s="5">
        <v>1354</v>
      </c>
      <c r="D3" s="5"/>
      <c r="E3" s="5"/>
      <c r="F3" s="4" t="s">
        <v>109</v>
      </c>
      <c r="G3" s="4" t="s">
        <v>3611</v>
      </c>
      <c r="H3" s="4" t="s">
        <v>113</v>
      </c>
      <c r="I3" s="4" t="s">
        <v>114</v>
      </c>
      <c r="J3" s="4" t="s">
        <v>115</v>
      </c>
      <c r="K3" s="6">
        <v>0.99970000000000003</v>
      </c>
      <c r="L3" s="4"/>
    </row>
    <row r="4" spans="1:12">
      <c r="A4" s="4" t="s">
        <v>116</v>
      </c>
      <c r="B4" s="5">
        <v>1814</v>
      </c>
      <c r="C4" s="5">
        <v>3778</v>
      </c>
      <c r="D4" s="5"/>
      <c r="E4" s="5"/>
      <c r="F4" s="4" t="s">
        <v>117</v>
      </c>
      <c r="G4" s="4" t="s">
        <v>3612</v>
      </c>
      <c r="H4" s="4" t="s">
        <v>118</v>
      </c>
      <c r="I4" s="4" t="s">
        <v>110</v>
      </c>
      <c r="J4" s="4" t="s">
        <v>111</v>
      </c>
      <c r="K4" s="6">
        <v>1</v>
      </c>
      <c r="L4" s="4"/>
    </row>
    <row r="5" spans="1:12">
      <c r="A5" s="4" t="s">
        <v>119</v>
      </c>
      <c r="B5" s="5"/>
      <c r="C5" s="5"/>
      <c r="D5" s="5">
        <v>2389100</v>
      </c>
      <c r="E5" s="5">
        <v>5436800</v>
      </c>
      <c r="F5" s="4" t="s">
        <v>120</v>
      </c>
      <c r="G5" s="4" t="s">
        <v>3613</v>
      </c>
      <c r="H5" s="4" t="s">
        <v>121</v>
      </c>
      <c r="I5" s="4" t="s">
        <v>122</v>
      </c>
      <c r="J5" s="4" t="s">
        <v>115</v>
      </c>
      <c r="K5" s="6">
        <v>0.96279999999999999</v>
      </c>
      <c r="L5" s="4"/>
    </row>
    <row r="6" spans="1:12">
      <c r="A6" s="4" t="s">
        <v>123</v>
      </c>
      <c r="B6" s="5">
        <v>584</v>
      </c>
      <c r="C6" s="5">
        <v>730</v>
      </c>
      <c r="D6" s="5"/>
      <c r="E6" s="5"/>
      <c r="F6" s="4" t="s">
        <v>124</v>
      </c>
      <c r="G6" s="4" t="s">
        <v>3614</v>
      </c>
      <c r="H6" s="4" t="s">
        <v>125</v>
      </c>
      <c r="I6" s="4" t="s">
        <v>126</v>
      </c>
      <c r="J6" s="4" t="s">
        <v>115</v>
      </c>
      <c r="K6" s="6">
        <v>0.59799999999999998</v>
      </c>
      <c r="L6" s="4"/>
    </row>
    <row r="7" spans="1:12">
      <c r="A7" s="4" t="s">
        <v>127</v>
      </c>
      <c r="B7" s="5">
        <v>952</v>
      </c>
      <c r="C7" s="5">
        <v>1178</v>
      </c>
      <c r="D7" s="5"/>
      <c r="E7" s="5"/>
      <c r="F7" s="4" t="s">
        <v>128</v>
      </c>
      <c r="G7" s="4" t="s">
        <v>3615</v>
      </c>
      <c r="H7" s="4" t="s">
        <v>129</v>
      </c>
      <c r="I7" s="4" t="s">
        <v>126</v>
      </c>
      <c r="J7" s="4" t="s">
        <v>115</v>
      </c>
      <c r="K7" s="6">
        <v>0.99150000000000005</v>
      </c>
      <c r="L7" s="4"/>
    </row>
    <row r="8" spans="1:12">
      <c r="A8" s="4" t="s">
        <v>130</v>
      </c>
      <c r="B8" s="5">
        <v>2136</v>
      </c>
      <c r="C8" s="5">
        <v>2136</v>
      </c>
      <c r="D8" s="5"/>
      <c r="E8" s="5"/>
      <c r="F8" s="4" t="s">
        <v>131</v>
      </c>
      <c r="G8" s="4" t="s">
        <v>3611</v>
      </c>
      <c r="H8" s="4" t="s">
        <v>132</v>
      </c>
      <c r="I8" s="4" t="s">
        <v>133</v>
      </c>
      <c r="J8" s="4" t="s">
        <v>115</v>
      </c>
      <c r="K8" s="6">
        <v>0.8831</v>
      </c>
      <c r="L8" s="4"/>
    </row>
    <row r="9" spans="1:12">
      <c r="A9" s="4" t="s">
        <v>134</v>
      </c>
      <c r="B9" s="5">
        <v>1184</v>
      </c>
      <c r="C9" s="5">
        <v>2369</v>
      </c>
      <c r="D9" s="5"/>
      <c r="E9" s="5"/>
      <c r="F9" s="4" t="s">
        <v>109</v>
      </c>
      <c r="G9" s="4" t="s">
        <v>3611</v>
      </c>
      <c r="H9" s="4" t="s">
        <v>135</v>
      </c>
      <c r="I9" s="4" t="s">
        <v>136</v>
      </c>
      <c r="J9" s="4" t="s">
        <v>115</v>
      </c>
      <c r="K9" s="6">
        <v>0.7258</v>
      </c>
      <c r="L9" s="4"/>
    </row>
    <row r="10" spans="1:12">
      <c r="A10" s="4" t="s">
        <v>137</v>
      </c>
      <c r="B10" s="5">
        <v>3160</v>
      </c>
      <c r="C10" s="5">
        <v>3160</v>
      </c>
      <c r="D10" s="5"/>
      <c r="E10" s="5"/>
      <c r="F10" s="4" t="s">
        <v>138</v>
      </c>
      <c r="G10" s="4" t="s">
        <v>3612</v>
      </c>
      <c r="H10" s="4" t="s">
        <v>139</v>
      </c>
      <c r="I10" s="4" t="s">
        <v>140</v>
      </c>
      <c r="J10" s="4" t="s">
        <v>115</v>
      </c>
      <c r="K10" s="6">
        <v>7.5399999999999995E-2</v>
      </c>
      <c r="L10" s="4"/>
    </row>
    <row r="11" spans="1:12">
      <c r="A11" s="4" t="s">
        <v>141</v>
      </c>
      <c r="B11" s="5">
        <v>1600</v>
      </c>
      <c r="C11" s="5">
        <v>4000</v>
      </c>
      <c r="D11" s="5"/>
      <c r="E11" s="5"/>
      <c r="F11" s="4" t="s">
        <v>142</v>
      </c>
      <c r="G11" s="4" t="s">
        <v>3616</v>
      </c>
      <c r="H11" s="4" t="s">
        <v>143</v>
      </c>
      <c r="I11" s="4" t="s">
        <v>144</v>
      </c>
      <c r="J11" s="4" t="s">
        <v>115</v>
      </c>
      <c r="K11" s="6">
        <v>0</v>
      </c>
      <c r="L11" s="4"/>
    </row>
    <row r="12" spans="1:12">
      <c r="A12" s="4" t="s">
        <v>145</v>
      </c>
      <c r="B12" s="5">
        <v>5800</v>
      </c>
      <c r="C12" s="5">
        <v>5800</v>
      </c>
      <c r="D12" s="5"/>
      <c r="E12" s="5"/>
      <c r="F12" s="4" t="s">
        <v>146</v>
      </c>
      <c r="G12" s="4" t="s">
        <v>3617</v>
      </c>
      <c r="H12" s="4" t="s">
        <v>147</v>
      </c>
      <c r="I12" s="4" t="s">
        <v>144</v>
      </c>
      <c r="J12" s="4" t="s">
        <v>148</v>
      </c>
      <c r="K12" s="6">
        <v>0</v>
      </c>
      <c r="L12" s="4"/>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tabSelected="1" workbookViewId="0">
      <pane ySplit="1" topLeftCell="A2" activePane="bottomLeft" state="frozen"/>
      <selection pane="bottomLeft" activeCell="E18" sqref="E18"/>
    </sheetView>
  </sheetViews>
  <sheetFormatPr defaultRowHeight="16.5"/>
  <cols>
    <col min="1" max="9" width="16" customWidth="1"/>
    <col min="10" max="10" width="18" customWidth="1"/>
    <col min="11" max="11" width="17" customWidth="1"/>
    <col min="12" max="13" width="16" customWidth="1"/>
  </cols>
  <sheetData>
    <row r="1" spans="1:13" ht="26.1" customHeight="1">
      <c r="A1" s="3" t="s">
        <v>26</v>
      </c>
      <c r="B1" s="3" t="s">
        <v>37</v>
      </c>
      <c r="C1" s="3" t="s">
        <v>38</v>
      </c>
      <c r="D1" s="3" t="s">
        <v>39</v>
      </c>
      <c r="E1" s="3" t="s">
        <v>40</v>
      </c>
      <c r="F1" s="3" t="s">
        <v>41</v>
      </c>
      <c r="G1" s="3" t="s">
        <v>42</v>
      </c>
      <c r="H1" s="3" t="s">
        <v>43</v>
      </c>
      <c r="I1" s="3" t="s">
        <v>44</v>
      </c>
      <c r="J1" s="3" t="s">
        <v>45</v>
      </c>
      <c r="K1" s="3" t="s">
        <v>46</v>
      </c>
      <c r="L1" s="3" t="s">
        <v>47</v>
      </c>
      <c r="M1" s="3" t="s">
        <v>48</v>
      </c>
    </row>
    <row r="2" spans="1:13">
      <c r="A2" s="7" t="s">
        <v>108</v>
      </c>
      <c r="B2" s="7" t="s">
        <v>149</v>
      </c>
      <c r="C2" s="7" t="s">
        <v>149</v>
      </c>
      <c r="D2" s="7" t="s">
        <v>149</v>
      </c>
      <c r="E2" s="7" t="s">
        <v>149</v>
      </c>
      <c r="F2" s="7">
        <v>200</v>
      </c>
      <c r="G2" s="7">
        <v>200</v>
      </c>
      <c r="H2" s="7">
        <v>197</v>
      </c>
      <c r="I2" s="7">
        <v>197</v>
      </c>
      <c r="J2" s="7">
        <v>397</v>
      </c>
      <c r="K2" s="7">
        <v>397</v>
      </c>
      <c r="L2" s="7">
        <v>55</v>
      </c>
      <c r="M2" s="7">
        <v>55</v>
      </c>
    </row>
    <row r="3" spans="1:13">
      <c r="A3" s="7" t="s">
        <v>112</v>
      </c>
      <c r="B3" s="7" t="s">
        <v>149</v>
      </c>
      <c r="C3" s="7" t="s">
        <v>149</v>
      </c>
      <c r="D3" s="7" t="s">
        <v>149</v>
      </c>
      <c r="E3" s="7" t="s">
        <v>149</v>
      </c>
      <c r="F3" s="7">
        <v>150</v>
      </c>
      <c r="G3" s="7">
        <v>150</v>
      </c>
      <c r="H3" s="7">
        <v>167</v>
      </c>
      <c r="I3" s="7">
        <v>167</v>
      </c>
      <c r="J3" s="7">
        <v>353</v>
      </c>
      <c r="K3" s="7">
        <v>350</v>
      </c>
      <c r="L3" s="7">
        <v>80</v>
      </c>
      <c r="M3" s="7">
        <v>80</v>
      </c>
    </row>
    <row r="4" spans="1:13">
      <c r="A4" s="7" t="s">
        <v>116</v>
      </c>
      <c r="B4" s="7" t="s">
        <v>149</v>
      </c>
      <c r="C4" s="7" t="s">
        <v>149</v>
      </c>
      <c r="D4" s="7" t="s">
        <v>149</v>
      </c>
      <c r="E4" s="7" t="s">
        <v>149</v>
      </c>
      <c r="F4" s="7">
        <v>124</v>
      </c>
      <c r="G4" s="7">
        <v>124</v>
      </c>
      <c r="H4" s="7">
        <v>45</v>
      </c>
      <c r="I4" s="7">
        <v>45</v>
      </c>
      <c r="J4" s="7">
        <v>124</v>
      </c>
      <c r="K4" s="7">
        <v>124</v>
      </c>
      <c r="L4" s="7">
        <v>7</v>
      </c>
      <c r="M4" s="7">
        <v>7</v>
      </c>
    </row>
    <row r="5" spans="1:13">
      <c r="A5" s="7" t="s">
        <v>119</v>
      </c>
      <c r="B5" s="7" t="s">
        <v>149</v>
      </c>
      <c r="C5" s="7" t="s">
        <v>149</v>
      </c>
      <c r="D5" s="7" t="s">
        <v>149</v>
      </c>
      <c r="E5" s="7" t="s">
        <v>149</v>
      </c>
      <c r="F5" s="7">
        <v>24</v>
      </c>
      <c r="G5" s="7">
        <v>24</v>
      </c>
      <c r="H5" s="7">
        <v>17</v>
      </c>
      <c r="I5" s="7">
        <v>17</v>
      </c>
      <c r="J5" s="7">
        <v>40</v>
      </c>
      <c r="K5" s="7">
        <v>35</v>
      </c>
      <c r="L5" s="7">
        <v>15</v>
      </c>
      <c r="M5" s="7">
        <v>15</v>
      </c>
    </row>
    <row r="6" spans="1:13">
      <c r="A6" s="7" t="s">
        <v>123</v>
      </c>
      <c r="B6" s="7" t="s">
        <v>149</v>
      </c>
      <c r="C6" s="7" t="s">
        <v>149</v>
      </c>
      <c r="D6" s="7" t="s">
        <v>149</v>
      </c>
      <c r="E6" s="7" t="s">
        <v>149</v>
      </c>
      <c r="F6" s="7">
        <v>74</v>
      </c>
      <c r="G6" s="7">
        <v>74</v>
      </c>
      <c r="H6" s="7">
        <v>28</v>
      </c>
      <c r="I6" s="7">
        <v>28</v>
      </c>
      <c r="J6" s="7">
        <v>74</v>
      </c>
      <c r="K6" s="7">
        <v>50</v>
      </c>
      <c r="L6" s="7">
        <v>16</v>
      </c>
      <c r="M6" s="7">
        <v>16</v>
      </c>
    </row>
    <row r="7" spans="1:13">
      <c r="A7" s="7" t="s">
        <v>127</v>
      </c>
      <c r="B7" s="7" t="s">
        <v>149</v>
      </c>
      <c r="C7" s="7" t="s">
        <v>149</v>
      </c>
      <c r="D7" s="7" t="s">
        <v>149</v>
      </c>
      <c r="E7" s="7" t="s">
        <v>149</v>
      </c>
      <c r="F7" s="7">
        <v>96</v>
      </c>
      <c r="G7" s="7">
        <v>96</v>
      </c>
      <c r="H7" s="7">
        <v>37</v>
      </c>
      <c r="I7" s="7">
        <v>37</v>
      </c>
      <c r="J7" s="7">
        <v>96</v>
      </c>
      <c r="K7" s="7">
        <v>95</v>
      </c>
      <c r="L7" s="7">
        <v>9</v>
      </c>
      <c r="M7" s="7">
        <v>9</v>
      </c>
    </row>
    <row r="8" spans="1:13">
      <c r="A8" s="7" t="s">
        <v>130</v>
      </c>
      <c r="B8" s="7" t="s">
        <v>149</v>
      </c>
      <c r="C8" s="7" t="s">
        <v>149</v>
      </c>
      <c r="D8" s="7" t="s">
        <v>149</v>
      </c>
      <c r="E8" s="7" t="s">
        <v>149</v>
      </c>
      <c r="F8" s="7">
        <v>159</v>
      </c>
      <c r="G8" s="7">
        <v>159</v>
      </c>
      <c r="H8" s="7">
        <v>100</v>
      </c>
      <c r="I8" s="7">
        <v>97</v>
      </c>
      <c r="J8" s="7">
        <v>121</v>
      </c>
      <c r="K8" s="7">
        <v>53</v>
      </c>
      <c r="L8" s="7">
        <v>53</v>
      </c>
      <c r="M8" s="7">
        <v>44</v>
      </c>
    </row>
    <row r="9" spans="1:13">
      <c r="A9" s="7" t="s">
        <v>134</v>
      </c>
      <c r="B9" s="7" t="s">
        <v>149</v>
      </c>
      <c r="C9" s="7" t="s">
        <v>149</v>
      </c>
      <c r="D9" s="7" t="s">
        <v>149</v>
      </c>
      <c r="E9" s="7" t="s">
        <v>149</v>
      </c>
      <c r="F9" s="7">
        <v>93</v>
      </c>
      <c r="G9" s="7">
        <v>93</v>
      </c>
      <c r="H9" s="7">
        <v>62</v>
      </c>
      <c r="I9" s="7">
        <v>59</v>
      </c>
      <c r="J9" s="7">
        <v>89</v>
      </c>
      <c r="K9" s="7">
        <v>22</v>
      </c>
      <c r="L9" s="7">
        <v>8</v>
      </c>
      <c r="M9" s="7">
        <v>8</v>
      </c>
    </row>
    <row r="10" spans="1:13">
      <c r="A10" s="7" t="s">
        <v>137</v>
      </c>
      <c r="B10" s="7">
        <v>148</v>
      </c>
      <c r="C10" s="7">
        <v>89</v>
      </c>
      <c r="D10" s="7">
        <v>148</v>
      </c>
      <c r="E10" s="7">
        <v>8</v>
      </c>
      <c r="F10" s="7">
        <v>148</v>
      </c>
      <c r="G10" s="7">
        <v>1</v>
      </c>
      <c r="H10" s="7">
        <v>57</v>
      </c>
      <c r="I10" s="7">
        <v>0</v>
      </c>
      <c r="J10" s="7">
        <v>148</v>
      </c>
      <c r="K10" s="7">
        <v>0</v>
      </c>
      <c r="L10" s="7">
        <v>0</v>
      </c>
      <c r="M10" s="7">
        <v>0</v>
      </c>
    </row>
    <row r="11" spans="1:13">
      <c r="A11" s="7" t="s">
        <v>141</v>
      </c>
      <c r="B11" s="7">
        <v>30</v>
      </c>
      <c r="C11" s="7">
        <v>11</v>
      </c>
      <c r="D11" s="7">
        <v>30</v>
      </c>
      <c r="E11" s="7">
        <v>5</v>
      </c>
      <c r="F11" s="7">
        <v>30</v>
      </c>
      <c r="G11" s="7">
        <v>2</v>
      </c>
      <c r="H11" s="7">
        <v>17</v>
      </c>
      <c r="I11" s="7">
        <v>0</v>
      </c>
      <c r="J11" s="7">
        <v>30</v>
      </c>
      <c r="K11" s="7">
        <v>0</v>
      </c>
      <c r="L11" s="7">
        <v>0</v>
      </c>
      <c r="M11" s="7">
        <v>0</v>
      </c>
    </row>
    <row r="12" spans="1:13">
      <c r="A12" s="7" t="s">
        <v>145</v>
      </c>
      <c r="B12" s="7" t="s">
        <v>150</v>
      </c>
      <c r="C12" s="7" t="s">
        <v>150</v>
      </c>
      <c r="D12" s="7" t="s">
        <v>150</v>
      </c>
      <c r="E12" s="7" t="s">
        <v>150</v>
      </c>
      <c r="F12" s="7" t="s">
        <v>150</v>
      </c>
      <c r="G12" s="7" t="s">
        <v>150</v>
      </c>
      <c r="H12" s="7" t="s">
        <v>150</v>
      </c>
      <c r="I12" s="7" t="s">
        <v>150</v>
      </c>
      <c r="J12" s="7" t="s">
        <v>150</v>
      </c>
      <c r="K12" s="7" t="s">
        <v>150</v>
      </c>
      <c r="L12" s="7" t="s">
        <v>150</v>
      </c>
      <c r="M12" s="7" t="s">
        <v>150</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12"/>
  <sheetViews>
    <sheetView topLeftCell="D1" zoomScale="55" zoomScaleNormal="55" workbookViewId="0">
      <pane ySplit="1" topLeftCell="A2" activePane="bottomLeft" state="frozen"/>
      <selection pane="bottomLeft" activeCell="N12" sqref="N12"/>
    </sheetView>
  </sheetViews>
  <sheetFormatPr defaultRowHeight="16.5"/>
  <cols>
    <col min="1" max="1" width="10" style="42" customWidth="1"/>
    <col min="2" max="6" width="14" style="42" customWidth="1"/>
    <col min="7" max="7" width="10" style="42" customWidth="1"/>
    <col min="8" max="8" width="12" style="42" customWidth="1"/>
    <col min="9" max="9" width="39" style="42" customWidth="1"/>
    <col min="10" max="10" width="16" style="42" customWidth="1"/>
    <col min="11" max="11" width="13.5" style="42" bestFit="1" customWidth="1"/>
    <col min="12" max="12" width="14" style="42" customWidth="1"/>
    <col min="13" max="13" width="20" style="42" customWidth="1"/>
    <col min="14" max="14" width="18" style="42" customWidth="1"/>
    <col min="15" max="17" width="12.5" style="44" customWidth="1"/>
    <col min="18" max="19" width="78.75" style="41" customWidth="1"/>
    <col min="20" max="16384" width="9" style="42"/>
  </cols>
  <sheetData>
    <row r="1" spans="1:19" ht="31.5">
      <c r="A1" s="3" t="s">
        <v>2653</v>
      </c>
      <c r="B1" s="3" t="s">
        <v>2654</v>
      </c>
      <c r="C1" s="3" t="s">
        <v>2655</v>
      </c>
      <c r="D1" s="3" t="s">
        <v>2656</v>
      </c>
      <c r="E1" s="3" t="s">
        <v>2657</v>
      </c>
      <c r="F1" s="3" t="s">
        <v>3412</v>
      </c>
      <c r="G1" s="3" t="s">
        <v>26</v>
      </c>
      <c r="H1" s="3" t="s">
        <v>2649</v>
      </c>
      <c r="I1" s="3" t="s">
        <v>60</v>
      </c>
      <c r="J1" s="3" t="s">
        <v>59</v>
      </c>
      <c r="K1" s="3" t="s">
        <v>58</v>
      </c>
      <c r="L1" s="3" t="s">
        <v>63</v>
      </c>
      <c r="M1" s="3" t="s">
        <v>2647</v>
      </c>
      <c r="N1" s="3" t="s">
        <v>2648</v>
      </c>
      <c r="O1" s="45" t="s">
        <v>2650</v>
      </c>
      <c r="P1" s="45" t="s">
        <v>2651</v>
      </c>
      <c r="Q1" s="45" t="s">
        <v>2652</v>
      </c>
      <c r="R1" s="3" t="s">
        <v>2658</v>
      </c>
      <c r="S1" s="3" t="s">
        <v>2659</v>
      </c>
    </row>
    <row r="2" spans="1:19" ht="49.5">
      <c r="A2" s="42" t="s">
        <v>2660</v>
      </c>
      <c r="B2" s="42" t="s">
        <v>2661</v>
      </c>
      <c r="C2" s="42" t="s">
        <v>2680</v>
      </c>
      <c r="D2" s="42" t="s">
        <v>2681</v>
      </c>
      <c r="E2" s="42" t="s">
        <v>2682</v>
      </c>
      <c r="F2" s="42" t="s">
        <v>2669</v>
      </c>
      <c r="G2" s="43" t="s">
        <v>108</v>
      </c>
      <c r="H2" s="43" t="s">
        <v>2683</v>
      </c>
      <c r="I2" s="42" t="s">
        <v>2690</v>
      </c>
      <c r="J2" s="42" t="s">
        <v>434</v>
      </c>
      <c r="K2" s="42" t="s">
        <v>2739</v>
      </c>
      <c r="L2" s="42" t="s">
        <v>2759</v>
      </c>
      <c r="M2" s="42" t="s">
        <v>2793</v>
      </c>
      <c r="N2" s="42" t="s">
        <v>2794</v>
      </c>
      <c r="O2" s="44">
        <v>43874</v>
      </c>
      <c r="P2" s="44">
        <v>43931</v>
      </c>
      <c r="Q2" s="44">
        <v>43924</v>
      </c>
      <c r="R2" s="41" t="s">
        <v>2855</v>
      </c>
    </row>
    <row r="3" spans="1:19" ht="49.5">
      <c r="A3" s="42" t="s">
        <v>2660</v>
      </c>
      <c r="B3" s="42" t="s">
        <v>2661</v>
      </c>
      <c r="C3" s="42" t="s">
        <v>2680</v>
      </c>
      <c r="D3" s="42" t="s">
        <v>2681</v>
      </c>
      <c r="E3" s="42" t="s">
        <v>2682</v>
      </c>
      <c r="F3" s="42" t="s">
        <v>2662</v>
      </c>
      <c r="G3" s="43" t="s">
        <v>108</v>
      </c>
      <c r="H3" s="43" t="s">
        <v>2683</v>
      </c>
      <c r="I3" s="42" t="s">
        <v>2691</v>
      </c>
      <c r="J3" s="42" t="s">
        <v>437</v>
      </c>
      <c r="K3" s="42" t="s">
        <v>2739</v>
      </c>
      <c r="L3" s="42" t="s">
        <v>2760</v>
      </c>
      <c r="M3" s="42" t="s">
        <v>2813</v>
      </c>
      <c r="N3" s="42" t="s">
        <v>2794</v>
      </c>
      <c r="O3" s="44">
        <v>43899</v>
      </c>
      <c r="P3" s="44">
        <v>43981</v>
      </c>
      <c r="Q3" s="44">
        <v>43913</v>
      </c>
      <c r="R3" s="41" t="s">
        <v>2856</v>
      </c>
    </row>
    <row r="4" spans="1:19" ht="49.5">
      <c r="A4" s="42" t="s">
        <v>2660</v>
      </c>
      <c r="B4" s="42" t="s">
        <v>2661</v>
      </c>
      <c r="C4" s="42" t="s">
        <v>2680</v>
      </c>
      <c r="D4" s="42" t="s">
        <v>2681</v>
      </c>
      <c r="E4" s="42" t="s">
        <v>2682</v>
      </c>
      <c r="F4" s="42" t="s">
        <v>2662</v>
      </c>
      <c r="G4" s="43" t="s">
        <v>108</v>
      </c>
      <c r="H4" s="43" t="s">
        <v>2683</v>
      </c>
      <c r="I4" s="42" t="s">
        <v>2692</v>
      </c>
      <c r="J4" s="42" t="s">
        <v>442</v>
      </c>
      <c r="K4" s="42" t="s">
        <v>2739</v>
      </c>
      <c r="L4" s="42" t="s">
        <v>2761</v>
      </c>
      <c r="M4" s="42" t="s">
        <v>2814</v>
      </c>
      <c r="N4" s="42" t="s">
        <v>2794</v>
      </c>
      <c r="O4" s="44">
        <v>43910</v>
      </c>
      <c r="P4" s="44">
        <v>43982</v>
      </c>
      <c r="Q4" s="44">
        <v>44015</v>
      </c>
      <c r="R4" s="41" t="s">
        <v>2857</v>
      </c>
    </row>
    <row r="5" spans="1:19" ht="49.5">
      <c r="A5" s="42" t="s">
        <v>2660</v>
      </c>
      <c r="B5" s="42" t="s">
        <v>2661</v>
      </c>
      <c r="C5" s="42" t="s">
        <v>2680</v>
      </c>
      <c r="D5" s="42" t="s">
        <v>2681</v>
      </c>
      <c r="E5" s="42" t="s">
        <v>2682</v>
      </c>
      <c r="F5" s="42" t="s">
        <v>2662</v>
      </c>
      <c r="G5" s="43" t="s">
        <v>108</v>
      </c>
      <c r="H5" s="43" t="s">
        <v>2683</v>
      </c>
      <c r="I5" s="42" t="s">
        <v>2693</v>
      </c>
      <c r="J5" s="42" t="s">
        <v>434</v>
      </c>
      <c r="K5" s="42" t="s">
        <v>2739</v>
      </c>
      <c r="L5" s="42" t="s">
        <v>2759</v>
      </c>
      <c r="M5" s="42" t="s">
        <v>2793</v>
      </c>
      <c r="N5" s="42" t="s">
        <v>2794</v>
      </c>
      <c r="O5" s="44">
        <v>43937</v>
      </c>
      <c r="P5" s="44">
        <v>44012</v>
      </c>
      <c r="Q5" s="44">
        <v>44008</v>
      </c>
      <c r="R5" s="41" t="s">
        <v>2858</v>
      </c>
    </row>
    <row r="6" spans="1:19" ht="66">
      <c r="A6" s="42" t="s">
        <v>2660</v>
      </c>
      <c r="B6" s="42" t="s">
        <v>2661</v>
      </c>
      <c r="C6" s="42" t="s">
        <v>2680</v>
      </c>
      <c r="D6" s="42" t="s">
        <v>2681</v>
      </c>
      <c r="E6" s="42" t="s">
        <v>2682</v>
      </c>
      <c r="F6" s="42" t="s">
        <v>2662</v>
      </c>
      <c r="G6" s="43" t="s">
        <v>108</v>
      </c>
      <c r="H6" s="43" t="s">
        <v>2683</v>
      </c>
      <c r="I6" s="42" t="s">
        <v>2694</v>
      </c>
      <c r="J6" s="42" t="s">
        <v>442</v>
      </c>
      <c r="K6" s="42" t="s">
        <v>2739</v>
      </c>
      <c r="L6" s="42" t="s">
        <v>2761</v>
      </c>
      <c r="M6" s="42" t="s">
        <v>2814</v>
      </c>
      <c r="N6" s="42" t="s">
        <v>2794</v>
      </c>
      <c r="O6" s="44">
        <v>43958</v>
      </c>
      <c r="P6" s="44">
        <v>44074</v>
      </c>
      <c r="Q6" s="44">
        <v>44015</v>
      </c>
      <c r="R6" s="41" t="s">
        <v>2859</v>
      </c>
    </row>
    <row r="7" spans="1:19" ht="66">
      <c r="A7" s="42" t="s">
        <v>2660</v>
      </c>
      <c r="B7" s="42" t="s">
        <v>2661</v>
      </c>
      <c r="C7" s="42" t="s">
        <v>2680</v>
      </c>
      <c r="D7" s="42" t="s">
        <v>2681</v>
      </c>
      <c r="E7" s="42" t="s">
        <v>2682</v>
      </c>
      <c r="F7" s="42" t="s">
        <v>2662</v>
      </c>
      <c r="G7" s="43" t="s">
        <v>108</v>
      </c>
      <c r="H7" s="43" t="s">
        <v>2683</v>
      </c>
      <c r="I7" s="42" t="s">
        <v>2695</v>
      </c>
      <c r="J7" s="42" t="s">
        <v>442</v>
      </c>
      <c r="K7" s="42" t="s">
        <v>2739</v>
      </c>
      <c r="L7" s="42" t="s">
        <v>2761</v>
      </c>
      <c r="M7" s="42" t="s">
        <v>2814</v>
      </c>
      <c r="N7" s="42" t="s">
        <v>2794</v>
      </c>
      <c r="O7" s="44">
        <v>43958</v>
      </c>
      <c r="P7" s="44">
        <v>44074</v>
      </c>
      <c r="Q7" s="44">
        <v>44015</v>
      </c>
      <c r="R7" s="41" t="s">
        <v>2860</v>
      </c>
    </row>
    <row r="8" spans="1:19" ht="66">
      <c r="A8" s="42" t="s">
        <v>219</v>
      </c>
      <c r="B8" s="42" t="s">
        <v>2663</v>
      </c>
      <c r="C8" s="42" t="s">
        <v>2680</v>
      </c>
      <c r="D8" s="42" t="s">
        <v>2681</v>
      </c>
      <c r="E8" s="42" t="s">
        <v>2682</v>
      </c>
      <c r="F8" s="42" t="s">
        <v>2664</v>
      </c>
      <c r="G8" s="43" t="s">
        <v>108</v>
      </c>
      <c r="H8" s="43" t="s">
        <v>2683</v>
      </c>
      <c r="I8" s="42" t="s">
        <v>2696</v>
      </c>
      <c r="J8" s="42" t="s">
        <v>2742</v>
      </c>
      <c r="K8" s="42" t="s">
        <v>2743</v>
      </c>
      <c r="L8" s="42" t="s">
        <v>667</v>
      </c>
      <c r="M8" s="42" t="s">
        <v>2815</v>
      </c>
      <c r="N8" s="42" t="s">
        <v>158</v>
      </c>
      <c r="O8" s="44">
        <v>44083</v>
      </c>
      <c r="P8" s="44">
        <v>44155</v>
      </c>
      <c r="Q8" s="44">
        <v>44139</v>
      </c>
      <c r="R8" s="41" t="s">
        <v>2861</v>
      </c>
    </row>
    <row r="9" spans="1:19" ht="132">
      <c r="A9" s="42" t="s">
        <v>2660</v>
      </c>
      <c r="B9" s="42" t="s">
        <v>2449</v>
      </c>
      <c r="C9" s="42" t="s">
        <v>2665</v>
      </c>
      <c r="D9" s="42" t="s">
        <v>2681</v>
      </c>
      <c r="E9" s="42" t="s">
        <v>2666</v>
      </c>
      <c r="F9" s="42" t="s">
        <v>2662</v>
      </c>
      <c r="G9" s="43" t="s">
        <v>108</v>
      </c>
      <c r="H9" s="43" t="s">
        <v>2683</v>
      </c>
      <c r="I9" s="42" t="s">
        <v>2697</v>
      </c>
      <c r="J9" s="42" t="s">
        <v>2744</v>
      </c>
      <c r="K9" s="42" t="s">
        <v>2745</v>
      </c>
      <c r="L9" s="42" t="s">
        <v>2762</v>
      </c>
      <c r="M9" s="42" t="s">
        <v>2816</v>
      </c>
      <c r="N9" s="42" t="s">
        <v>158</v>
      </c>
      <c r="O9" s="44">
        <v>44091</v>
      </c>
      <c r="P9" s="44">
        <v>44127</v>
      </c>
      <c r="Q9" s="44">
        <v>44119</v>
      </c>
      <c r="R9" s="41" t="s">
        <v>2862</v>
      </c>
    </row>
    <row r="10" spans="1:19" ht="33">
      <c r="A10" s="42" t="s">
        <v>2660</v>
      </c>
      <c r="B10" s="42" t="s">
        <v>2661</v>
      </c>
      <c r="C10" s="42" t="s">
        <v>2449</v>
      </c>
      <c r="D10" s="42" t="s">
        <v>2681</v>
      </c>
      <c r="E10" s="42" t="s">
        <v>2667</v>
      </c>
      <c r="F10" s="42" t="s">
        <v>2668</v>
      </c>
      <c r="G10" s="43" t="s">
        <v>108</v>
      </c>
      <c r="H10" s="43" t="s">
        <v>2683</v>
      </c>
      <c r="I10" s="42" t="s">
        <v>2698</v>
      </c>
      <c r="J10" s="42" t="s">
        <v>437</v>
      </c>
      <c r="K10" s="42" t="s">
        <v>2739</v>
      </c>
      <c r="L10" s="42" t="s">
        <v>2763</v>
      </c>
      <c r="M10" s="42" t="s">
        <v>2795</v>
      </c>
      <c r="N10" s="42" t="s">
        <v>158</v>
      </c>
      <c r="O10" s="44">
        <v>44249</v>
      </c>
      <c r="P10" s="44">
        <v>44316</v>
      </c>
      <c r="Q10" s="44">
        <v>44308</v>
      </c>
      <c r="R10" s="41" t="s">
        <v>2863</v>
      </c>
    </row>
    <row r="11" spans="1:19" ht="49.5">
      <c r="A11" s="42" t="s">
        <v>2660</v>
      </c>
      <c r="B11" s="42" t="s">
        <v>2661</v>
      </c>
      <c r="C11" s="42" t="s">
        <v>2680</v>
      </c>
      <c r="D11" s="42" t="s">
        <v>2681</v>
      </c>
      <c r="E11" s="42" t="s">
        <v>2682</v>
      </c>
      <c r="F11" s="42" t="s">
        <v>2662</v>
      </c>
      <c r="G11" s="43" t="s">
        <v>108</v>
      </c>
      <c r="H11" s="43" t="s">
        <v>2683</v>
      </c>
      <c r="I11" s="42" t="s">
        <v>2699</v>
      </c>
      <c r="J11" s="42" t="s">
        <v>437</v>
      </c>
      <c r="K11" s="42" t="s">
        <v>2739</v>
      </c>
      <c r="L11" s="42" t="s">
        <v>2763</v>
      </c>
      <c r="M11" s="42" t="s">
        <v>2795</v>
      </c>
      <c r="N11" s="42" t="s">
        <v>158</v>
      </c>
      <c r="O11" s="44">
        <v>44249</v>
      </c>
      <c r="P11" s="44">
        <v>44438</v>
      </c>
      <c r="Q11" s="44">
        <v>44383</v>
      </c>
      <c r="R11" s="41" t="s">
        <v>2864</v>
      </c>
    </row>
    <row r="12" spans="1:19" ht="49.5">
      <c r="A12" s="42" t="s">
        <v>2660</v>
      </c>
      <c r="B12" s="42" t="s">
        <v>2661</v>
      </c>
      <c r="C12" s="42" t="s">
        <v>2449</v>
      </c>
      <c r="D12" s="42" t="s">
        <v>2681</v>
      </c>
      <c r="E12" s="42" t="s">
        <v>2682</v>
      </c>
      <c r="F12" s="42" t="s">
        <v>2669</v>
      </c>
      <c r="G12" s="43" t="s">
        <v>108</v>
      </c>
      <c r="H12" s="43" t="s">
        <v>2683</v>
      </c>
      <c r="I12" s="42" t="s">
        <v>2700</v>
      </c>
      <c r="J12" s="42" t="s">
        <v>416</v>
      </c>
      <c r="K12" s="42" t="s">
        <v>2739</v>
      </c>
      <c r="L12" s="42" t="s">
        <v>2764</v>
      </c>
      <c r="M12" s="42" t="s">
        <v>2817</v>
      </c>
      <c r="N12" s="42" t="s">
        <v>2818</v>
      </c>
      <c r="O12" s="44">
        <v>44284</v>
      </c>
      <c r="P12" s="44">
        <v>44316</v>
      </c>
      <c r="Q12" s="44">
        <v>44308</v>
      </c>
      <c r="R12" s="41" t="s">
        <v>2865</v>
      </c>
    </row>
    <row r="13" spans="1:19" ht="115.5">
      <c r="A13" s="42" t="s">
        <v>2660</v>
      </c>
      <c r="B13" s="42" t="s">
        <v>2661</v>
      </c>
      <c r="C13" s="42" t="s">
        <v>2670</v>
      </c>
      <c r="D13" s="42" t="s">
        <v>2681</v>
      </c>
      <c r="E13" s="42" t="s">
        <v>2666</v>
      </c>
      <c r="F13" s="42" t="s">
        <v>2664</v>
      </c>
      <c r="G13" s="43" t="s">
        <v>108</v>
      </c>
      <c r="H13" s="43" t="s">
        <v>2683</v>
      </c>
      <c r="I13" s="42" t="s">
        <v>2701</v>
      </c>
      <c r="J13" s="42" t="s">
        <v>2746</v>
      </c>
      <c r="K13" s="42" t="s">
        <v>2738</v>
      </c>
      <c r="L13" s="42" t="s">
        <v>2765</v>
      </c>
      <c r="M13" s="42" t="s">
        <v>2819</v>
      </c>
      <c r="N13" s="42" t="s">
        <v>158</v>
      </c>
      <c r="O13" s="44">
        <v>44294</v>
      </c>
      <c r="P13" s="44">
        <v>44657</v>
      </c>
      <c r="Q13" s="44">
        <v>44491</v>
      </c>
      <c r="R13" s="41" t="s">
        <v>2866</v>
      </c>
    </row>
    <row r="14" spans="1:19" ht="165">
      <c r="A14" s="42" t="s">
        <v>2660</v>
      </c>
      <c r="B14" s="42" t="s">
        <v>2449</v>
      </c>
      <c r="C14" s="42" t="s">
        <v>2680</v>
      </c>
      <c r="D14" s="42" t="s">
        <v>2681</v>
      </c>
      <c r="E14" s="42" t="s">
        <v>2682</v>
      </c>
      <c r="F14" s="42" t="s">
        <v>2662</v>
      </c>
      <c r="G14" s="43" t="s">
        <v>108</v>
      </c>
      <c r="H14" s="43" t="s">
        <v>2683</v>
      </c>
      <c r="I14" s="42" t="s">
        <v>2702</v>
      </c>
      <c r="J14" s="42" t="s">
        <v>2747</v>
      </c>
      <c r="K14" s="42" t="s">
        <v>2745</v>
      </c>
      <c r="L14" s="42" t="s">
        <v>2766</v>
      </c>
      <c r="M14" s="42" t="s">
        <v>2820</v>
      </c>
      <c r="N14" s="42" t="s">
        <v>2821</v>
      </c>
      <c r="O14" s="44">
        <v>44301</v>
      </c>
      <c r="P14" s="44">
        <v>44576</v>
      </c>
      <c r="Q14" s="44">
        <v>44491</v>
      </c>
      <c r="R14" s="41" t="s">
        <v>2867</v>
      </c>
    </row>
    <row r="15" spans="1:19" ht="181.5">
      <c r="A15" s="42" t="s">
        <v>2660</v>
      </c>
      <c r="B15" s="42" t="s">
        <v>2661</v>
      </c>
      <c r="C15" s="42" t="s">
        <v>2449</v>
      </c>
      <c r="D15" s="42" t="s">
        <v>2681</v>
      </c>
      <c r="E15" s="42" t="s">
        <v>2671</v>
      </c>
      <c r="F15" s="42" t="s">
        <v>2669</v>
      </c>
      <c r="G15" s="43" t="s">
        <v>108</v>
      </c>
      <c r="H15" s="43" t="s">
        <v>2683</v>
      </c>
      <c r="I15" s="42" t="s">
        <v>2703</v>
      </c>
      <c r="J15" s="42" t="s">
        <v>2746</v>
      </c>
      <c r="K15" s="42" t="s">
        <v>2738</v>
      </c>
      <c r="L15" s="42" t="s">
        <v>2767</v>
      </c>
      <c r="M15" s="42" t="s">
        <v>2822</v>
      </c>
      <c r="N15" s="42" t="s">
        <v>2823</v>
      </c>
      <c r="O15" s="44">
        <v>44340</v>
      </c>
      <c r="P15" s="44">
        <v>44489</v>
      </c>
      <c r="Q15" s="44">
        <v>44420</v>
      </c>
      <c r="R15" s="41" t="s">
        <v>2868</v>
      </c>
    </row>
    <row r="16" spans="1:19" ht="49.5">
      <c r="A16" s="42" t="s">
        <v>2660</v>
      </c>
      <c r="B16" s="42" t="s">
        <v>2449</v>
      </c>
      <c r="C16" s="42" t="s">
        <v>2680</v>
      </c>
      <c r="D16" s="42" t="s">
        <v>2681</v>
      </c>
      <c r="E16" s="42" t="s">
        <v>2682</v>
      </c>
      <c r="F16" s="42" t="s">
        <v>2669</v>
      </c>
      <c r="G16" s="43" t="s">
        <v>108</v>
      </c>
      <c r="H16" s="43" t="s">
        <v>2683</v>
      </c>
      <c r="I16" s="42" t="s">
        <v>2704</v>
      </c>
      <c r="J16" s="42" t="s">
        <v>574</v>
      </c>
      <c r="K16" s="42" t="s">
        <v>2745</v>
      </c>
      <c r="L16" s="42" t="s">
        <v>2768</v>
      </c>
      <c r="M16" s="42" t="s">
        <v>2824</v>
      </c>
      <c r="N16" s="42" t="s">
        <v>158</v>
      </c>
      <c r="O16" s="44">
        <v>44348</v>
      </c>
      <c r="P16" s="44">
        <v>44531</v>
      </c>
      <c r="Q16" s="44">
        <v>44526</v>
      </c>
      <c r="R16" s="41" t="s">
        <v>2869</v>
      </c>
    </row>
    <row r="17" spans="1:18" ht="165">
      <c r="A17" s="42" t="s">
        <v>2660</v>
      </c>
      <c r="B17" s="42" t="s">
        <v>2661</v>
      </c>
      <c r="C17" s="42" t="s">
        <v>2680</v>
      </c>
      <c r="D17" s="42" t="s">
        <v>2681</v>
      </c>
      <c r="E17" s="42" t="s">
        <v>2682</v>
      </c>
      <c r="F17" s="42" t="s">
        <v>2662</v>
      </c>
      <c r="G17" s="43" t="s">
        <v>108</v>
      </c>
      <c r="H17" s="43" t="s">
        <v>2683</v>
      </c>
      <c r="I17" s="42" t="s">
        <v>2705</v>
      </c>
      <c r="J17" s="42" t="s">
        <v>2748</v>
      </c>
      <c r="K17" s="42" t="s">
        <v>2739</v>
      </c>
      <c r="L17" s="42" t="s">
        <v>2769</v>
      </c>
      <c r="M17" s="42" t="s">
        <v>2825</v>
      </c>
      <c r="N17" s="42" t="s">
        <v>2826</v>
      </c>
      <c r="O17" s="44">
        <v>44438</v>
      </c>
      <c r="P17" s="44">
        <v>44611</v>
      </c>
      <c r="Q17" s="44" t="s">
        <v>2900</v>
      </c>
      <c r="R17" s="41" t="s">
        <v>2870</v>
      </c>
    </row>
    <row r="18" spans="1:18" ht="132">
      <c r="A18" s="42" t="s">
        <v>2660</v>
      </c>
      <c r="B18" s="42" t="s">
        <v>2661</v>
      </c>
      <c r="C18" s="42" t="s">
        <v>2680</v>
      </c>
      <c r="D18" s="42" t="s">
        <v>2681</v>
      </c>
      <c r="E18" s="42" t="s">
        <v>2682</v>
      </c>
      <c r="F18" s="42" t="s">
        <v>2664</v>
      </c>
      <c r="G18" s="43" t="s">
        <v>108</v>
      </c>
      <c r="H18" s="43" t="s">
        <v>2683</v>
      </c>
      <c r="I18" s="42" t="s">
        <v>2706</v>
      </c>
      <c r="J18" s="42" t="s">
        <v>171</v>
      </c>
      <c r="K18" s="42" t="s">
        <v>2738</v>
      </c>
      <c r="L18" s="42" t="s">
        <v>2770</v>
      </c>
      <c r="M18" s="42" t="s">
        <v>2827</v>
      </c>
      <c r="N18" s="42" t="s">
        <v>2828</v>
      </c>
      <c r="O18" s="44">
        <v>44519</v>
      </c>
      <c r="P18" s="44">
        <v>44610</v>
      </c>
      <c r="Q18" s="44">
        <v>44658</v>
      </c>
      <c r="R18" s="41" t="s">
        <v>2871</v>
      </c>
    </row>
    <row r="19" spans="1:18" ht="66">
      <c r="A19" s="42" t="s">
        <v>2660</v>
      </c>
      <c r="B19" s="42" t="s">
        <v>2661</v>
      </c>
      <c r="C19" s="42" t="s">
        <v>2672</v>
      </c>
      <c r="D19" s="42" t="s">
        <v>2681</v>
      </c>
      <c r="E19" s="42" t="s">
        <v>2449</v>
      </c>
      <c r="F19" s="42" t="s">
        <v>2668</v>
      </c>
      <c r="G19" s="43" t="s">
        <v>108</v>
      </c>
      <c r="H19" s="43" t="s">
        <v>2683</v>
      </c>
      <c r="I19" s="42" t="s">
        <v>2707</v>
      </c>
      <c r="J19" s="42" t="s">
        <v>2746</v>
      </c>
      <c r="K19" s="42" t="s">
        <v>2738</v>
      </c>
      <c r="L19" s="42" t="s">
        <v>2765</v>
      </c>
      <c r="M19" s="42" t="s">
        <v>2819</v>
      </c>
      <c r="N19" s="42" t="s">
        <v>158</v>
      </c>
      <c r="O19" s="44">
        <v>44519</v>
      </c>
      <c r="P19" s="44">
        <v>44819</v>
      </c>
      <c r="Q19" s="44">
        <v>44820</v>
      </c>
      <c r="R19" s="41" t="s">
        <v>2872</v>
      </c>
    </row>
    <row r="20" spans="1:18" ht="33">
      <c r="A20" s="42" t="s">
        <v>2660</v>
      </c>
      <c r="B20" s="42" t="s">
        <v>2661</v>
      </c>
      <c r="C20" s="42" t="s">
        <v>2670</v>
      </c>
      <c r="D20" s="42" t="s">
        <v>2681</v>
      </c>
      <c r="E20" s="42" t="s">
        <v>2673</v>
      </c>
      <c r="F20" s="42" t="s">
        <v>2668</v>
      </c>
      <c r="G20" s="43" t="s">
        <v>108</v>
      </c>
      <c r="H20" s="43" t="s">
        <v>2683</v>
      </c>
      <c r="I20" s="42" t="s">
        <v>2708</v>
      </c>
      <c r="J20" s="42" t="s">
        <v>2749</v>
      </c>
      <c r="K20" s="42" t="s">
        <v>2738</v>
      </c>
      <c r="L20" s="42" t="s">
        <v>2771</v>
      </c>
      <c r="M20" s="42" t="s">
        <v>2829</v>
      </c>
      <c r="N20" s="42" t="s">
        <v>158</v>
      </c>
      <c r="O20" s="44">
        <v>44623</v>
      </c>
      <c r="P20" s="44">
        <v>44764</v>
      </c>
      <c r="Q20" s="44">
        <v>44644</v>
      </c>
      <c r="R20" s="41" t="s">
        <v>2873</v>
      </c>
    </row>
    <row r="21" spans="1:18" ht="49.5">
      <c r="A21" s="42" t="s">
        <v>2660</v>
      </c>
      <c r="B21" s="42" t="s">
        <v>2661</v>
      </c>
      <c r="C21" s="42" t="s">
        <v>2449</v>
      </c>
      <c r="D21" s="42" t="s">
        <v>2681</v>
      </c>
      <c r="E21" s="42" t="s">
        <v>2682</v>
      </c>
      <c r="F21" s="42" t="s">
        <v>2668</v>
      </c>
      <c r="G21" s="43" t="s">
        <v>108</v>
      </c>
      <c r="H21" s="43" t="s">
        <v>2683</v>
      </c>
      <c r="I21" s="42" t="s">
        <v>2709</v>
      </c>
      <c r="J21" s="42" t="s">
        <v>2748</v>
      </c>
      <c r="K21" s="42" t="s">
        <v>2739</v>
      </c>
      <c r="L21" s="42" t="s">
        <v>2772</v>
      </c>
      <c r="M21" s="42" t="s">
        <v>2825</v>
      </c>
      <c r="N21" s="42" t="s">
        <v>158</v>
      </c>
      <c r="O21" s="44">
        <v>44697</v>
      </c>
      <c r="P21" s="44">
        <v>44752</v>
      </c>
      <c r="Q21" s="44">
        <v>44739</v>
      </c>
      <c r="R21" s="41" t="s">
        <v>2874</v>
      </c>
    </row>
    <row r="22" spans="1:18" ht="49.5">
      <c r="A22" s="42" t="s">
        <v>2660</v>
      </c>
      <c r="B22" s="42" t="s">
        <v>2661</v>
      </c>
      <c r="C22" s="42" t="s">
        <v>2665</v>
      </c>
      <c r="D22" s="42" t="s">
        <v>2681</v>
      </c>
      <c r="E22" s="42" t="s">
        <v>2666</v>
      </c>
      <c r="F22" s="42" t="s">
        <v>2669</v>
      </c>
      <c r="G22" s="43" t="s">
        <v>108</v>
      </c>
      <c r="H22" s="43" t="s">
        <v>2683</v>
      </c>
      <c r="I22" s="42" t="s">
        <v>2710</v>
      </c>
      <c r="J22" s="42" t="s">
        <v>437</v>
      </c>
      <c r="K22" s="42" t="s">
        <v>2739</v>
      </c>
      <c r="L22" s="42" t="s">
        <v>2763</v>
      </c>
      <c r="M22" s="42" t="s">
        <v>2795</v>
      </c>
      <c r="N22" s="42" t="s">
        <v>158</v>
      </c>
      <c r="O22" s="44">
        <v>44726</v>
      </c>
      <c r="P22" s="44">
        <v>44722</v>
      </c>
      <c r="Q22" s="44">
        <v>44762</v>
      </c>
      <c r="R22" s="41" t="s">
        <v>2875</v>
      </c>
    </row>
    <row r="23" spans="1:18" ht="66">
      <c r="A23" s="42" t="s">
        <v>2660</v>
      </c>
      <c r="B23" s="42" t="s">
        <v>2661</v>
      </c>
      <c r="C23" s="42" t="s">
        <v>2680</v>
      </c>
      <c r="D23" s="42" t="s">
        <v>2681</v>
      </c>
      <c r="E23" s="42" t="s">
        <v>2682</v>
      </c>
      <c r="F23" s="42" t="s">
        <v>2664</v>
      </c>
      <c r="G23" s="43" t="s">
        <v>108</v>
      </c>
      <c r="H23" s="43" t="s">
        <v>2683</v>
      </c>
      <c r="I23" s="42" t="s">
        <v>2711</v>
      </c>
      <c r="J23" s="42" t="s">
        <v>2749</v>
      </c>
      <c r="K23" s="42" t="s">
        <v>2738</v>
      </c>
      <c r="L23" s="42" t="s">
        <v>2773</v>
      </c>
      <c r="M23" s="42" t="s">
        <v>2829</v>
      </c>
      <c r="N23" s="42" t="s">
        <v>2830</v>
      </c>
      <c r="O23" s="44">
        <v>44763</v>
      </c>
      <c r="P23" s="44">
        <v>44895</v>
      </c>
      <c r="Q23" s="44">
        <v>44830</v>
      </c>
      <c r="R23" s="41" t="s">
        <v>2876</v>
      </c>
    </row>
    <row r="24" spans="1:18" ht="181.5">
      <c r="A24" s="42" t="s">
        <v>219</v>
      </c>
      <c r="B24" s="42" t="s">
        <v>2663</v>
      </c>
      <c r="C24" s="42" t="s">
        <v>2672</v>
      </c>
      <c r="D24" s="42" t="s">
        <v>2681</v>
      </c>
      <c r="E24" s="42" t="s">
        <v>2449</v>
      </c>
      <c r="F24" s="42" t="s">
        <v>2668</v>
      </c>
      <c r="G24" s="43" t="s">
        <v>108</v>
      </c>
      <c r="H24" s="43" t="s">
        <v>2683</v>
      </c>
      <c r="I24" s="42" t="s">
        <v>2712</v>
      </c>
      <c r="J24" s="42" t="s">
        <v>695</v>
      </c>
      <c r="K24" s="42" t="s">
        <v>2743</v>
      </c>
      <c r="L24" s="42" t="s">
        <v>2774</v>
      </c>
      <c r="M24" s="42" t="s">
        <v>2831</v>
      </c>
      <c r="N24" s="42" t="s">
        <v>158</v>
      </c>
      <c r="O24" s="44">
        <v>44803</v>
      </c>
      <c r="P24" s="44">
        <v>44974</v>
      </c>
      <c r="Q24" s="44">
        <v>45043</v>
      </c>
      <c r="R24" s="41" t="s">
        <v>2877</v>
      </c>
    </row>
    <row r="25" spans="1:18" ht="82.5">
      <c r="A25" s="42" t="s">
        <v>2660</v>
      </c>
      <c r="B25" s="42" t="s">
        <v>2661</v>
      </c>
      <c r="C25" s="42" t="s">
        <v>2449</v>
      </c>
      <c r="D25" s="42" t="s">
        <v>2681</v>
      </c>
      <c r="E25" s="42" t="s">
        <v>2682</v>
      </c>
      <c r="F25" s="42" t="s">
        <v>2668</v>
      </c>
      <c r="G25" s="43" t="s">
        <v>108</v>
      </c>
      <c r="H25" s="43" t="s">
        <v>2683</v>
      </c>
      <c r="I25" s="42" t="s">
        <v>2713</v>
      </c>
      <c r="J25" s="42" t="s">
        <v>2750</v>
      </c>
      <c r="K25" s="42" t="s">
        <v>2739</v>
      </c>
      <c r="L25" s="42" t="s">
        <v>2775</v>
      </c>
      <c r="M25" s="42" t="s">
        <v>2832</v>
      </c>
      <c r="N25" s="42" t="s">
        <v>158</v>
      </c>
      <c r="O25" s="44">
        <v>44832</v>
      </c>
      <c r="P25" s="44">
        <v>44995</v>
      </c>
      <c r="Q25" s="44">
        <v>44944</v>
      </c>
      <c r="R25" s="41" t="s">
        <v>2878</v>
      </c>
    </row>
    <row r="26" spans="1:18" ht="198">
      <c r="A26" s="42" t="s">
        <v>2660</v>
      </c>
      <c r="B26" s="42" t="s">
        <v>2661</v>
      </c>
      <c r="C26" s="42" t="s">
        <v>2449</v>
      </c>
      <c r="D26" s="42" t="s">
        <v>2674</v>
      </c>
      <c r="E26" s="42" t="s">
        <v>2675</v>
      </c>
      <c r="F26" s="42" t="s">
        <v>2668</v>
      </c>
      <c r="G26" s="43" t="s">
        <v>108</v>
      </c>
      <c r="H26" s="43" t="s">
        <v>2683</v>
      </c>
      <c r="I26" s="42" t="s">
        <v>2714</v>
      </c>
      <c r="J26" s="42" t="s">
        <v>519</v>
      </c>
      <c r="K26" s="42" t="s">
        <v>2738</v>
      </c>
      <c r="L26" s="42" t="s">
        <v>2776</v>
      </c>
      <c r="M26" s="42" t="s">
        <v>2833</v>
      </c>
      <c r="N26" s="42" t="s">
        <v>2834</v>
      </c>
      <c r="O26" s="44">
        <v>44852</v>
      </c>
      <c r="P26" s="44">
        <v>44926</v>
      </c>
      <c r="Q26" s="44">
        <v>44945</v>
      </c>
      <c r="R26" s="41" t="s">
        <v>2879</v>
      </c>
    </row>
    <row r="27" spans="1:18" ht="346.5">
      <c r="A27" s="42" t="s">
        <v>219</v>
      </c>
      <c r="B27" s="42" t="s">
        <v>2676</v>
      </c>
      <c r="C27" s="42" t="s">
        <v>2672</v>
      </c>
      <c r="D27" s="42" t="s">
        <v>2681</v>
      </c>
      <c r="E27" s="42" t="s">
        <v>2449</v>
      </c>
      <c r="F27" s="42" t="s">
        <v>2668</v>
      </c>
      <c r="G27" s="43" t="s">
        <v>108</v>
      </c>
      <c r="H27" s="43" t="s">
        <v>2683</v>
      </c>
      <c r="I27" s="42" t="s">
        <v>2715</v>
      </c>
      <c r="J27" s="42" t="s">
        <v>676</v>
      </c>
      <c r="K27" s="42" t="s">
        <v>2743</v>
      </c>
      <c r="L27" s="42" t="s">
        <v>2777</v>
      </c>
      <c r="M27" s="42" t="s">
        <v>2796</v>
      </c>
      <c r="N27" s="42" t="s">
        <v>158</v>
      </c>
      <c r="O27" s="44">
        <v>44907</v>
      </c>
      <c r="P27" s="44">
        <v>45088</v>
      </c>
      <c r="Q27" s="44">
        <v>45063</v>
      </c>
      <c r="R27" s="41" t="s">
        <v>2880</v>
      </c>
    </row>
    <row r="28" spans="1:18" ht="214.5">
      <c r="A28" s="42" t="s">
        <v>219</v>
      </c>
      <c r="B28" s="42" t="s">
        <v>2676</v>
      </c>
      <c r="C28" s="42" t="s">
        <v>2672</v>
      </c>
      <c r="D28" s="42" t="s">
        <v>2681</v>
      </c>
      <c r="E28" s="42" t="s">
        <v>2449</v>
      </c>
      <c r="F28" s="42" t="s">
        <v>2668</v>
      </c>
      <c r="G28" s="43" t="s">
        <v>108</v>
      </c>
      <c r="H28" s="43" t="s">
        <v>2683</v>
      </c>
      <c r="I28" s="42" t="s">
        <v>2716</v>
      </c>
      <c r="J28" s="42" t="s">
        <v>676</v>
      </c>
      <c r="K28" s="42" t="s">
        <v>2743</v>
      </c>
      <c r="L28" s="42" t="s">
        <v>2777</v>
      </c>
      <c r="M28" s="42" t="s">
        <v>2796</v>
      </c>
      <c r="N28" s="42" t="s">
        <v>158</v>
      </c>
      <c r="O28" s="44">
        <v>44907</v>
      </c>
      <c r="P28" s="44">
        <v>45088</v>
      </c>
      <c r="Q28" s="44">
        <v>44911</v>
      </c>
      <c r="R28" s="41" t="s">
        <v>2881</v>
      </c>
    </row>
    <row r="29" spans="1:18" ht="181.5">
      <c r="A29" s="42" t="s">
        <v>219</v>
      </c>
      <c r="B29" s="42" t="s">
        <v>2676</v>
      </c>
      <c r="C29" s="42" t="s">
        <v>2672</v>
      </c>
      <c r="D29" s="42" t="s">
        <v>2681</v>
      </c>
      <c r="E29" s="42" t="s">
        <v>2449</v>
      </c>
      <c r="F29" s="42" t="s">
        <v>2668</v>
      </c>
      <c r="G29" s="43" t="s">
        <v>108</v>
      </c>
      <c r="H29" s="43" t="s">
        <v>2683</v>
      </c>
      <c r="I29" s="42" t="s">
        <v>2717</v>
      </c>
      <c r="J29" s="42" t="s">
        <v>698</v>
      </c>
      <c r="K29" s="42" t="s">
        <v>2743</v>
      </c>
      <c r="L29" s="42" t="s">
        <v>2778</v>
      </c>
      <c r="M29" s="42" t="s">
        <v>2797</v>
      </c>
      <c r="N29" s="42" t="s">
        <v>2835</v>
      </c>
      <c r="O29" s="44">
        <v>44911</v>
      </c>
      <c r="P29" s="44">
        <v>45063</v>
      </c>
      <c r="Q29" s="44">
        <v>45625</v>
      </c>
      <c r="R29" s="41" t="s">
        <v>2882</v>
      </c>
    </row>
    <row r="30" spans="1:18" ht="132">
      <c r="A30" s="42" t="s">
        <v>2660</v>
      </c>
      <c r="B30" s="42" t="s">
        <v>2661</v>
      </c>
      <c r="C30" s="42" t="s">
        <v>2665</v>
      </c>
      <c r="D30" s="42" t="s">
        <v>2681</v>
      </c>
      <c r="E30" s="42" t="s">
        <v>2666</v>
      </c>
      <c r="F30" s="42" t="s">
        <v>2662</v>
      </c>
      <c r="G30" s="43" t="s">
        <v>108</v>
      </c>
      <c r="H30" s="43" t="s">
        <v>2683</v>
      </c>
      <c r="I30" s="42" t="s">
        <v>2718</v>
      </c>
      <c r="J30" s="42" t="s">
        <v>2749</v>
      </c>
      <c r="K30" s="42" t="s">
        <v>2738</v>
      </c>
      <c r="L30" s="42" t="s">
        <v>2779</v>
      </c>
      <c r="M30" s="42" t="s">
        <v>2829</v>
      </c>
      <c r="N30" s="42" t="s">
        <v>2836</v>
      </c>
      <c r="O30" s="44">
        <v>44902</v>
      </c>
      <c r="P30" s="44">
        <v>44970</v>
      </c>
      <c r="Q30" s="44">
        <v>44912</v>
      </c>
      <c r="R30" s="41" t="s">
        <v>2883</v>
      </c>
    </row>
    <row r="31" spans="1:18" ht="148.5">
      <c r="A31" s="42" t="s">
        <v>2660</v>
      </c>
      <c r="B31" s="42" t="s">
        <v>2677</v>
      </c>
      <c r="C31" s="42" t="s">
        <v>2680</v>
      </c>
      <c r="D31" s="42" t="s">
        <v>2681</v>
      </c>
      <c r="E31" s="42" t="s">
        <v>2682</v>
      </c>
      <c r="F31" s="42" t="s">
        <v>2668</v>
      </c>
      <c r="G31" s="43" t="s">
        <v>108</v>
      </c>
      <c r="H31" s="43" t="s">
        <v>2683</v>
      </c>
      <c r="I31" s="42" t="s">
        <v>2719</v>
      </c>
      <c r="J31" s="42" t="s">
        <v>2749</v>
      </c>
      <c r="K31" s="42" t="s">
        <v>2738</v>
      </c>
      <c r="L31" s="42" t="s">
        <v>2780</v>
      </c>
      <c r="M31" s="42" t="s">
        <v>2829</v>
      </c>
      <c r="N31" s="42" t="s">
        <v>2837</v>
      </c>
      <c r="O31" s="44">
        <v>44930</v>
      </c>
      <c r="P31" s="44">
        <v>45076</v>
      </c>
      <c r="Q31" s="44">
        <v>44960</v>
      </c>
      <c r="R31" s="41" t="s">
        <v>2884</v>
      </c>
    </row>
    <row r="32" spans="1:18" ht="231">
      <c r="A32" s="42" t="s">
        <v>219</v>
      </c>
      <c r="B32" s="42" t="s">
        <v>2663</v>
      </c>
      <c r="C32" s="42" t="s">
        <v>2672</v>
      </c>
      <c r="D32" s="42" t="s">
        <v>2681</v>
      </c>
      <c r="E32" s="42" t="s">
        <v>2449</v>
      </c>
      <c r="F32" s="42" t="s">
        <v>2668</v>
      </c>
      <c r="G32" s="43" t="s">
        <v>108</v>
      </c>
      <c r="H32" s="43" t="s">
        <v>2683</v>
      </c>
      <c r="I32" s="42" t="s">
        <v>2720</v>
      </c>
      <c r="J32" s="42" t="s">
        <v>695</v>
      </c>
      <c r="K32" s="42" t="s">
        <v>2743</v>
      </c>
      <c r="L32" s="42" t="s">
        <v>2781</v>
      </c>
      <c r="M32" s="42" t="s">
        <v>2831</v>
      </c>
      <c r="N32" s="42" t="s">
        <v>158</v>
      </c>
      <c r="O32" s="44">
        <v>44935</v>
      </c>
      <c r="P32" s="44">
        <v>44957</v>
      </c>
      <c r="Q32" s="44">
        <v>45063</v>
      </c>
      <c r="R32" s="41" t="s">
        <v>2885</v>
      </c>
    </row>
    <row r="33" spans="1:18" ht="165">
      <c r="A33" s="42" t="s">
        <v>219</v>
      </c>
      <c r="B33" s="42" t="s">
        <v>2663</v>
      </c>
      <c r="C33" s="42" t="s">
        <v>2672</v>
      </c>
      <c r="D33" s="42" t="s">
        <v>2681</v>
      </c>
      <c r="E33" s="42" t="s">
        <v>2449</v>
      </c>
      <c r="F33" s="42" t="s">
        <v>2668</v>
      </c>
      <c r="G33" s="43" t="s">
        <v>108</v>
      </c>
      <c r="H33" s="43" t="s">
        <v>2683</v>
      </c>
      <c r="I33" s="42" t="s">
        <v>2721</v>
      </c>
      <c r="J33" s="42" t="s">
        <v>732</v>
      </c>
      <c r="K33" s="42" t="s">
        <v>2743</v>
      </c>
      <c r="L33" s="42" t="s">
        <v>2782</v>
      </c>
      <c r="M33" s="42" t="s">
        <v>2838</v>
      </c>
      <c r="N33" s="42" t="s">
        <v>158</v>
      </c>
      <c r="O33" s="44">
        <v>44951</v>
      </c>
      <c r="P33" s="44">
        <v>44985</v>
      </c>
      <c r="Q33" s="44">
        <v>45625</v>
      </c>
      <c r="R33" s="41" t="s">
        <v>2886</v>
      </c>
    </row>
    <row r="34" spans="1:18" ht="66">
      <c r="A34" s="42" t="s">
        <v>2660</v>
      </c>
      <c r="B34" s="42" t="s">
        <v>2449</v>
      </c>
      <c r="C34" s="42" t="s">
        <v>2449</v>
      </c>
      <c r="D34" s="42" t="s">
        <v>2681</v>
      </c>
      <c r="E34" s="42" t="s">
        <v>2666</v>
      </c>
      <c r="F34" s="42" t="s">
        <v>2664</v>
      </c>
      <c r="G34" s="43" t="s">
        <v>108</v>
      </c>
      <c r="H34" s="43" t="s">
        <v>2683</v>
      </c>
      <c r="I34" s="42" t="s">
        <v>2722</v>
      </c>
      <c r="J34" s="42" t="s">
        <v>2751</v>
      </c>
      <c r="K34" s="42" t="s">
        <v>2745</v>
      </c>
      <c r="L34" s="42" t="s">
        <v>2752</v>
      </c>
      <c r="M34" s="42" t="s">
        <v>2798</v>
      </c>
      <c r="N34" s="42" t="s">
        <v>158</v>
      </c>
      <c r="O34" s="44">
        <v>45005</v>
      </c>
      <c r="P34" s="44">
        <v>45097</v>
      </c>
      <c r="Q34" s="44">
        <v>45020</v>
      </c>
      <c r="R34" s="41" t="s">
        <v>2887</v>
      </c>
    </row>
    <row r="35" spans="1:18" ht="82.5">
      <c r="A35" s="42" t="s">
        <v>2660</v>
      </c>
      <c r="B35" s="42" t="s">
        <v>2449</v>
      </c>
      <c r="C35" s="42" t="s">
        <v>2449</v>
      </c>
      <c r="D35" s="42" t="s">
        <v>2681</v>
      </c>
      <c r="E35" s="42" t="s">
        <v>2682</v>
      </c>
      <c r="F35" s="42" t="s">
        <v>2668</v>
      </c>
      <c r="G35" s="43" t="s">
        <v>108</v>
      </c>
      <c r="H35" s="43" t="s">
        <v>2683</v>
      </c>
      <c r="I35" s="42" t="s">
        <v>2723</v>
      </c>
      <c r="J35" s="42" t="s">
        <v>2751</v>
      </c>
      <c r="K35" s="42" t="s">
        <v>2745</v>
      </c>
      <c r="L35" s="42" t="s">
        <v>2752</v>
      </c>
      <c r="M35" s="42" t="s">
        <v>2798</v>
      </c>
      <c r="N35" s="42" t="s">
        <v>158</v>
      </c>
      <c r="O35" s="44">
        <v>45005</v>
      </c>
      <c r="P35" s="44">
        <v>45097</v>
      </c>
      <c r="Q35" s="44">
        <v>45020</v>
      </c>
      <c r="R35" s="41" t="s">
        <v>2888</v>
      </c>
    </row>
    <row r="36" spans="1:18" ht="49.5">
      <c r="A36" s="42" t="s">
        <v>2660</v>
      </c>
      <c r="B36" s="42" t="s">
        <v>2449</v>
      </c>
      <c r="C36" s="42" t="s">
        <v>2449</v>
      </c>
      <c r="D36" s="42" t="s">
        <v>2681</v>
      </c>
      <c r="E36" s="42" t="s">
        <v>2682</v>
      </c>
      <c r="F36" s="42" t="s">
        <v>2669</v>
      </c>
      <c r="G36" s="43" t="s">
        <v>108</v>
      </c>
      <c r="H36" s="43" t="s">
        <v>2683</v>
      </c>
      <c r="I36" s="42" t="s">
        <v>2724</v>
      </c>
      <c r="J36" s="42" t="s">
        <v>645</v>
      </c>
      <c r="K36" s="42" t="s">
        <v>2745</v>
      </c>
      <c r="L36" s="42" t="s">
        <v>2783</v>
      </c>
      <c r="M36" s="42" t="s">
        <v>2839</v>
      </c>
      <c r="N36" s="42" t="s">
        <v>158</v>
      </c>
      <c r="O36" s="44">
        <v>45034</v>
      </c>
      <c r="P36" s="44">
        <v>45110</v>
      </c>
      <c r="Q36" s="44">
        <v>45030</v>
      </c>
      <c r="R36" s="41" t="s">
        <v>2889</v>
      </c>
    </row>
    <row r="37" spans="1:18" ht="82.5">
      <c r="A37" s="42" t="s">
        <v>2660</v>
      </c>
      <c r="B37" s="42" t="s">
        <v>2661</v>
      </c>
      <c r="C37" s="42" t="s">
        <v>2680</v>
      </c>
      <c r="D37" s="42" t="s">
        <v>2681</v>
      </c>
      <c r="E37" s="42" t="s">
        <v>2682</v>
      </c>
      <c r="F37" s="42" t="s">
        <v>2669</v>
      </c>
      <c r="G37" s="43" t="s">
        <v>108</v>
      </c>
      <c r="H37" s="43" t="s">
        <v>2683</v>
      </c>
      <c r="I37" s="42" t="s">
        <v>2725</v>
      </c>
      <c r="J37" s="42" t="s">
        <v>978</v>
      </c>
      <c r="K37" s="42" t="s">
        <v>2738</v>
      </c>
      <c r="L37" s="42" t="s">
        <v>2784</v>
      </c>
      <c r="M37" s="42" t="s">
        <v>2840</v>
      </c>
      <c r="N37" s="42" t="s">
        <v>2841</v>
      </c>
      <c r="O37" s="44">
        <v>45060</v>
      </c>
      <c r="P37" s="44">
        <v>45152</v>
      </c>
      <c r="Q37" s="44">
        <v>45064</v>
      </c>
      <c r="R37" s="41" t="s">
        <v>2890</v>
      </c>
    </row>
    <row r="38" spans="1:18" ht="33">
      <c r="A38" s="42" t="s">
        <v>2660</v>
      </c>
      <c r="B38" s="42" t="s">
        <v>2661</v>
      </c>
      <c r="C38" s="42" t="s">
        <v>2449</v>
      </c>
      <c r="D38" s="42" t="s">
        <v>2674</v>
      </c>
      <c r="E38" s="42" t="s">
        <v>2678</v>
      </c>
      <c r="F38" s="42" t="s">
        <v>2668</v>
      </c>
      <c r="G38" s="43" t="s">
        <v>108</v>
      </c>
      <c r="H38" s="43" t="s">
        <v>2683</v>
      </c>
      <c r="I38" s="42" t="s">
        <v>2726</v>
      </c>
      <c r="J38" s="42" t="s">
        <v>2740</v>
      </c>
      <c r="K38" s="42" t="s">
        <v>2738</v>
      </c>
      <c r="L38" s="42" t="s">
        <v>2753</v>
      </c>
      <c r="M38" s="42" t="s">
        <v>2799</v>
      </c>
      <c r="N38" s="42" t="s">
        <v>2842</v>
      </c>
      <c r="O38" s="44">
        <v>44998</v>
      </c>
      <c r="P38" s="44">
        <v>45202</v>
      </c>
      <c r="Q38" s="44">
        <v>45117</v>
      </c>
      <c r="R38" s="41" t="s">
        <v>2891</v>
      </c>
    </row>
    <row r="39" spans="1:18" ht="181.5">
      <c r="A39" s="42" t="s">
        <v>2660</v>
      </c>
      <c r="B39" s="42" t="s">
        <v>2661</v>
      </c>
      <c r="C39" s="42" t="s">
        <v>2672</v>
      </c>
      <c r="D39" s="42" t="s">
        <v>2681</v>
      </c>
      <c r="E39" s="42" t="s">
        <v>2449</v>
      </c>
      <c r="F39" s="42" t="s">
        <v>2668</v>
      </c>
      <c r="G39" s="43" t="s">
        <v>108</v>
      </c>
      <c r="H39" s="43" t="s">
        <v>2683</v>
      </c>
      <c r="I39" s="42" t="s">
        <v>2684</v>
      </c>
      <c r="J39" s="42" t="s">
        <v>993</v>
      </c>
      <c r="K39" s="42" t="s">
        <v>2738</v>
      </c>
      <c r="L39" s="42" t="s">
        <v>2754</v>
      </c>
      <c r="M39" s="42" t="s">
        <v>2799</v>
      </c>
      <c r="N39" s="42" t="s">
        <v>2800</v>
      </c>
      <c r="O39" s="44">
        <v>45299</v>
      </c>
      <c r="P39" s="44" t="s">
        <v>2899</v>
      </c>
      <c r="Q39" s="44">
        <v>45369</v>
      </c>
      <c r="R39" s="41" t="s">
        <v>2892</v>
      </c>
    </row>
    <row r="40" spans="1:18" ht="165">
      <c r="A40" s="42" t="s">
        <v>2660</v>
      </c>
      <c r="B40" s="42" t="s">
        <v>2661</v>
      </c>
      <c r="C40" s="42" t="s">
        <v>2680</v>
      </c>
      <c r="D40" s="42" t="s">
        <v>2681</v>
      </c>
      <c r="E40" s="42" t="s">
        <v>2666</v>
      </c>
      <c r="F40" s="42" t="s">
        <v>2668</v>
      </c>
      <c r="G40" s="43" t="s">
        <v>108</v>
      </c>
      <c r="H40" s="43" t="s">
        <v>2683</v>
      </c>
      <c r="I40" s="42" t="s">
        <v>2685</v>
      </c>
      <c r="J40" s="42" t="s">
        <v>402</v>
      </c>
      <c r="K40" s="42" t="s">
        <v>2739</v>
      </c>
      <c r="L40" s="42" t="s">
        <v>2755</v>
      </c>
      <c r="M40" s="42" t="s">
        <v>2801</v>
      </c>
      <c r="N40" s="42" t="s">
        <v>158</v>
      </c>
      <c r="O40" s="44">
        <v>45302</v>
      </c>
      <c r="P40" s="44">
        <v>45415</v>
      </c>
      <c r="Q40" s="44">
        <v>45323</v>
      </c>
      <c r="R40" s="41" t="s">
        <v>2844</v>
      </c>
    </row>
    <row r="41" spans="1:18" ht="99">
      <c r="A41" s="42" t="s">
        <v>2660</v>
      </c>
      <c r="B41" s="42" t="s">
        <v>2661</v>
      </c>
      <c r="C41" s="42" t="s">
        <v>2680</v>
      </c>
      <c r="D41" s="42" t="s">
        <v>2681</v>
      </c>
      <c r="E41" s="42" t="s">
        <v>2671</v>
      </c>
      <c r="F41" s="42" t="s">
        <v>2669</v>
      </c>
      <c r="G41" s="43" t="s">
        <v>108</v>
      </c>
      <c r="H41" s="43" t="s">
        <v>2683</v>
      </c>
      <c r="I41" s="42" t="s">
        <v>2686</v>
      </c>
      <c r="J41" s="42" t="s">
        <v>406</v>
      </c>
      <c r="K41" s="42" t="s">
        <v>2739</v>
      </c>
      <c r="L41" s="42" t="s">
        <v>2756</v>
      </c>
      <c r="M41" s="42" t="s">
        <v>2802</v>
      </c>
      <c r="N41" s="42" t="s">
        <v>158</v>
      </c>
      <c r="O41" s="44">
        <v>45314</v>
      </c>
      <c r="P41" s="44">
        <v>45380</v>
      </c>
      <c r="Q41" s="44">
        <v>45441</v>
      </c>
      <c r="R41" s="41" t="s">
        <v>2845</v>
      </c>
    </row>
    <row r="42" spans="1:18" ht="165">
      <c r="A42" s="42" t="s">
        <v>2660</v>
      </c>
      <c r="B42" s="42" t="s">
        <v>2661</v>
      </c>
      <c r="C42" s="42" t="s">
        <v>2680</v>
      </c>
      <c r="D42" s="42" t="s">
        <v>2681</v>
      </c>
      <c r="E42" s="42" t="s">
        <v>2671</v>
      </c>
      <c r="F42" s="42" t="s">
        <v>2669</v>
      </c>
      <c r="G42" s="43" t="s">
        <v>108</v>
      </c>
      <c r="H42" s="43" t="s">
        <v>2683</v>
      </c>
      <c r="I42" s="42" t="s">
        <v>2687</v>
      </c>
      <c r="J42" s="42" t="s">
        <v>406</v>
      </c>
      <c r="K42" s="42" t="s">
        <v>2739</v>
      </c>
      <c r="L42" s="42" t="s">
        <v>2756</v>
      </c>
      <c r="M42" s="42" t="s">
        <v>2802</v>
      </c>
      <c r="N42" s="42" t="s">
        <v>158</v>
      </c>
      <c r="O42" s="44">
        <v>45314</v>
      </c>
      <c r="P42" s="44">
        <v>45502</v>
      </c>
      <c r="Q42" s="44">
        <v>45441</v>
      </c>
      <c r="R42" s="41" t="s">
        <v>2846</v>
      </c>
    </row>
    <row r="43" spans="1:18" ht="82.5">
      <c r="A43" s="42" t="s">
        <v>2660</v>
      </c>
      <c r="B43" s="42" t="s">
        <v>2661</v>
      </c>
      <c r="C43" s="42" t="s">
        <v>2672</v>
      </c>
      <c r="D43" s="42" t="s">
        <v>2681</v>
      </c>
      <c r="E43" s="42" t="s">
        <v>2449</v>
      </c>
      <c r="F43" s="42" t="s">
        <v>2668</v>
      </c>
      <c r="G43" s="43" t="s">
        <v>108</v>
      </c>
      <c r="H43" s="43" t="s">
        <v>2683</v>
      </c>
      <c r="I43" s="42" t="s">
        <v>2727</v>
      </c>
      <c r="J43" s="42" t="s">
        <v>2740</v>
      </c>
      <c r="K43" s="42" t="s">
        <v>2738</v>
      </c>
      <c r="L43" s="42" t="s">
        <v>2785</v>
      </c>
      <c r="M43" s="42" t="s">
        <v>2803</v>
      </c>
      <c r="N43" s="42" t="s">
        <v>158</v>
      </c>
      <c r="O43" s="44">
        <v>45341</v>
      </c>
      <c r="P43" s="44">
        <v>45522</v>
      </c>
      <c r="Q43" s="44">
        <v>45593</v>
      </c>
      <c r="R43" s="41" t="s">
        <v>2847</v>
      </c>
    </row>
    <row r="44" spans="1:18" ht="214.5">
      <c r="A44" s="42" t="s">
        <v>2660</v>
      </c>
      <c r="B44" s="42" t="s">
        <v>2661</v>
      </c>
      <c r="C44" s="42" t="s">
        <v>2680</v>
      </c>
      <c r="D44" s="42" t="s">
        <v>2681</v>
      </c>
      <c r="E44" s="42" t="s">
        <v>2682</v>
      </c>
      <c r="F44" s="42" t="s">
        <v>2668</v>
      </c>
      <c r="G44" s="43" t="s">
        <v>108</v>
      </c>
      <c r="H44" s="43" t="s">
        <v>2683</v>
      </c>
      <c r="I44" s="42" t="s">
        <v>2728</v>
      </c>
      <c r="J44" s="42" t="s">
        <v>2740</v>
      </c>
      <c r="K44" s="42" t="s">
        <v>2738</v>
      </c>
      <c r="L44" s="42" t="s">
        <v>2785</v>
      </c>
      <c r="M44" s="42" t="s">
        <v>2803</v>
      </c>
      <c r="N44" s="42" t="s">
        <v>158</v>
      </c>
      <c r="O44" s="44">
        <v>45341</v>
      </c>
      <c r="P44" s="44">
        <v>45522</v>
      </c>
      <c r="Q44" s="44">
        <v>45635</v>
      </c>
      <c r="R44" s="41" t="s">
        <v>2848</v>
      </c>
    </row>
    <row r="45" spans="1:18" ht="66">
      <c r="A45" s="42" t="s">
        <v>2660</v>
      </c>
      <c r="B45" s="42" t="s">
        <v>2661</v>
      </c>
      <c r="C45" s="42" t="s">
        <v>2449</v>
      </c>
      <c r="D45" s="42" t="s">
        <v>2681</v>
      </c>
      <c r="E45" s="42" t="s">
        <v>2682</v>
      </c>
      <c r="F45" s="42" t="s">
        <v>2668</v>
      </c>
      <c r="G45" s="43" t="s">
        <v>108</v>
      </c>
      <c r="H45" s="43" t="s">
        <v>2683</v>
      </c>
      <c r="I45" s="42" t="s">
        <v>2688</v>
      </c>
      <c r="J45" s="42" t="s">
        <v>993</v>
      </c>
      <c r="K45" s="42" t="s">
        <v>2738</v>
      </c>
      <c r="L45" s="42" t="s">
        <v>2754</v>
      </c>
      <c r="M45" s="42" t="s">
        <v>2799</v>
      </c>
      <c r="N45" s="42" t="s">
        <v>2800</v>
      </c>
      <c r="O45" s="44">
        <v>45348</v>
      </c>
      <c r="P45" s="44">
        <v>45520</v>
      </c>
      <c r="Q45" s="44">
        <v>45471</v>
      </c>
      <c r="R45" s="41" t="s">
        <v>2849</v>
      </c>
    </row>
    <row r="46" spans="1:18" ht="231">
      <c r="A46" s="42" t="s">
        <v>2660</v>
      </c>
      <c r="B46" s="42" t="s">
        <v>2661</v>
      </c>
      <c r="C46" s="42" t="s">
        <v>2672</v>
      </c>
      <c r="D46" s="42" t="s">
        <v>2681</v>
      </c>
      <c r="E46" s="42" t="s">
        <v>2449</v>
      </c>
      <c r="F46" s="42" t="s">
        <v>2668</v>
      </c>
      <c r="G46" s="43" t="s">
        <v>108</v>
      </c>
      <c r="H46" s="43" t="s">
        <v>2683</v>
      </c>
      <c r="I46" s="42" t="s">
        <v>2689</v>
      </c>
      <c r="J46" s="42" t="s">
        <v>431</v>
      </c>
      <c r="K46" s="42" t="s">
        <v>2739</v>
      </c>
      <c r="L46" s="42" t="s">
        <v>2757</v>
      </c>
      <c r="M46" s="42" t="s">
        <v>2804</v>
      </c>
      <c r="N46" s="42" t="s">
        <v>2805</v>
      </c>
      <c r="O46" s="44">
        <v>45462</v>
      </c>
      <c r="P46" s="44">
        <v>45595</v>
      </c>
      <c r="Q46" s="44">
        <v>45538</v>
      </c>
      <c r="R46" s="41" t="s">
        <v>2850</v>
      </c>
    </row>
    <row r="47" spans="1:18" ht="66">
      <c r="A47" s="42" t="s">
        <v>219</v>
      </c>
      <c r="B47" s="42" t="s">
        <v>2679</v>
      </c>
      <c r="C47" s="42" t="s">
        <v>2672</v>
      </c>
      <c r="D47" s="42" t="s">
        <v>2681</v>
      </c>
      <c r="E47" s="42" t="s">
        <v>2449</v>
      </c>
      <c r="F47" s="42" t="s">
        <v>2668</v>
      </c>
      <c r="G47" s="43" t="s">
        <v>108</v>
      </c>
      <c r="H47" s="43" t="s">
        <v>2683</v>
      </c>
      <c r="I47" s="42" t="s">
        <v>2729</v>
      </c>
      <c r="J47" s="42" t="s">
        <v>1144</v>
      </c>
      <c r="K47" s="42" t="s">
        <v>2741</v>
      </c>
      <c r="L47" s="42" t="s">
        <v>2786</v>
      </c>
      <c r="M47" s="42" t="s">
        <v>2806</v>
      </c>
      <c r="N47" s="42" t="s">
        <v>158</v>
      </c>
      <c r="O47" s="44">
        <v>45454</v>
      </c>
      <c r="P47" s="44">
        <v>45636</v>
      </c>
      <c r="Q47" s="44">
        <v>45593</v>
      </c>
      <c r="R47" s="41" t="s">
        <v>2851</v>
      </c>
    </row>
    <row r="48" spans="1:18" ht="66">
      <c r="A48" s="42" t="s">
        <v>2660</v>
      </c>
      <c r="B48" s="42" t="s">
        <v>2661</v>
      </c>
      <c r="C48" s="42" t="s">
        <v>2449</v>
      </c>
      <c r="D48" s="42" t="s">
        <v>2681</v>
      </c>
      <c r="E48" s="42" t="s">
        <v>2682</v>
      </c>
      <c r="F48" s="42" t="s">
        <v>2662</v>
      </c>
      <c r="G48" s="43" t="s">
        <v>108</v>
      </c>
      <c r="H48" s="43" t="s">
        <v>2683</v>
      </c>
      <c r="I48" s="42" t="s">
        <v>2685</v>
      </c>
      <c r="J48" s="42" t="s">
        <v>402</v>
      </c>
      <c r="K48" s="42" t="s">
        <v>2739</v>
      </c>
      <c r="L48" s="42" t="s">
        <v>2755</v>
      </c>
      <c r="M48" s="42" t="s">
        <v>2807</v>
      </c>
      <c r="N48" s="42" t="s">
        <v>158</v>
      </c>
      <c r="O48" s="44">
        <v>45509</v>
      </c>
      <c r="P48" s="44">
        <v>45554</v>
      </c>
      <c r="Q48" s="44">
        <v>45509</v>
      </c>
      <c r="R48" s="41" t="s">
        <v>2852</v>
      </c>
    </row>
    <row r="49" spans="1:18" ht="49.5">
      <c r="A49" s="42" t="s">
        <v>219</v>
      </c>
      <c r="B49" s="42" t="s">
        <v>2679</v>
      </c>
      <c r="C49" s="42" t="s">
        <v>2672</v>
      </c>
      <c r="D49" s="42" t="s">
        <v>2681</v>
      </c>
      <c r="E49" s="42" t="s">
        <v>2449</v>
      </c>
      <c r="F49" s="42" t="s">
        <v>2668</v>
      </c>
      <c r="G49" s="43" t="s">
        <v>108</v>
      </c>
      <c r="H49" s="43" t="s">
        <v>2683</v>
      </c>
      <c r="I49" s="42" t="s">
        <v>2730</v>
      </c>
      <c r="J49" s="42" t="s">
        <v>1344</v>
      </c>
      <c r="K49" s="42" t="s">
        <v>2741</v>
      </c>
      <c r="L49" s="42" t="s">
        <v>2787</v>
      </c>
      <c r="M49" s="42" t="s">
        <v>2808</v>
      </c>
      <c r="N49" s="42" t="s">
        <v>158</v>
      </c>
      <c r="O49" s="44">
        <v>45523</v>
      </c>
      <c r="P49" s="44">
        <v>45596</v>
      </c>
      <c r="Q49" s="44">
        <v>45625</v>
      </c>
      <c r="R49" s="41" t="s">
        <v>2893</v>
      </c>
    </row>
    <row r="50" spans="1:18" ht="49.5">
      <c r="A50" s="42" t="s">
        <v>2660</v>
      </c>
      <c r="B50" s="42" t="s">
        <v>2661</v>
      </c>
      <c r="C50" s="42" t="s">
        <v>2672</v>
      </c>
      <c r="D50" s="42" t="s">
        <v>2681</v>
      </c>
      <c r="E50" s="42" t="s">
        <v>2449</v>
      </c>
      <c r="F50" s="42" t="s">
        <v>2662</v>
      </c>
      <c r="G50" s="43" t="s">
        <v>108</v>
      </c>
      <c r="H50" s="43" t="s">
        <v>2683</v>
      </c>
      <c r="I50" s="42" t="s">
        <v>2731</v>
      </c>
      <c r="J50" s="42" t="s">
        <v>421</v>
      </c>
      <c r="K50" s="42" t="s">
        <v>2739</v>
      </c>
      <c r="L50" s="42" t="s">
        <v>2788</v>
      </c>
      <c r="M50" s="42" t="s">
        <v>2843</v>
      </c>
      <c r="N50" s="42" t="s">
        <v>158</v>
      </c>
      <c r="O50" s="44">
        <v>45526</v>
      </c>
      <c r="P50" s="44">
        <v>45595</v>
      </c>
      <c r="Q50" s="44">
        <v>45603</v>
      </c>
      <c r="R50" s="41" t="s">
        <v>2894</v>
      </c>
    </row>
    <row r="51" spans="1:18" ht="231">
      <c r="A51" s="42" t="s">
        <v>2660</v>
      </c>
      <c r="B51" s="42" t="s">
        <v>2661</v>
      </c>
      <c r="C51" s="42" t="s">
        <v>2680</v>
      </c>
      <c r="D51" s="42" t="s">
        <v>2681</v>
      </c>
      <c r="E51" s="42" t="s">
        <v>2666</v>
      </c>
      <c r="F51" s="42" t="s">
        <v>2668</v>
      </c>
      <c r="G51" s="43" t="s">
        <v>108</v>
      </c>
      <c r="H51" s="43" t="s">
        <v>2683</v>
      </c>
      <c r="I51" s="42" t="s">
        <v>2732</v>
      </c>
      <c r="J51" s="42" t="s">
        <v>406</v>
      </c>
      <c r="K51" s="42" t="s">
        <v>2739</v>
      </c>
      <c r="L51" s="42" t="s">
        <v>2756</v>
      </c>
      <c r="M51" s="42" t="s">
        <v>2524</v>
      </c>
      <c r="N51" s="42" t="s">
        <v>158</v>
      </c>
      <c r="O51" s="44">
        <v>45533</v>
      </c>
      <c r="P51" s="44">
        <v>45594</v>
      </c>
      <c r="Q51" s="44">
        <v>45595</v>
      </c>
      <c r="R51" s="41" t="s">
        <v>2895</v>
      </c>
    </row>
    <row r="52" spans="1:18" ht="132">
      <c r="A52" s="42" t="s">
        <v>2660</v>
      </c>
      <c r="B52" s="42" t="s">
        <v>2661</v>
      </c>
      <c r="C52" s="42" t="s">
        <v>2680</v>
      </c>
      <c r="D52" s="42" t="s">
        <v>2681</v>
      </c>
      <c r="E52" s="42" t="s">
        <v>2682</v>
      </c>
      <c r="F52" s="42" t="s">
        <v>2668</v>
      </c>
      <c r="G52" s="43" t="s">
        <v>108</v>
      </c>
      <c r="H52" s="43" t="s">
        <v>2683</v>
      </c>
      <c r="I52" s="42" t="s">
        <v>2733</v>
      </c>
      <c r="J52" s="42" t="s">
        <v>418</v>
      </c>
      <c r="K52" s="42" t="s">
        <v>2739</v>
      </c>
      <c r="L52" s="42" t="s">
        <v>2789</v>
      </c>
      <c r="M52" s="42" t="s">
        <v>2809</v>
      </c>
      <c r="N52" s="42" t="s">
        <v>2524</v>
      </c>
      <c r="O52" s="44">
        <v>45533</v>
      </c>
      <c r="P52" s="44">
        <v>45625</v>
      </c>
      <c r="Q52" s="44">
        <v>45595</v>
      </c>
      <c r="R52" s="41" t="s">
        <v>2896</v>
      </c>
    </row>
    <row r="53" spans="1:18" ht="165">
      <c r="A53" s="42" t="s">
        <v>2660</v>
      </c>
      <c r="B53" s="42" t="s">
        <v>2661</v>
      </c>
      <c r="C53" s="42" t="s">
        <v>2672</v>
      </c>
      <c r="D53" s="42" t="s">
        <v>2681</v>
      </c>
      <c r="E53" s="42" t="s">
        <v>2449</v>
      </c>
      <c r="F53" s="42" t="s">
        <v>2668</v>
      </c>
      <c r="G53" s="43" t="s">
        <v>108</v>
      </c>
      <c r="H53" s="43" t="s">
        <v>2683</v>
      </c>
      <c r="I53" s="42" t="s">
        <v>2734</v>
      </c>
      <c r="J53" s="42" t="s">
        <v>425</v>
      </c>
      <c r="K53" s="42" t="s">
        <v>2739</v>
      </c>
      <c r="L53" s="42" t="s">
        <v>2790</v>
      </c>
      <c r="M53" s="42" t="s">
        <v>2810</v>
      </c>
      <c r="N53" s="42" t="s">
        <v>2811</v>
      </c>
      <c r="O53" s="44">
        <v>45597</v>
      </c>
      <c r="P53" s="44">
        <v>45656</v>
      </c>
      <c r="Q53" s="44">
        <v>45637</v>
      </c>
      <c r="R53" s="41" t="s">
        <v>2897</v>
      </c>
    </row>
    <row r="54" spans="1:18" ht="66">
      <c r="A54" s="42" t="s">
        <v>2660</v>
      </c>
      <c r="B54" s="42" t="s">
        <v>2661</v>
      </c>
      <c r="C54" s="42" t="s">
        <v>2665</v>
      </c>
      <c r="D54" s="42" t="s">
        <v>2681</v>
      </c>
      <c r="E54" s="42" t="s">
        <v>2666</v>
      </c>
      <c r="F54" s="42" t="s">
        <v>2664</v>
      </c>
      <c r="G54" s="43" t="s">
        <v>108</v>
      </c>
      <c r="H54" s="43" t="s">
        <v>2683</v>
      </c>
      <c r="I54" s="42" t="s">
        <v>2735</v>
      </c>
      <c r="J54" s="42" t="s">
        <v>406</v>
      </c>
      <c r="K54" s="42" t="s">
        <v>2739</v>
      </c>
      <c r="L54" s="42" t="s">
        <v>2758</v>
      </c>
      <c r="M54" s="42" t="s">
        <v>2802</v>
      </c>
      <c r="N54" s="42" t="s">
        <v>2812</v>
      </c>
      <c r="O54" s="44">
        <v>45742</v>
      </c>
      <c r="P54" s="44">
        <v>45867</v>
      </c>
      <c r="Q54" s="44">
        <v>45807</v>
      </c>
      <c r="R54" s="41" t="s">
        <v>2853</v>
      </c>
    </row>
    <row r="55" spans="1:18" ht="66">
      <c r="A55" s="42" t="s">
        <v>2660</v>
      </c>
      <c r="B55" s="42" t="s">
        <v>2661</v>
      </c>
      <c r="C55" s="42" t="s">
        <v>2680</v>
      </c>
      <c r="D55" s="42" t="s">
        <v>2681</v>
      </c>
      <c r="E55" s="42" t="s">
        <v>2682</v>
      </c>
      <c r="F55" s="42" t="s">
        <v>2664</v>
      </c>
      <c r="G55" s="43" t="s">
        <v>108</v>
      </c>
      <c r="H55" s="43" t="s">
        <v>2683</v>
      </c>
      <c r="I55" s="42" t="s">
        <v>2736</v>
      </c>
      <c r="J55" s="42" t="s">
        <v>406</v>
      </c>
      <c r="K55" s="42" t="s">
        <v>2739</v>
      </c>
      <c r="L55" s="42" t="s">
        <v>2791</v>
      </c>
      <c r="M55" s="42" t="s">
        <v>2802</v>
      </c>
      <c r="N55" s="42" t="s">
        <v>2812</v>
      </c>
      <c r="O55" s="44">
        <v>45763</v>
      </c>
      <c r="P55" s="44">
        <v>45867</v>
      </c>
      <c r="Q55" s="44">
        <v>45806</v>
      </c>
      <c r="R55" s="41" t="s">
        <v>2854</v>
      </c>
    </row>
    <row r="56" spans="1:18" ht="66">
      <c r="A56" s="42" t="s">
        <v>2660</v>
      </c>
      <c r="B56" s="42" t="s">
        <v>2661</v>
      </c>
      <c r="C56" s="42" t="s">
        <v>2665</v>
      </c>
      <c r="D56" s="42" t="s">
        <v>2681</v>
      </c>
      <c r="E56" s="42" t="s">
        <v>2666</v>
      </c>
      <c r="F56" s="42" t="s">
        <v>2664</v>
      </c>
      <c r="G56" s="43" t="s">
        <v>108</v>
      </c>
      <c r="H56" s="43" t="s">
        <v>2683</v>
      </c>
      <c r="I56" s="42" t="s">
        <v>2737</v>
      </c>
      <c r="J56" s="42" t="s">
        <v>406</v>
      </c>
      <c r="K56" s="42" t="s">
        <v>2739</v>
      </c>
      <c r="L56" s="42" t="s">
        <v>2792</v>
      </c>
      <c r="M56" s="42" t="s">
        <v>2802</v>
      </c>
      <c r="N56" s="42" t="s">
        <v>2812</v>
      </c>
      <c r="O56" s="44">
        <v>46038</v>
      </c>
      <c r="P56" s="44">
        <v>46080</v>
      </c>
      <c r="Q56" s="44">
        <v>46077</v>
      </c>
      <c r="R56" s="41" t="s">
        <v>2898</v>
      </c>
    </row>
    <row r="57" spans="1:18" ht="49.5">
      <c r="A57" s="42" t="s">
        <v>2902</v>
      </c>
      <c r="B57" s="42" t="s">
        <v>283</v>
      </c>
      <c r="C57" s="42" t="s">
        <v>2449</v>
      </c>
      <c r="D57" s="42" t="s">
        <v>2681</v>
      </c>
      <c r="E57" s="42" t="s">
        <v>2682</v>
      </c>
      <c r="F57" s="42" t="s">
        <v>2668</v>
      </c>
      <c r="G57" s="43" t="s">
        <v>112</v>
      </c>
      <c r="H57" s="43" t="s">
        <v>2683</v>
      </c>
      <c r="I57" s="42" t="s">
        <v>2952</v>
      </c>
      <c r="J57" s="42" t="s">
        <v>2919</v>
      </c>
      <c r="K57" s="42" t="s">
        <v>2914</v>
      </c>
      <c r="L57" s="42" t="s">
        <v>3049</v>
      </c>
      <c r="M57" s="42" t="s">
        <v>2987</v>
      </c>
      <c r="N57" s="42" t="s">
        <v>158</v>
      </c>
      <c r="O57" s="44">
        <v>44098</v>
      </c>
      <c r="P57" s="44">
        <v>44117</v>
      </c>
      <c r="Q57" s="44">
        <v>44117</v>
      </c>
      <c r="R57" s="41" t="s">
        <v>3123</v>
      </c>
    </row>
    <row r="58" spans="1:18" ht="99">
      <c r="A58" s="42" t="s">
        <v>2902</v>
      </c>
      <c r="B58" s="42" t="s">
        <v>283</v>
      </c>
      <c r="C58" s="42" t="s">
        <v>2449</v>
      </c>
      <c r="D58" s="42" t="s">
        <v>2903</v>
      </c>
      <c r="E58" s="42" t="s">
        <v>2449</v>
      </c>
      <c r="F58" s="42" t="s">
        <v>2668</v>
      </c>
      <c r="G58" s="43" t="s">
        <v>112</v>
      </c>
      <c r="H58" s="43" t="s">
        <v>2683</v>
      </c>
      <c r="I58" s="42" t="s">
        <v>2953</v>
      </c>
      <c r="J58" s="42" t="s">
        <v>2919</v>
      </c>
      <c r="K58" s="42" t="s">
        <v>2914</v>
      </c>
      <c r="L58" s="42" t="s">
        <v>3049</v>
      </c>
      <c r="M58" s="42" t="s">
        <v>2987</v>
      </c>
      <c r="N58" s="42" t="s">
        <v>158</v>
      </c>
      <c r="O58" s="44">
        <v>44141</v>
      </c>
      <c r="P58" s="44">
        <v>44142</v>
      </c>
      <c r="Q58" s="44">
        <v>44147</v>
      </c>
      <c r="R58" s="41" t="s">
        <v>3124</v>
      </c>
    </row>
    <row r="59" spans="1:18" ht="49.5">
      <c r="A59" s="42" t="s">
        <v>2902</v>
      </c>
      <c r="B59" s="42" t="s">
        <v>283</v>
      </c>
      <c r="C59" s="42" t="s">
        <v>2680</v>
      </c>
      <c r="D59" s="42" t="s">
        <v>2681</v>
      </c>
      <c r="E59" s="42" t="s">
        <v>2682</v>
      </c>
      <c r="F59" s="42" t="s">
        <v>2668</v>
      </c>
      <c r="G59" s="43" t="s">
        <v>112</v>
      </c>
      <c r="H59" s="43" t="s">
        <v>2683</v>
      </c>
      <c r="I59" s="42" t="s">
        <v>2954</v>
      </c>
      <c r="J59" s="42" t="s">
        <v>2919</v>
      </c>
      <c r="K59" s="42" t="s">
        <v>2914</v>
      </c>
      <c r="L59" s="42" t="s">
        <v>3049</v>
      </c>
      <c r="M59" s="42" t="s">
        <v>2987</v>
      </c>
      <c r="N59" s="42" t="s">
        <v>158</v>
      </c>
      <c r="O59" s="44">
        <v>44154</v>
      </c>
      <c r="P59" s="44">
        <v>44156</v>
      </c>
      <c r="Q59" s="44">
        <v>44160</v>
      </c>
      <c r="R59" s="41" t="s">
        <v>3125</v>
      </c>
    </row>
    <row r="60" spans="1:18" ht="115.5">
      <c r="A60" s="42" t="s">
        <v>2902</v>
      </c>
      <c r="B60" s="42" t="s">
        <v>283</v>
      </c>
      <c r="C60" s="42" t="s">
        <v>2680</v>
      </c>
      <c r="D60" s="42" t="s">
        <v>2681</v>
      </c>
      <c r="E60" s="42" t="s">
        <v>2671</v>
      </c>
      <c r="F60" s="42" t="s">
        <v>2668</v>
      </c>
      <c r="G60" s="43" t="s">
        <v>112</v>
      </c>
      <c r="H60" s="43" t="s">
        <v>2683</v>
      </c>
      <c r="I60" s="42" t="s">
        <v>2955</v>
      </c>
      <c r="J60" s="42" t="s">
        <v>2920</v>
      </c>
      <c r="K60" s="42" t="s">
        <v>2914</v>
      </c>
      <c r="L60" s="42" t="s">
        <v>3050</v>
      </c>
      <c r="M60" s="42" t="s">
        <v>3051</v>
      </c>
      <c r="N60" s="42" t="s">
        <v>158</v>
      </c>
      <c r="O60" s="44">
        <v>44168</v>
      </c>
      <c r="P60" s="44">
        <v>44179</v>
      </c>
      <c r="Q60" s="44">
        <v>44188</v>
      </c>
      <c r="R60" s="41" t="s">
        <v>3126</v>
      </c>
    </row>
    <row r="61" spans="1:18" ht="181.5">
      <c r="A61" s="42" t="s">
        <v>2449</v>
      </c>
      <c r="B61" s="42" t="s">
        <v>2449</v>
      </c>
      <c r="C61" s="42" t="s">
        <v>2449</v>
      </c>
      <c r="D61" s="42" t="s">
        <v>2901</v>
      </c>
      <c r="E61" s="42" t="s">
        <v>2449</v>
      </c>
      <c r="F61" s="42" t="s">
        <v>2669</v>
      </c>
      <c r="G61" s="43" t="s">
        <v>112</v>
      </c>
      <c r="H61" s="43" t="s">
        <v>2683</v>
      </c>
      <c r="I61" s="42" t="s">
        <v>2956</v>
      </c>
      <c r="J61" s="42" t="s">
        <v>2921</v>
      </c>
      <c r="K61" s="42" t="s">
        <v>2913</v>
      </c>
      <c r="L61" s="42" t="s">
        <v>2921</v>
      </c>
      <c r="M61" s="42" t="s">
        <v>2921</v>
      </c>
      <c r="N61" s="42" t="s">
        <v>158</v>
      </c>
      <c r="O61" s="44">
        <v>44183</v>
      </c>
      <c r="P61" s="44">
        <v>44253</v>
      </c>
      <c r="Q61" s="44">
        <v>44253</v>
      </c>
      <c r="R61" s="41" t="s">
        <v>3127</v>
      </c>
    </row>
    <row r="62" spans="1:18" ht="49.5">
      <c r="A62" s="42" t="s">
        <v>219</v>
      </c>
      <c r="B62" s="42" t="s">
        <v>2663</v>
      </c>
      <c r="C62" s="42" t="s">
        <v>2680</v>
      </c>
      <c r="D62" s="42" t="s">
        <v>2681</v>
      </c>
      <c r="E62" s="42" t="s">
        <v>2682</v>
      </c>
      <c r="F62" s="42" t="s">
        <v>2668</v>
      </c>
      <c r="G62" s="43" t="s">
        <v>112</v>
      </c>
      <c r="H62" s="43" t="s">
        <v>2683</v>
      </c>
      <c r="I62" s="42" t="s">
        <v>2715</v>
      </c>
      <c r="J62" s="42" t="s">
        <v>676</v>
      </c>
      <c r="K62" s="42" t="s">
        <v>2743</v>
      </c>
      <c r="L62" s="42" t="s">
        <v>3052</v>
      </c>
      <c r="M62" s="42" t="s">
        <v>3053</v>
      </c>
      <c r="N62" s="42" t="s">
        <v>158</v>
      </c>
      <c r="O62" s="44">
        <v>44375</v>
      </c>
      <c r="P62" s="44">
        <v>44407</v>
      </c>
      <c r="Q62" s="44">
        <v>44392</v>
      </c>
      <c r="R62" s="41" t="s">
        <v>3128</v>
      </c>
    </row>
    <row r="63" spans="1:18" ht="82.5">
      <c r="A63" s="42" t="s">
        <v>2660</v>
      </c>
      <c r="B63" s="42" t="s">
        <v>2449</v>
      </c>
      <c r="C63" s="42" t="s">
        <v>2449</v>
      </c>
      <c r="D63" s="42" t="s">
        <v>2674</v>
      </c>
      <c r="E63" s="42" t="s">
        <v>2675</v>
      </c>
      <c r="F63" s="42" t="s">
        <v>2668</v>
      </c>
      <c r="G63" s="43" t="s">
        <v>112</v>
      </c>
      <c r="H63" s="43" t="s">
        <v>2683</v>
      </c>
      <c r="I63" s="42" t="s">
        <v>2957</v>
      </c>
      <c r="J63" s="42" t="s">
        <v>157</v>
      </c>
      <c r="K63" s="42" t="s">
        <v>2745</v>
      </c>
      <c r="L63" s="42" t="s">
        <v>3054</v>
      </c>
      <c r="M63" s="42" t="s">
        <v>3055</v>
      </c>
      <c r="N63" s="42" t="s">
        <v>158</v>
      </c>
      <c r="O63" s="44">
        <v>44503</v>
      </c>
      <c r="P63" s="44">
        <v>44592</v>
      </c>
      <c r="Q63" s="44">
        <v>44585</v>
      </c>
      <c r="R63" s="41" t="s">
        <v>3129</v>
      </c>
    </row>
    <row r="64" spans="1:18" ht="165">
      <c r="A64" s="42" t="s">
        <v>2660</v>
      </c>
      <c r="B64" s="42" t="s">
        <v>2661</v>
      </c>
      <c r="C64" s="42" t="s">
        <v>2680</v>
      </c>
      <c r="D64" s="42" t="s">
        <v>2681</v>
      </c>
      <c r="E64" s="42" t="s">
        <v>2682</v>
      </c>
      <c r="F64" s="42" t="s">
        <v>2668</v>
      </c>
      <c r="G64" s="43" t="s">
        <v>112</v>
      </c>
      <c r="H64" s="43" t="s">
        <v>2683</v>
      </c>
      <c r="I64" s="42" t="s">
        <v>2705</v>
      </c>
      <c r="J64" s="42" t="s">
        <v>2748</v>
      </c>
      <c r="K64" s="42" t="s">
        <v>2739</v>
      </c>
      <c r="L64" s="42" t="s">
        <v>3056</v>
      </c>
      <c r="M64" s="42" t="s">
        <v>2999</v>
      </c>
      <c r="N64" s="42" t="s">
        <v>3057</v>
      </c>
      <c r="O64" s="44">
        <v>44511</v>
      </c>
      <c r="P64" s="44">
        <v>44575</v>
      </c>
      <c r="Q64" s="44">
        <v>44551</v>
      </c>
      <c r="R64" s="41" t="s">
        <v>3130</v>
      </c>
    </row>
    <row r="65" spans="1:18" ht="198">
      <c r="A65" s="42" t="s">
        <v>219</v>
      </c>
      <c r="B65" s="42" t="s">
        <v>2679</v>
      </c>
      <c r="C65" s="42" t="s">
        <v>2680</v>
      </c>
      <c r="D65" s="42" t="s">
        <v>2681</v>
      </c>
      <c r="E65" s="42" t="s">
        <v>2682</v>
      </c>
      <c r="F65" s="42" t="s">
        <v>2662</v>
      </c>
      <c r="G65" s="43" t="s">
        <v>112</v>
      </c>
      <c r="H65" s="43" t="s">
        <v>2683</v>
      </c>
      <c r="I65" s="42" t="s">
        <v>2958</v>
      </c>
      <c r="J65" s="42" t="s">
        <v>2922</v>
      </c>
      <c r="K65" s="42" t="s">
        <v>2912</v>
      </c>
      <c r="L65" s="42" t="s">
        <v>3058</v>
      </c>
      <c r="M65" s="42" t="s">
        <v>3059</v>
      </c>
      <c r="N65" s="42" t="s">
        <v>3060</v>
      </c>
      <c r="O65" s="44">
        <v>44523</v>
      </c>
      <c r="P65" s="44">
        <v>44561</v>
      </c>
      <c r="Q65" s="44">
        <v>44553</v>
      </c>
      <c r="R65" s="41" t="s">
        <v>3131</v>
      </c>
    </row>
    <row r="66" spans="1:18" ht="66">
      <c r="A66" s="42" t="s">
        <v>219</v>
      </c>
      <c r="B66" s="42" t="s">
        <v>2663</v>
      </c>
      <c r="C66" s="42" t="s">
        <v>2680</v>
      </c>
      <c r="D66" s="42" t="s">
        <v>2681</v>
      </c>
      <c r="E66" s="42" t="s">
        <v>2666</v>
      </c>
      <c r="F66" s="42" t="s">
        <v>2669</v>
      </c>
      <c r="G66" s="43" t="s">
        <v>112</v>
      </c>
      <c r="H66" s="43" t="s">
        <v>2683</v>
      </c>
      <c r="I66" s="42" t="s">
        <v>2959</v>
      </c>
      <c r="J66" s="42" t="s">
        <v>679</v>
      </c>
      <c r="K66" s="42" t="s">
        <v>2743</v>
      </c>
      <c r="L66" s="42" t="s">
        <v>3061</v>
      </c>
      <c r="M66" s="42" t="s">
        <v>2831</v>
      </c>
      <c r="N66" s="42" t="s">
        <v>158</v>
      </c>
      <c r="O66" s="44">
        <v>44564</v>
      </c>
      <c r="P66" s="44">
        <v>44591</v>
      </c>
      <c r="Q66" s="44">
        <v>44589</v>
      </c>
      <c r="R66" s="41" t="s">
        <v>3132</v>
      </c>
    </row>
    <row r="67" spans="1:18" ht="33">
      <c r="A67" s="42" t="s">
        <v>2660</v>
      </c>
      <c r="B67" s="42" t="s">
        <v>2449</v>
      </c>
      <c r="C67" s="42" t="s">
        <v>2449</v>
      </c>
      <c r="D67" s="42" t="s">
        <v>2681</v>
      </c>
      <c r="E67" s="42" t="s">
        <v>2904</v>
      </c>
      <c r="F67" s="42" t="s">
        <v>2669</v>
      </c>
      <c r="G67" s="43" t="s">
        <v>112</v>
      </c>
      <c r="H67" s="43" t="s">
        <v>2683</v>
      </c>
      <c r="I67" s="42" t="s">
        <v>2960</v>
      </c>
      <c r="J67" s="42" t="s">
        <v>1034</v>
      </c>
      <c r="K67" s="42" t="s">
        <v>2745</v>
      </c>
      <c r="L67" s="42" t="s">
        <v>2988</v>
      </c>
      <c r="M67" s="42" t="s">
        <v>2989</v>
      </c>
      <c r="N67" s="42" t="s">
        <v>2990</v>
      </c>
      <c r="O67" s="44">
        <v>44600</v>
      </c>
      <c r="P67" s="44">
        <v>44681</v>
      </c>
      <c r="Q67" s="44">
        <v>44664</v>
      </c>
      <c r="R67" s="41" t="s">
        <v>3133</v>
      </c>
    </row>
    <row r="68" spans="1:18" ht="66">
      <c r="A68" s="42" t="s">
        <v>2660</v>
      </c>
      <c r="B68" s="42" t="s">
        <v>2661</v>
      </c>
      <c r="C68" s="42" t="s">
        <v>2449</v>
      </c>
      <c r="D68" s="42" t="s">
        <v>2674</v>
      </c>
      <c r="E68" s="42" t="s">
        <v>2675</v>
      </c>
      <c r="F68" s="42" t="s">
        <v>2668</v>
      </c>
      <c r="G68" s="43" t="s">
        <v>112</v>
      </c>
      <c r="H68" s="43" t="s">
        <v>2683</v>
      </c>
      <c r="I68" s="42" t="s">
        <v>2961</v>
      </c>
      <c r="J68" s="42" t="s">
        <v>404</v>
      </c>
      <c r="K68" s="42" t="s">
        <v>2739</v>
      </c>
      <c r="L68" s="42" t="s">
        <v>2991</v>
      </c>
      <c r="M68" s="42" t="s">
        <v>2992</v>
      </c>
      <c r="N68" s="42" t="s">
        <v>2993</v>
      </c>
      <c r="O68" s="44">
        <v>44635</v>
      </c>
      <c r="P68" s="44">
        <v>44834</v>
      </c>
      <c r="Q68" s="44">
        <v>44811</v>
      </c>
      <c r="R68" s="41" t="s">
        <v>3134</v>
      </c>
    </row>
    <row r="69" spans="1:18" ht="49.5">
      <c r="A69" s="42" t="s">
        <v>2660</v>
      </c>
      <c r="B69" s="42" t="s">
        <v>2661</v>
      </c>
      <c r="C69" s="42" t="s">
        <v>2680</v>
      </c>
      <c r="D69" s="42" t="s">
        <v>2681</v>
      </c>
      <c r="E69" s="42" t="s">
        <v>2682</v>
      </c>
      <c r="F69" s="42" t="s">
        <v>2668</v>
      </c>
      <c r="G69" s="43" t="s">
        <v>112</v>
      </c>
      <c r="H69" s="43" t="s">
        <v>2683</v>
      </c>
      <c r="I69" s="42" t="s">
        <v>2962</v>
      </c>
      <c r="J69" s="42" t="s">
        <v>404</v>
      </c>
      <c r="K69" s="42" t="s">
        <v>2739</v>
      </c>
      <c r="L69" s="42" t="s">
        <v>2991</v>
      </c>
      <c r="M69" s="42" t="s">
        <v>2992</v>
      </c>
      <c r="N69" s="42" t="s">
        <v>2993</v>
      </c>
      <c r="O69" s="44">
        <v>44635</v>
      </c>
      <c r="P69" s="44">
        <v>44834</v>
      </c>
      <c r="Q69" s="44">
        <v>44819</v>
      </c>
      <c r="R69" s="41" t="s">
        <v>3135</v>
      </c>
    </row>
    <row r="70" spans="1:18" ht="181.5">
      <c r="A70" s="42" t="s">
        <v>219</v>
      </c>
      <c r="B70" s="42" t="s">
        <v>2449</v>
      </c>
      <c r="C70" s="42" t="s">
        <v>2680</v>
      </c>
      <c r="D70" s="42" t="s">
        <v>2681</v>
      </c>
      <c r="E70" s="42" t="s">
        <v>2682</v>
      </c>
      <c r="F70" s="42" t="s">
        <v>2668</v>
      </c>
      <c r="G70" s="43" t="s">
        <v>112</v>
      </c>
      <c r="H70" s="43" t="s">
        <v>2683</v>
      </c>
      <c r="I70" s="42" t="s">
        <v>2963</v>
      </c>
      <c r="J70" s="42" t="s">
        <v>1229</v>
      </c>
      <c r="K70" s="42" t="s">
        <v>2912</v>
      </c>
      <c r="L70" s="42" t="s">
        <v>3062</v>
      </c>
      <c r="M70" s="42" t="s">
        <v>3063</v>
      </c>
      <c r="N70" s="42" t="s">
        <v>3064</v>
      </c>
      <c r="O70" s="44">
        <v>44645</v>
      </c>
      <c r="P70" s="44">
        <v>44804</v>
      </c>
      <c r="Q70" s="44">
        <v>44804</v>
      </c>
      <c r="R70" s="41" t="s">
        <v>3136</v>
      </c>
    </row>
    <row r="71" spans="1:18" ht="99">
      <c r="A71" s="42" t="s">
        <v>2660</v>
      </c>
      <c r="B71" s="42" t="s">
        <v>2449</v>
      </c>
      <c r="C71" s="42" t="s">
        <v>2680</v>
      </c>
      <c r="D71" s="42" t="s">
        <v>2681</v>
      </c>
      <c r="E71" s="42" t="s">
        <v>2682</v>
      </c>
      <c r="F71" s="42" t="s">
        <v>2668</v>
      </c>
      <c r="G71" s="43" t="s">
        <v>112</v>
      </c>
      <c r="H71" s="43" t="s">
        <v>2683</v>
      </c>
      <c r="I71" s="42" t="s">
        <v>2685</v>
      </c>
      <c r="J71" s="42" t="s">
        <v>402</v>
      </c>
      <c r="K71" s="42" t="s">
        <v>2739</v>
      </c>
      <c r="L71" s="42" t="s">
        <v>3065</v>
      </c>
      <c r="M71" s="42" t="s">
        <v>2829</v>
      </c>
      <c r="N71" s="42" t="s">
        <v>3066</v>
      </c>
      <c r="O71" s="44">
        <v>44685</v>
      </c>
      <c r="P71" s="44">
        <v>44841</v>
      </c>
      <c r="Q71" s="44">
        <v>44789</v>
      </c>
      <c r="R71" s="41" t="s">
        <v>3137</v>
      </c>
    </row>
    <row r="72" spans="1:18" ht="115.5">
      <c r="A72" s="42" t="s">
        <v>219</v>
      </c>
      <c r="B72" s="42" t="s">
        <v>2663</v>
      </c>
      <c r="C72" s="42" t="s">
        <v>2680</v>
      </c>
      <c r="D72" s="42" t="s">
        <v>2681</v>
      </c>
      <c r="E72" s="42" t="s">
        <v>2682</v>
      </c>
      <c r="F72" s="42" t="s">
        <v>2668</v>
      </c>
      <c r="G72" s="43" t="s">
        <v>112</v>
      </c>
      <c r="H72" s="43" t="s">
        <v>2683</v>
      </c>
      <c r="I72" s="42" t="s">
        <v>2923</v>
      </c>
      <c r="J72" s="42" t="s">
        <v>2915</v>
      </c>
      <c r="K72" s="42" t="s">
        <v>2743</v>
      </c>
      <c r="L72" s="42" t="s">
        <v>2994</v>
      </c>
      <c r="M72" s="42" t="s">
        <v>2995</v>
      </c>
      <c r="N72" s="42" t="s">
        <v>158</v>
      </c>
      <c r="O72" s="44">
        <v>44705</v>
      </c>
      <c r="P72" s="44">
        <v>44833</v>
      </c>
      <c r="Q72" s="44">
        <v>44832</v>
      </c>
      <c r="R72" s="41" t="s">
        <v>3138</v>
      </c>
    </row>
    <row r="73" spans="1:18" ht="115.5">
      <c r="A73" s="42" t="s">
        <v>2660</v>
      </c>
      <c r="B73" s="42" t="s">
        <v>2661</v>
      </c>
      <c r="C73" s="42" t="s">
        <v>2680</v>
      </c>
      <c r="D73" s="42" t="s">
        <v>2681</v>
      </c>
      <c r="E73" s="42" t="s">
        <v>2666</v>
      </c>
      <c r="F73" s="42" t="s">
        <v>2668</v>
      </c>
      <c r="G73" s="43" t="s">
        <v>112</v>
      </c>
      <c r="H73" s="43" t="s">
        <v>2683</v>
      </c>
      <c r="I73" s="42" t="s">
        <v>2964</v>
      </c>
      <c r="J73" s="42" t="s">
        <v>404</v>
      </c>
      <c r="K73" s="42" t="s">
        <v>2739</v>
      </c>
      <c r="L73" s="42" t="s">
        <v>3067</v>
      </c>
      <c r="M73" s="42" t="s">
        <v>2992</v>
      </c>
      <c r="N73" s="42" t="s">
        <v>2993</v>
      </c>
      <c r="O73" s="44">
        <v>44760</v>
      </c>
      <c r="P73" s="44">
        <v>44864</v>
      </c>
      <c r="Q73" s="44">
        <v>44894</v>
      </c>
      <c r="R73" s="41" t="s">
        <v>3139</v>
      </c>
    </row>
    <row r="74" spans="1:18" ht="49.5">
      <c r="A74" s="42" t="s">
        <v>2660</v>
      </c>
      <c r="B74" s="42" t="s">
        <v>2661</v>
      </c>
      <c r="C74" s="42" t="s">
        <v>2680</v>
      </c>
      <c r="D74" s="42" t="s">
        <v>2681</v>
      </c>
      <c r="E74" s="42" t="s">
        <v>2682</v>
      </c>
      <c r="F74" s="42" t="s">
        <v>2668</v>
      </c>
      <c r="G74" s="43" t="s">
        <v>112</v>
      </c>
      <c r="H74" s="43" t="s">
        <v>2683</v>
      </c>
      <c r="I74" s="42" t="s">
        <v>2965</v>
      </c>
      <c r="J74" s="42" t="s">
        <v>404</v>
      </c>
      <c r="K74" s="42" t="s">
        <v>2739</v>
      </c>
      <c r="L74" s="42" t="s">
        <v>2991</v>
      </c>
      <c r="M74" s="42" t="s">
        <v>2992</v>
      </c>
      <c r="N74" s="42" t="s">
        <v>158</v>
      </c>
      <c r="O74" s="44">
        <v>44761</v>
      </c>
      <c r="P74" s="44">
        <v>45044</v>
      </c>
      <c r="Q74" s="44">
        <v>45002</v>
      </c>
      <c r="R74" s="41" t="s">
        <v>3140</v>
      </c>
    </row>
    <row r="75" spans="1:18" ht="115.5">
      <c r="A75" s="42" t="s">
        <v>2660</v>
      </c>
      <c r="B75" s="42" t="s">
        <v>2661</v>
      </c>
      <c r="C75" s="42" t="s">
        <v>2449</v>
      </c>
      <c r="D75" s="42" t="s">
        <v>2681</v>
      </c>
      <c r="E75" s="42" t="s">
        <v>2667</v>
      </c>
      <c r="F75" s="42" t="s">
        <v>2669</v>
      </c>
      <c r="G75" s="43" t="s">
        <v>112</v>
      </c>
      <c r="H75" s="43" t="s">
        <v>2683</v>
      </c>
      <c r="I75" s="42" t="s">
        <v>2709</v>
      </c>
      <c r="J75" s="42" t="s">
        <v>2748</v>
      </c>
      <c r="K75" s="42" t="s">
        <v>2739</v>
      </c>
      <c r="L75" s="42" t="s">
        <v>3068</v>
      </c>
      <c r="M75" s="42" t="s">
        <v>2997</v>
      </c>
      <c r="N75" s="42" t="s">
        <v>158</v>
      </c>
      <c r="O75" s="44">
        <v>44785</v>
      </c>
      <c r="P75" s="44">
        <v>44985</v>
      </c>
      <c r="Q75" s="44">
        <v>44938</v>
      </c>
      <c r="R75" s="41" t="s">
        <v>3141</v>
      </c>
    </row>
    <row r="76" spans="1:18" ht="132">
      <c r="A76" s="42" t="s">
        <v>2660</v>
      </c>
      <c r="B76" s="42" t="s">
        <v>2661</v>
      </c>
      <c r="C76" s="42" t="s">
        <v>2680</v>
      </c>
      <c r="D76" s="42" t="s">
        <v>2681</v>
      </c>
      <c r="E76" s="42" t="s">
        <v>2671</v>
      </c>
      <c r="F76" s="42" t="s">
        <v>2668</v>
      </c>
      <c r="G76" s="43" t="s">
        <v>112</v>
      </c>
      <c r="H76" s="43" t="s">
        <v>2683</v>
      </c>
      <c r="I76" s="42" t="s">
        <v>2966</v>
      </c>
      <c r="J76" s="42" t="s">
        <v>2748</v>
      </c>
      <c r="K76" s="42" t="s">
        <v>2739</v>
      </c>
      <c r="L76" s="42" t="s">
        <v>2996</v>
      </c>
      <c r="M76" s="42" t="s">
        <v>2997</v>
      </c>
      <c r="N76" s="42" t="s">
        <v>158</v>
      </c>
      <c r="O76" s="44">
        <v>44799</v>
      </c>
      <c r="P76" s="44">
        <v>44891</v>
      </c>
      <c r="Q76" s="44">
        <v>44824</v>
      </c>
      <c r="R76" s="41" t="s">
        <v>3142</v>
      </c>
    </row>
    <row r="77" spans="1:18" ht="165">
      <c r="A77" s="42" t="s">
        <v>2660</v>
      </c>
      <c r="B77" s="42" t="s">
        <v>2661</v>
      </c>
      <c r="C77" s="42" t="s">
        <v>2449</v>
      </c>
      <c r="D77" s="42" t="s">
        <v>2903</v>
      </c>
      <c r="E77" s="42" t="s">
        <v>2905</v>
      </c>
      <c r="F77" s="42" t="s">
        <v>2668</v>
      </c>
      <c r="G77" s="43" t="s">
        <v>112</v>
      </c>
      <c r="H77" s="43" t="s">
        <v>2683</v>
      </c>
      <c r="I77" s="42" t="s">
        <v>2967</v>
      </c>
      <c r="J77" s="42" t="s">
        <v>404</v>
      </c>
      <c r="K77" s="42" t="s">
        <v>2739</v>
      </c>
      <c r="L77" s="42" t="s">
        <v>2998</v>
      </c>
      <c r="M77" s="42" t="s">
        <v>2992</v>
      </c>
      <c r="N77" s="42" t="s">
        <v>158</v>
      </c>
      <c r="O77" s="44">
        <v>44826</v>
      </c>
      <c r="P77" s="44">
        <v>45016</v>
      </c>
      <c r="Q77" s="44">
        <v>44984</v>
      </c>
      <c r="R77" s="41" t="s">
        <v>3143</v>
      </c>
    </row>
    <row r="78" spans="1:18" ht="280.5">
      <c r="A78" s="42" t="s">
        <v>2660</v>
      </c>
      <c r="B78" s="42" t="s">
        <v>2661</v>
      </c>
      <c r="C78" s="42" t="s">
        <v>2449</v>
      </c>
      <c r="D78" s="42" t="s">
        <v>2674</v>
      </c>
      <c r="E78" s="42" t="s">
        <v>2675</v>
      </c>
      <c r="F78" s="42" t="s">
        <v>2668</v>
      </c>
      <c r="G78" s="43" t="s">
        <v>112</v>
      </c>
      <c r="H78" s="43" t="s">
        <v>2683</v>
      </c>
      <c r="I78" s="42" t="s">
        <v>2968</v>
      </c>
      <c r="J78" s="42" t="s">
        <v>2748</v>
      </c>
      <c r="K78" s="42" t="s">
        <v>2739</v>
      </c>
      <c r="L78" s="42" t="s">
        <v>3069</v>
      </c>
      <c r="M78" s="42" t="s">
        <v>2999</v>
      </c>
      <c r="N78" s="42" t="s">
        <v>3070</v>
      </c>
      <c r="O78" s="44">
        <v>44839</v>
      </c>
      <c r="P78" s="44">
        <v>44859</v>
      </c>
      <c r="Q78" s="44">
        <v>44852</v>
      </c>
      <c r="R78" s="41" t="s">
        <v>3144</v>
      </c>
    </row>
    <row r="79" spans="1:18" ht="66">
      <c r="A79" s="42" t="s">
        <v>2660</v>
      </c>
      <c r="B79" s="42" t="s">
        <v>2661</v>
      </c>
      <c r="C79" s="42" t="s">
        <v>2449</v>
      </c>
      <c r="D79" s="42" t="s">
        <v>2681</v>
      </c>
      <c r="E79" s="42" t="s">
        <v>2904</v>
      </c>
      <c r="F79" s="42" t="s">
        <v>2662</v>
      </c>
      <c r="G79" s="43" t="s">
        <v>112</v>
      </c>
      <c r="H79" s="43" t="s">
        <v>2683</v>
      </c>
      <c r="I79" s="42" t="s">
        <v>2969</v>
      </c>
      <c r="J79" s="42" t="s">
        <v>404</v>
      </c>
      <c r="K79" s="42" t="s">
        <v>2739</v>
      </c>
      <c r="L79" s="42" t="s">
        <v>3071</v>
      </c>
      <c r="M79" s="42" t="s">
        <v>2992</v>
      </c>
      <c r="N79" s="42" t="s">
        <v>2993</v>
      </c>
      <c r="O79" s="44">
        <v>44834</v>
      </c>
      <c r="P79" s="44">
        <v>45016</v>
      </c>
      <c r="Q79" s="44">
        <v>44966</v>
      </c>
      <c r="R79" s="41" t="s">
        <v>3145</v>
      </c>
    </row>
    <row r="80" spans="1:18" ht="115.5">
      <c r="A80" s="42" t="s">
        <v>2660</v>
      </c>
      <c r="B80" s="42" t="s">
        <v>2661</v>
      </c>
      <c r="C80" s="42" t="s">
        <v>2680</v>
      </c>
      <c r="D80" s="42" t="s">
        <v>2681</v>
      </c>
      <c r="E80" s="42" t="s">
        <v>2682</v>
      </c>
      <c r="F80" s="42" t="s">
        <v>2668</v>
      </c>
      <c r="G80" s="43" t="s">
        <v>112</v>
      </c>
      <c r="H80" s="43" t="s">
        <v>2683</v>
      </c>
      <c r="I80" s="42" t="s">
        <v>2970</v>
      </c>
      <c r="J80" s="42" t="s">
        <v>2748</v>
      </c>
      <c r="K80" s="42" t="s">
        <v>2739</v>
      </c>
      <c r="L80" s="42" t="s">
        <v>3072</v>
      </c>
      <c r="M80" s="42" t="s">
        <v>2999</v>
      </c>
      <c r="N80" s="42" t="s">
        <v>158</v>
      </c>
      <c r="O80" s="44">
        <v>44851</v>
      </c>
      <c r="P80" s="44">
        <v>44926</v>
      </c>
      <c r="Q80" s="44">
        <v>44930</v>
      </c>
      <c r="R80" s="41" t="s">
        <v>3146</v>
      </c>
    </row>
    <row r="81" spans="1:18" ht="49.5">
      <c r="A81" s="42" t="s">
        <v>2660</v>
      </c>
      <c r="B81" s="42" t="s">
        <v>2661</v>
      </c>
      <c r="C81" s="42" t="s">
        <v>2449</v>
      </c>
      <c r="D81" s="42" t="s">
        <v>2903</v>
      </c>
      <c r="E81" s="42" t="s">
        <v>2906</v>
      </c>
      <c r="F81" s="42" t="s">
        <v>2668</v>
      </c>
      <c r="G81" s="43" t="s">
        <v>112</v>
      </c>
      <c r="H81" s="43" t="s">
        <v>2683</v>
      </c>
      <c r="I81" s="42" t="s">
        <v>2971</v>
      </c>
      <c r="J81" s="42" t="s">
        <v>404</v>
      </c>
      <c r="K81" s="42" t="s">
        <v>2739</v>
      </c>
      <c r="L81" s="42" t="s">
        <v>3073</v>
      </c>
      <c r="M81" s="42" t="s">
        <v>2992</v>
      </c>
      <c r="N81" s="42" t="s">
        <v>2993</v>
      </c>
      <c r="O81" s="44">
        <v>44859</v>
      </c>
      <c r="P81" s="44">
        <v>44956</v>
      </c>
      <c r="Q81" s="44">
        <v>44944</v>
      </c>
      <c r="R81" s="41" t="s">
        <v>3147</v>
      </c>
    </row>
    <row r="82" spans="1:18" ht="49.5">
      <c r="A82" s="42" t="s">
        <v>2660</v>
      </c>
      <c r="B82" s="42" t="s">
        <v>2661</v>
      </c>
      <c r="C82" s="42" t="s">
        <v>2680</v>
      </c>
      <c r="D82" s="42" t="s">
        <v>2903</v>
      </c>
      <c r="E82" s="42" t="s">
        <v>2905</v>
      </c>
      <c r="F82" s="42" t="s">
        <v>2668</v>
      </c>
      <c r="G82" s="43" t="s">
        <v>112</v>
      </c>
      <c r="H82" s="43" t="s">
        <v>2683</v>
      </c>
      <c r="I82" s="42" t="s">
        <v>2972</v>
      </c>
      <c r="J82" s="42" t="s">
        <v>404</v>
      </c>
      <c r="K82" s="42" t="s">
        <v>2739</v>
      </c>
      <c r="L82" s="42" t="s">
        <v>3000</v>
      </c>
      <c r="M82" s="42" t="s">
        <v>2992</v>
      </c>
      <c r="N82" s="42" t="s">
        <v>2993</v>
      </c>
      <c r="O82" s="44">
        <v>44862</v>
      </c>
      <c r="P82" s="44">
        <v>45044</v>
      </c>
      <c r="Q82" s="44">
        <v>45021</v>
      </c>
      <c r="R82" s="41" t="s">
        <v>3148</v>
      </c>
    </row>
    <row r="83" spans="1:18" ht="115.5">
      <c r="A83" s="42" t="s">
        <v>2660</v>
      </c>
      <c r="B83" s="42" t="s">
        <v>2449</v>
      </c>
      <c r="C83" s="42" t="s">
        <v>2680</v>
      </c>
      <c r="D83" s="42" t="s">
        <v>2681</v>
      </c>
      <c r="E83" s="42" t="s">
        <v>2682</v>
      </c>
      <c r="F83" s="42" t="s">
        <v>2662</v>
      </c>
      <c r="G83" s="43" t="s">
        <v>112</v>
      </c>
      <c r="H83" s="43" t="s">
        <v>2683</v>
      </c>
      <c r="I83" s="42" t="s">
        <v>2973</v>
      </c>
      <c r="J83" s="42" t="s">
        <v>1265</v>
      </c>
      <c r="K83" s="42" t="s">
        <v>2745</v>
      </c>
      <c r="L83" s="42" t="s">
        <v>3074</v>
      </c>
      <c r="M83" s="42" t="s">
        <v>3001</v>
      </c>
      <c r="N83" s="42" t="s">
        <v>158</v>
      </c>
      <c r="O83" s="44">
        <v>44925</v>
      </c>
      <c r="P83" s="44">
        <v>45178</v>
      </c>
      <c r="Q83" s="44">
        <v>45103</v>
      </c>
      <c r="R83" s="41" t="s">
        <v>3149</v>
      </c>
    </row>
    <row r="84" spans="1:18" ht="66">
      <c r="A84" s="42" t="s">
        <v>2660</v>
      </c>
      <c r="B84" s="42" t="s">
        <v>2661</v>
      </c>
      <c r="C84" s="42" t="s">
        <v>2680</v>
      </c>
      <c r="D84" s="42" t="s">
        <v>2903</v>
      </c>
      <c r="E84" s="42" t="s">
        <v>2907</v>
      </c>
      <c r="F84" s="42" t="s">
        <v>2668</v>
      </c>
      <c r="G84" s="43" t="s">
        <v>112</v>
      </c>
      <c r="H84" s="43" t="s">
        <v>2683</v>
      </c>
      <c r="I84" s="42" t="s">
        <v>2974</v>
      </c>
      <c r="J84" s="42" t="s">
        <v>404</v>
      </c>
      <c r="K84" s="42" t="s">
        <v>2739</v>
      </c>
      <c r="L84" s="42" t="s">
        <v>3075</v>
      </c>
      <c r="M84" s="42" t="s">
        <v>2992</v>
      </c>
      <c r="N84" s="42" t="s">
        <v>2993</v>
      </c>
      <c r="O84" s="44">
        <v>44935</v>
      </c>
      <c r="P84" s="44">
        <v>45148</v>
      </c>
      <c r="Q84" s="44">
        <v>45117</v>
      </c>
      <c r="R84" s="41" t="s">
        <v>3150</v>
      </c>
    </row>
    <row r="85" spans="1:18" ht="82.5">
      <c r="A85" s="42" t="s">
        <v>2660</v>
      </c>
      <c r="B85" s="42" t="s">
        <v>2661</v>
      </c>
      <c r="C85" s="42" t="s">
        <v>2665</v>
      </c>
      <c r="D85" s="42" t="s">
        <v>2681</v>
      </c>
      <c r="E85" s="42" t="s">
        <v>2666</v>
      </c>
      <c r="F85" s="42" t="s">
        <v>2668</v>
      </c>
      <c r="G85" s="43" t="s">
        <v>112</v>
      </c>
      <c r="H85" s="43" t="s">
        <v>2683</v>
      </c>
      <c r="I85" s="42" t="s">
        <v>2975</v>
      </c>
      <c r="J85" s="42" t="s">
        <v>2748</v>
      </c>
      <c r="K85" s="42" t="s">
        <v>2739</v>
      </c>
      <c r="L85" s="42" t="s">
        <v>3076</v>
      </c>
      <c r="M85" s="42" t="s">
        <v>2999</v>
      </c>
      <c r="N85" s="42" t="s">
        <v>158</v>
      </c>
      <c r="O85" s="44">
        <v>44943</v>
      </c>
      <c r="P85" s="44">
        <v>44988</v>
      </c>
      <c r="Q85" s="44">
        <v>44958</v>
      </c>
      <c r="R85" s="41" t="s">
        <v>3151</v>
      </c>
    </row>
    <row r="86" spans="1:18" ht="165">
      <c r="A86" s="42" t="s">
        <v>2660</v>
      </c>
      <c r="B86" s="42" t="s">
        <v>2661</v>
      </c>
      <c r="C86" s="42" t="s">
        <v>2665</v>
      </c>
      <c r="D86" s="42" t="s">
        <v>2681</v>
      </c>
      <c r="E86" s="42" t="s">
        <v>2666</v>
      </c>
      <c r="F86" s="42" t="s">
        <v>2668</v>
      </c>
      <c r="G86" s="43" t="s">
        <v>112</v>
      </c>
      <c r="H86" s="43" t="s">
        <v>2683</v>
      </c>
      <c r="I86" s="42" t="s">
        <v>2924</v>
      </c>
      <c r="J86" s="42" t="s">
        <v>391</v>
      </c>
      <c r="K86" s="42" t="s">
        <v>2739</v>
      </c>
      <c r="L86" s="42" t="s">
        <v>3077</v>
      </c>
      <c r="M86" s="42" t="s">
        <v>3078</v>
      </c>
      <c r="N86" s="42" t="s">
        <v>158</v>
      </c>
      <c r="O86" s="44">
        <v>44953</v>
      </c>
      <c r="P86" s="44">
        <v>45031</v>
      </c>
      <c r="Q86" s="44">
        <v>45037</v>
      </c>
      <c r="R86" s="41" t="s">
        <v>3152</v>
      </c>
    </row>
    <row r="87" spans="1:18" ht="49.5">
      <c r="A87" s="42" t="s">
        <v>2660</v>
      </c>
      <c r="B87" s="42" t="s">
        <v>2449</v>
      </c>
      <c r="C87" s="42" t="s">
        <v>2670</v>
      </c>
      <c r="D87" s="42" t="s">
        <v>2681</v>
      </c>
      <c r="E87" s="42" t="s">
        <v>2666</v>
      </c>
      <c r="F87" s="42" t="s">
        <v>2662</v>
      </c>
      <c r="G87" s="43" t="s">
        <v>112</v>
      </c>
      <c r="H87" s="43" t="s">
        <v>2683</v>
      </c>
      <c r="I87" s="42" t="s">
        <v>2976</v>
      </c>
      <c r="J87" s="42" t="s">
        <v>1220</v>
      </c>
      <c r="K87" s="42" t="s">
        <v>2739</v>
      </c>
      <c r="L87" s="42" t="s">
        <v>3079</v>
      </c>
      <c r="M87" s="42" t="s">
        <v>3002</v>
      </c>
      <c r="N87" s="42" t="s">
        <v>3080</v>
      </c>
      <c r="O87" s="44">
        <v>44968</v>
      </c>
      <c r="P87" s="44">
        <v>45168</v>
      </c>
      <c r="Q87" s="44">
        <v>45167</v>
      </c>
      <c r="R87" s="41" t="s">
        <v>3153</v>
      </c>
    </row>
    <row r="88" spans="1:18" ht="49.5">
      <c r="A88" s="42" t="s">
        <v>2660</v>
      </c>
      <c r="B88" s="42" t="s">
        <v>2449</v>
      </c>
      <c r="C88" s="42" t="s">
        <v>2449</v>
      </c>
      <c r="D88" s="42" t="s">
        <v>2681</v>
      </c>
      <c r="E88" s="42" t="s">
        <v>2682</v>
      </c>
      <c r="F88" s="42" t="s">
        <v>2668</v>
      </c>
      <c r="G88" s="43" t="s">
        <v>112</v>
      </c>
      <c r="H88" s="43" t="s">
        <v>2683</v>
      </c>
      <c r="I88" s="42" t="s">
        <v>2977</v>
      </c>
      <c r="J88" s="42" t="s">
        <v>404</v>
      </c>
      <c r="K88" s="42" t="s">
        <v>2739</v>
      </c>
      <c r="L88" s="42" t="s">
        <v>3081</v>
      </c>
      <c r="M88" s="42" t="s">
        <v>3003</v>
      </c>
      <c r="N88" s="42" t="s">
        <v>3004</v>
      </c>
      <c r="O88" s="44">
        <v>44960</v>
      </c>
      <c r="P88" s="44">
        <v>45076</v>
      </c>
      <c r="Q88" s="44">
        <v>45014</v>
      </c>
      <c r="R88" s="41" t="s">
        <v>3154</v>
      </c>
    </row>
    <row r="89" spans="1:18" ht="49.5">
      <c r="A89" s="42" t="s">
        <v>2660</v>
      </c>
      <c r="B89" s="42" t="s">
        <v>2661</v>
      </c>
      <c r="C89" s="42" t="s">
        <v>2680</v>
      </c>
      <c r="D89" s="42" t="s">
        <v>2681</v>
      </c>
      <c r="E89" s="42" t="s">
        <v>2682</v>
      </c>
      <c r="F89" s="42" t="s">
        <v>2669</v>
      </c>
      <c r="G89" s="43" t="s">
        <v>112</v>
      </c>
      <c r="H89" s="43" t="s">
        <v>2683</v>
      </c>
      <c r="I89" s="42" t="s">
        <v>2978</v>
      </c>
      <c r="J89" s="42" t="s">
        <v>965</v>
      </c>
      <c r="K89" s="42" t="s">
        <v>2739</v>
      </c>
      <c r="L89" s="42" t="s">
        <v>3005</v>
      </c>
      <c r="M89" s="42" t="s">
        <v>3006</v>
      </c>
      <c r="N89" s="42" t="s">
        <v>158</v>
      </c>
      <c r="O89" s="44">
        <v>44991</v>
      </c>
      <c r="P89" s="44">
        <v>45023</v>
      </c>
      <c r="Q89" s="44">
        <v>44994</v>
      </c>
      <c r="R89" s="41" t="s">
        <v>3097</v>
      </c>
    </row>
    <row r="90" spans="1:18" ht="82.5">
      <c r="A90" s="42" t="s">
        <v>2660</v>
      </c>
      <c r="B90" s="42" t="s">
        <v>2661</v>
      </c>
      <c r="C90" s="42" t="s">
        <v>2680</v>
      </c>
      <c r="D90" s="42" t="s">
        <v>2903</v>
      </c>
      <c r="E90" s="42" t="s">
        <v>2906</v>
      </c>
      <c r="F90" s="42" t="s">
        <v>2669</v>
      </c>
      <c r="G90" s="43" t="s">
        <v>112</v>
      </c>
      <c r="H90" s="43" t="s">
        <v>2683</v>
      </c>
      <c r="I90" s="42" t="s">
        <v>2979</v>
      </c>
      <c r="J90" s="42" t="s">
        <v>402</v>
      </c>
      <c r="K90" s="42" t="s">
        <v>2739</v>
      </c>
      <c r="L90" s="42" t="s">
        <v>3007</v>
      </c>
      <c r="M90" s="42" t="s">
        <v>3008</v>
      </c>
      <c r="N90" s="42" t="s">
        <v>158</v>
      </c>
      <c r="O90" s="44">
        <v>44993</v>
      </c>
      <c r="P90" s="44">
        <v>45077</v>
      </c>
      <c r="Q90" s="44">
        <v>45027</v>
      </c>
      <c r="R90" s="41" t="s">
        <v>3098</v>
      </c>
    </row>
    <row r="91" spans="1:18" ht="231">
      <c r="A91" s="42" t="s">
        <v>2660</v>
      </c>
      <c r="B91" s="42" t="s">
        <v>2661</v>
      </c>
      <c r="C91" s="42" t="s">
        <v>2665</v>
      </c>
      <c r="D91" s="42" t="s">
        <v>2681</v>
      </c>
      <c r="E91" s="42" t="s">
        <v>2666</v>
      </c>
      <c r="F91" s="42" t="s">
        <v>2668</v>
      </c>
      <c r="G91" s="43" t="s">
        <v>112</v>
      </c>
      <c r="H91" s="43" t="s">
        <v>2683</v>
      </c>
      <c r="I91" s="42" t="s">
        <v>2689</v>
      </c>
      <c r="J91" s="42" t="s">
        <v>431</v>
      </c>
      <c r="K91" s="42" t="s">
        <v>2739</v>
      </c>
      <c r="L91" s="42" t="s">
        <v>3082</v>
      </c>
      <c r="M91" s="42" t="s">
        <v>2843</v>
      </c>
      <c r="N91" s="42" t="s">
        <v>3083</v>
      </c>
      <c r="O91" s="44">
        <v>45003</v>
      </c>
      <c r="P91" s="44">
        <v>45107</v>
      </c>
      <c r="Q91" s="44">
        <v>45070</v>
      </c>
      <c r="R91" s="41" t="s">
        <v>3155</v>
      </c>
    </row>
    <row r="92" spans="1:18" ht="82.5">
      <c r="A92" s="42" t="s">
        <v>219</v>
      </c>
      <c r="B92" s="42" t="s">
        <v>2679</v>
      </c>
      <c r="C92" s="42" t="s">
        <v>2449</v>
      </c>
      <c r="D92" s="42" t="s">
        <v>2681</v>
      </c>
      <c r="E92" s="42" t="s">
        <v>2682</v>
      </c>
      <c r="F92" s="42" t="s">
        <v>2668</v>
      </c>
      <c r="G92" s="43" t="s">
        <v>112</v>
      </c>
      <c r="H92" s="43" t="s">
        <v>2683</v>
      </c>
      <c r="I92" s="42" t="s">
        <v>2925</v>
      </c>
      <c r="J92" s="42" t="s">
        <v>431</v>
      </c>
      <c r="K92" s="42" t="s">
        <v>2739</v>
      </c>
      <c r="L92" s="42" t="s">
        <v>3084</v>
      </c>
      <c r="M92" s="42" t="s">
        <v>2843</v>
      </c>
      <c r="N92" s="42" t="s">
        <v>3009</v>
      </c>
      <c r="O92" s="44">
        <v>44992</v>
      </c>
      <c r="P92" s="44">
        <v>45161</v>
      </c>
      <c r="Q92" s="44">
        <v>45084</v>
      </c>
      <c r="R92" s="41" t="s">
        <v>3156</v>
      </c>
    </row>
    <row r="93" spans="1:18" ht="198">
      <c r="A93" s="42" t="s">
        <v>2660</v>
      </c>
      <c r="B93" s="42" t="s">
        <v>2449</v>
      </c>
      <c r="C93" s="42" t="s">
        <v>2680</v>
      </c>
      <c r="D93" s="42" t="s">
        <v>2681</v>
      </c>
      <c r="E93" s="42" t="s">
        <v>2666</v>
      </c>
      <c r="F93" s="42" t="s">
        <v>2668</v>
      </c>
      <c r="G93" s="43" t="s">
        <v>112</v>
      </c>
      <c r="H93" s="43" t="s">
        <v>2683</v>
      </c>
      <c r="I93" s="42" t="s">
        <v>2926</v>
      </c>
      <c r="J93" s="42" t="s">
        <v>1150</v>
      </c>
      <c r="K93" s="42" t="s">
        <v>2911</v>
      </c>
      <c r="L93" s="42" t="s">
        <v>3085</v>
      </c>
      <c r="M93" s="42" t="s">
        <v>3086</v>
      </c>
      <c r="N93" s="42" t="s">
        <v>158</v>
      </c>
      <c r="O93" s="44">
        <v>45048</v>
      </c>
      <c r="P93" s="44">
        <v>45111</v>
      </c>
      <c r="Q93" s="44">
        <v>45097</v>
      </c>
      <c r="R93" s="41" t="s">
        <v>3157</v>
      </c>
    </row>
    <row r="94" spans="1:18" ht="132">
      <c r="A94" s="42" t="s">
        <v>219</v>
      </c>
      <c r="B94" s="42" t="s">
        <v>2676</v>
      </c>
      <c r="C94" s="42" t="s">
        <v>2672</v>
      </c>
      <c r="D94" s="42" t="s">
        <v>2681</v>
      </c>
      <c r="E94" s="42" t="s">
        <v>2449</v>
      </c>
      <c r="F94" s="42" t="s">
        <v>2668</v>
      </c>
      <c r="G94" s="43" t="s">
        <v>112</v>
      </c>
      <c r="H94" s="43" t="s">
        <v>2683</v>
      </c>
      <c r="I94" s="42" t="s">
        <v>2927</v>
      </c>
      <c r="J94" s="42" t="s">
        <v>1338</v>
      </c>
      <c r="K94" s="42" t="s">
        <v>2743</v>
      </c>
      <c r="L94" s="42" t="s">
        <v>3087</v>
      </c>
      <c r="M94" s="42" t="s">
        <v>2796</v>
      </c>
      <c r="N94" s="42" t="s">
        <v>158</v>
      </c>
      <c r="O94" s="44">
        <v>45071</v>
      </c>
      <c r="P94" s="44">
        <v>45168</v>
      </c>
      <c r="Q94" s="44">
        <v>45139</v>
      </c>
      <c r="R94" s="41" t="s">
        <v>3158</v>
      </c>
    </row>
    <row r="95" spans="1:18" ht="82.5">
      <c r="A95" s="42" t="s">
        <v>2660</v>
      </c>
      <c r="B95" s="42" t="s">
        <v>2661</v>
      </c>
      <c r="C95" s="42" t="s">
        <v>2680</v>
      </c>
      <c r="D95" s="42" t="s">
        <v>2681</v>
      </c>
      <c r="E95" s="42" t="s">
        <v>2682</v>
      </c>
      <c r="F95" s="42" t="s">
        <v>2668</v>
      </c>
      <c r="G95" s="43" t="s">
        <v>112</v>
      </c>
      <c r="H95" s="43" t="s">
        <v>2683</v>
      </c>
      <c r="I95" s="42" t="s">
        <v>2928</v>
      </c>
      <c r="J95" s="42" t="s">
        <v>1220</v>
      </c>
      <c r="K95" s="42" t="s">
        <v>2739</v>
      </c>
      <c r="L95" s="42" t="s">
        <v>3010</v>
      </c>
      <c r="M95" s="42" t="s">
        <v>3002</v>
      </c>
      <c r="N95" s="42" t="s">
        <v>3011</v>
      </c>
      <c r="O95" s="44">
        <v>45103</v>
      </c>
      <c r="P95" s="44">
        <v>45340</v>
      </c>
      <c r="Q95" s="44">
        <v>45306</v>
      </c>
      <c r="R95" s="41" t="s">
        <v>3159</v>
      </c>
    </row>
    <row r="96" spans="1:18" ht="49.5">
      <c r="A96" s="42" t="s">
        <v>219</v>
      </c>
      <c r="B96" s="42" t="s">
        <v>2663</v>
      </c>
      <c r="C96" s="42" t="s">
        <v>2672</v>
      </c>
      <c r="D96" s="42" t="s">
        <v>2681</v>
      </c>
      <c r="E96" s="42" t="s">
        <v>2449</v>
      </c>
      <c r="F96" s="42" t="s">
        <v>2668</v>
      </c>
      <c r="G96" s="43" t="s">
        <v>112</v>
      </c>
      <c r="H96" s="43" t="s">
        <v>2683</v>
      </c>
      <c r="I96" s="42" t="s">
        <v>2696</v>
      </c>
      <c r="J96" s="42" t="s">
        <v>2742</v>
      </c>
      <c r="K96" s="42" t="s">
        <v>2743</v>
      </c>
      <c r="L96" s="42" t="s">
        <v>3088</v>
      </c>
      <c r="M96" s="42" t="s">
        <v>3012</v>
      </c>
      <c r="N96" s="42" t="s">
        <v>158</v>
      </c>
      <c r="O96" s="44">
        <v>45066</v>
      </c>
      <c r="P96" s="44">
        <v>45130</v>
      </c>
      <c r="Q96" s="44">
        <v>45134</v>
      </c>
      <c r="R96" s="41" t="s">
        <v>3160</v>
      </c>
    </row>
    <row r="97" spans="1:18" ht="198">
      <c r="A97" s="42" t="s">
        <v>2660</v>
      </c>
      <c r="B97" s="42" t="s">
        <v>2661</v>
      </c>
      <c r="C97" s="42" t="s">
        <v>2449</v>
      </c>
      <c r="D97" s="42" t="s">
        <v>2681</v>
      </c>
      <c r="E97" s="42" t="s">
        <v>2682</v>
      </c>
      <c r="F97" s="42" t="s">
        <v>2668</v>
      </c>
      <c r="G97" s="43" t="s">
        <v>112</v>
      </c>
      <c r="H97" s="43" t="s">
        <v>2683</v>
      </c>
      <c r="I97" s="42" t="s">
        <v>2980</v>
      </c>
      <c r="J97" s="42" t="s">
        <v>1246</v>
      </c>
      <c r="K97" s="42" t="s">
        <v>2912</v>
      </c>
      <c r="L97" s="42" t="s">
        <v>3089</v>
      </c>
      <c r="M97" s="42" t="s">
        <v>3013</v>
      </c>
      <c r="N97" s="42" t="s">
        <v>3090</v>
      </c>
      <c r="O97" s="44">
        <v>45118</v>
      </c>
      <c r="P97" s="44">
        <v>45210</v>
      </c>
      <c r="Q97" s="44">
        <v>45159</v>
      </c>
      <c r="R97" s="41" t="s">
        <v>3161</v>
      </c>
    </row>
    <row r="98" spans="1:18" ht="49.5">
      <c r="A98" s="42" t="s">
        <v>2660</v>
      </c>
      <c r="B98" s="42" t="s">
        <v>2661</v>
      </c>
      <c r="C98" s="42" t="s">
        <v>2680</v>
      </c>
      <c r="D98" s="42" t="s">
        <v>2681</v>
      </c>
      <c r="E98" s="42" t="s">
        <v>2682</v>
      </c>
      <c r="F98" s="42" t="s">
        <v>2662</v>
      </c>
      <c r="G98" s="43" t="s">
        <v>112</v>
      </c>
      <c r="H98" s="43" t="s">
        <v>2683</v>
      </c>
      <c r="I98" s="42" t="s">
        <v>2929</v>
      </c>
      <c r="J98" s="42" t="s">
        <v>404</v>
      </c>
      <c r="K98" s="42" t="s">
        <v>2739</v>
      </c>
      <c r="L98" s="42" t="s">
        <v>3091</v>
      </c>
      <c r="M98" s="42" t="s">
        <v>3003</v>
      </c>
      <c r="N98" s="42" t="s">
        <v>158</v>
      </c>
      <c r="O98" s="44">
        <v>45126</v>
      </c>
      <c r="P98" s="44">
        <v>45229</v>
      </c>
      <c r="Q98" s="44">
        <v>45188</v>
      </c>
      <c r="R98" s="41" t="s">
        <v>3162</v>
      </c>
    </row>
    <row r="99" spans="1:18" ht="231">
      <c r="A99" s="42" t="s">
        <v>2660</v>
      </c>
      <c r="B99" s="42" t="s">
        <v>2661</v>
      </c>
      <c r="C99" s="42" t="s">
        <v>2672</v>
      </c>
      <c r="D99" s="42" t="s">
        <v>2681</v>
      </c>
      <c r="E99" s="42" t="s">
        <v>2449</v>
      </c>
      <c r="F99" s="42" t="s">
        <v>2668</v>
      </c>
      <c r="G99" s="43" t="s">
        <v>112</v>
      </c>
      <c r="H99" s="43" t="s">
        <v>2683</v>
      </c>
      <c r="I99" s="42" t="s">
        <v>2930</v>
      </c>
      <c r="J99" s="42" t="s">
        <v>431</v>
      </c>
      <c r="K99" s="42" t="s">
        <v>2739</v>
      </c>
      <c r="L99" s="42" t="s">
        <v>3014</v>
      </c>
      <c r="M99" s="42" t="s">
        <v>3013</v>
      </c>
      <c r="N99" s="42" t="s">
        <v>158</v>
      </c>
      <c r="O99" s="44">
        <v>45169</v>
      </c>
      <c r="P99" s="44">
        <v>45290</v>
      </c>
      <c r="Q99" s="44">
        <v>45205</v>
      </c>
      <c r="R99" s="41" t="s">
        <v>3099</v>
      </c>
    </row>
    <row r="100" spans="1:18" ht="99">
      <c r="A100" s="42" t="s">
        <v>219</v>
      </c>
      <c r="B100" s="42" t="s">
        <v>2676</v>
      </c>
      <c r="C100" s="42" t="s">
        <v>2672</v>
      </c>
      <c r="D100" s="42" t="s">
        <v>2681</v>
      </c>
      <c r="E100" s="42" t="s">
        <v>2449</v>
      </c>
      <c r="F100" s="42" t="s">
        <v>2668</v>
      </c>
      <c r="G100" s="43" t="s">
        <v>112</v>
      </c>
      <c r="H100" s="43" t="s">
        <v>2683</v>
      </c>
      <c r="I100" s="42" t="s">
        <v>2931</v>
      </c>
      <c r="J100" s="42" t="s">
        <v>684</v>
      </c>
      <c r="K100" s="42" t="s">
        <v>2743</v>
      </c>
      <c r="L100" s="42" t="s">
        <v>2778</v>
      </c>
      <c r="M100" s="42" t="s">
        <v>3015</v>
      </c>
      <c r="N100" s="42" t="s">
        <v>3016</v>
      </c>
      <c r="O100" s="44">
        <v>45176</v>
      </c>
      <c r="P100" s="44">
        <v>45270</v>
      </c>
      <c r="Q100" s="44">
        <v>45231</v>
      </c>
      <c r="R100" s="41" t="s">
        <v>3100</v>
      </c>
    </row>
    <row r="101" spans="1:18" ht="33">
      <c r="A101" s="42" t="s">
        <v>219</v>
      </c>
      <c r="B101" s="42" t="s">
        <v>2663</v>
      </c>
      <c r="C101" s="42" t="s">
        <v>2672</v>
      </c>
      <c r="D101" s="42" t="s">
        <v>2681</v>
      </c>
      <c r="E101" s="42" t="s">
        <v>2449</v>
      </c>
      <c r="F101" s="42" t="s">
        <v>2668</v>
      </c>
      <c r="G101" s="43" t="s">
        <v>112</v>
      </c>
      <c r="H101" s="43" t="s">
        <v>2683</v>
      </c>
      <c r="I101" s="42" t="s">
        <v>2932</v>
      </c>
      <c r="J101" s="42" t="s">
        <v>687</v>
      </c>
      <c r="K101" s="42" t="s">
        <v>2743</v>
      </c>
      <c r="L101" s="42" t="s">
        <v>3017</v>
      </c>
      <c r="M101" s="42" t="s">
        <v>3018</v>
      </c>
      <c r="N101" s="42" t="s">
        <v>158</v>
      </c>
      <c r="O101" s="44">
        <v>45203</v>
      </c>
      <c r="P101" s="44">
        <v>45260</v>
      </c>
      <c r="Q101" s="44">
        <v>45226</v>
      </c>
      <c r="R101" s="41" t="s">
        <v>3101</v>
      </c>
    </row>
    <row r="102" spans="1:18" ht="115.5">
      <c r="A102" s="42" t="s">
        <v>219</v>
      </c>
      <c r="B102" s="42" t="s">
        <v>2676</v>
      </c>
      <c r="C102" s="42" t="s">
        <v>2672</v>
      </c>
      <c r="D102" s="42" t="s">
        <v>2681</v>
      </c>
      <c r="E102" s="42" t="s">
        <v>2449</v>
      </c>
      <c r="F102" s="42" t="s">
        <v>2668</v>
      </c>
      <c r="G102" s="43" t="s">
        <v>112</v>
      </c>
      <c r="H102" s="43" t="s">
        <v>2683</v>
      </c>
      <c r="I102" s="42" t="s">
        <v>2933</v>
      </c>
      <c r="J102" s="42" t="s">
        <v>1338</v>
      </c>
      <c r="K102" s="42" t="s">
        <v>2743</v>
      </c>
      <c r="L102" s="42" t="s">
        <v>3087</v>
      </c>
      <c r="M102" s="42" t="s">
        <v>2796</v>
      </c>
      <c r="N102" s="42" t="s">
        <v>158</v>
      </c>
      <c r="O102" s="44">
        <v>45218</v>
      </c>
      <c r="P102" s="44">
        <v>45306</v>
      </c>
      <c r="Q102" s="44">
        <v>45231</v>
      </c>
      <c r="R102" s="41" t="s">
        <v>3102</v>
      </c>
    </row>
    <row r="103" spans="1:18" ht="247.5">
      <c r="A103" s="42" t="s">
        <v>219</v>
      </c>
      <c r="B103" s="42" t="s">
        <v>2676</v>
      </c>
      <c r="C103" s="42" t="s">
        <v>2449</v>
      </c>
      <c r="D103" s="42" t="s">
        <v>2908</v>
      </c>
      <c r="E103" s="42" t="s">
        <v>2449</v>
      </c>
      <c r="F103" s="42" t="s">
        <v>2668</v>
      </c>
      <c r="G103" s="43" t="s">
        <v>112</v>
      </c>
      <c r="H103" s="43" t="s">
        <v>2683</v>
      </c>
      <c r="I103" s="42" t="s">
        <v>2934</v>
      </c>
      <c r="J103" s="42" t="s">
        <v>2916</v>
      </c>
      <c r="K103" s="42" t="s">
        <v>2911</v>
      </c>
      <c r="L103" s="42" t="s">
        <v>3019</v>
      </c>
      <c r="M103" s="42" t="s">
        <v>3020</v>
      </c>
      <c r="N103" s="42" t="s">
        <v>158</v>
      </c>
      <c r="O103" s="44">
        <v>45222</v>
      </c>
      <c r="P103" s="44">
        <v>45291</v>
      </c>
      <c r="Q103" s="44">
        <v>45286</v>
      </c>
      <c r="R103" s="41" t="s">
        <v>3163</v>
      </c>
    </row>
    <row r="104" spans="1:18" ht="132">
      <c r="A104" s="42" t="s">
        <v>2660</v>
      </c>
      <c r="B104" s="42" t="s">
        <v>2661</v>
      </c>
      <c r="C104" s="42" t="s">
        <v>2680</v>
      </c>
      <c r="D104" s="42" t="s">
        <v>2681</v>
      </c>
      <c r="E104" s="42" t="s">
        <v>2682</v>
      </c>
      <c r="F104" s="42" t="s">
        <v>2668</v>
      </c>
      <c r="G104" s="43" t="s">
        <v>112</v>
      </c>
      <c r="H104" s="43" t="s">
        <v>2683</v>
      </c>
      <c r="I104" s="42" t="s">
        <v>2935</v>
      </c>
      <c r="J104" s="42" t="s">
        <v>2748</v>
      </c>
      <c r="K104" s="42" t="s">
        <v>2739</v>
      </c>
      <c r="L104" s="42" t="s">
        <v>3021</v>
      </c>
      <c r="M104" s="42" t="s">
        <v>3022</v>
      </c>
      <c r="N104" s="42" t="s">
        <v>3023</v>
      </c>
      <c r="O104" s="44">
        <v>45205</v>
      </c>
      <c r="P104" s="44">
        <v>45322</v>
      </c>
      <c r="Q104" s="44">
        <v>45323</v>
      </c>
      <c r="R104" s="41" t="s">
        <v>3103</v>
      </c>
    </row>
    <row r="105" spans="1:18" ht="33">
      <c r="A105" s="42" t="s">
        <v>219</v>
      </c>
      <c r="B105" s="42" t="s">
        <v>2663</v>
      </c>
      <c r="C105" s="42" t="s">
        <v>2672</v>
      </c>
      <c r="D105" s="42" t="s">
        <v>2681</v>
      </c>
      <c r="E105" s="42" t="s">
        <v>2449</v>
      </c>
      <c r="F105" s="42" t="s">
        <v>2668</v>
      </c>
      <c r="G105" s="43" t="s">
        <v>112</v>
      </c>
      <c r="H105" s="43" t="s">
        <v>2683</v>
      </c>
      <c r="I105" s="42" t="s">
        <v>2936</v>
      </c>
      <c r="J105" s="42" t="s">
        <v>687</v>
      </c>
      <c r="K105" s="42" t="s">
        <v>2743</v>
      </c>
      <c r="L105" s="42" t="s">
        <v>3024</v>
      </c>
      <c r="M105" s="42" t="s">
        <v>3018</v>
      </c>
      <c r="N105" s="42" t="s">
        <v>158</v>
      </c>
      <c r="O105" s="44">
        <v>45242</v>
      </c>
      <c r="P105" s="44">
        <v>45333</v>
      </c>
      <c r="Q105" s="44">
        <v>45337</v>
      </c>
      <c r="R105" s="41" t="s">
        <v>3104</v>
      </c>
    </row>
    <row r="106" spans="1:18" ht="49.5">
      <c r="A106" s="42" t="s">
        <v>2660</v>
      </c>
      <c r="B106" s="42" t="s">
        <v>2661</v>
      </c>
      <c r="C106" s="42" t="s">
        <v>2670</v>
      </c>
      <c r="D106" s="42" t="s">
        <v>2681</v>
      </c>
      <c r="E106" s="42" t="s">
        <v>2666</v>
      </c>
      <c r="F106" s="42" t="s">
        <v>2668</v>
      </c>
      <c r="G106" s="43" t="s">
        <v>112</v>
      </c>
      <c r="H106" s="43" t="s">
        <v>2683</v>
      </c>
      <c r="I106" s="42" t="s">
        <v>2937</v>
      </c>
      <c r="J106" s="42" t="s">
        <v>399</v>
      </c>
      <c r="K106" s="42" t="s">
        <v>2739</v>
      </c>
      <c r="L106" s="42" t="s">
        <v>3025</v>
      </c>
      <c r="M106" s="42" t="s">
        <v>3026</v>
      </c>
      <c r="N106" s="42" t="s">
        <v>158</v>
      </c>
      <c r="O106" s="44">
        <v>45238</v>
      </c>
      <c r="P106" s="44">
        <v>45322</v>
      </c>
      <c r="Q106" s="44">
        <v>45308</v>
      </c>
      <c r="R106" s="41" t="s">
        <v>3105</v>
      </c>
    </row>
    <row r="107" spans="1:18" ht="115.5">
      <c r="A107" s="42" t="s">
        <v>219</v>
      </c>
      <c r="B107" s="42" t="s">
        <v>2676</v>
      </c>
      <c r="C107" s="42" t="s">
        <v>2672</v>
      </c>
      <c r="D107" s="42" t="s">
        <v>2681</v>
      </c>
      <c r="E107" s="42" t="s">
        <v>2449</v>
      </c>
      <c r="F107" s="42" t="s">
        <v>2668</v>
      </c>
      <c r="G107" s="43" t="s">
        <v>112</v>
      </c>
      <c r="H107" s="43" t="s">
        <v>2683</v>
      </c>
      <c r="I107" s="42" t="s">
        <v>2938</v>
      </c>
      <c r="J107" s="42" t="s">
        <v>684</v>
      </c>
      <c r="K107" s="42" t="s">
        <v>2743</v>
      </c>
      <c r="L107" s="42" t="s">
        <v>2778</v>
      </c>
      <c r="M107" s="42" t="s">
        <v>3015</v>
      </c>
      <c r="N107" s="42" t="s">
        <v>3016</v>
      </c>
      <c r="O107" s="44">
        <v>45235</v>
      </c>
      <c r="P107" s="44">
        <v>45350</v>
      </c>
      <c r="Q107" s="44">
        <v>45268</v>
      </c>
      <c r="R107" s="41" t="s">
        <v>3106</v>
      </c>
    </row>
    <row r="108" spans="1:18" ht="66">
      <c r="A108" s="42" t="s">
        <v>219</v>
      </c>
      <c r="B108" s="42" t="s">
        <v>2449</v>
      </c>
      <c r="C108" s="42" t="s">
        <v>2672</v>
      </c>
      <c r="D108" s="42" t="s">
        <v>2681</v>
      </c>
      <c r="E108" s="42" t="s">
        <v>2449</v>
      </c>
      <c r="F108" s="42" t="s">
        <v>2668</v>
      </c>
      <c r="G108" s="43" t="s">
        <v>112</v>
      </c>
      <c r="H108" s="43" t="s">
        <v>2683</v>
      </c>
      <c r="I108" s="42" t="s">
        <v>2939</v>
      </c>
      <c r="J108" s="42" t="s">
        <v>691</v>
      </c>
      <c r="K108" s="42" t="s">
        <v>2743</v>
      </c>
      <c r="L108" s="42" t="s">
        <v>3027</v>
      </c>
      <c r="M108" s="42" t="s">
        <v>3028</v>
      </c>
      <c r="N108" s="42" t="s">
        <v>158</v>
      </c>
      <c r="O108" s="44">
        <v>45330</v>
      </c>
      <c r="P108" s="44">
        <v>45510</v>
      </c>
      <c r="Q108" s="44">
        <v>45497</v>
      </c>
      <c r="R108" s="41" t="s">
        <v>3107</v>
      </c>
    </row>
    <row r="109" spans="1:18" ht="115.5">
      <c r="A109" s="42" t="s">
        <v>219</v>
      </c>
      <c r="B109" s="42" t="s">
        <v>2676</v>
      </c>
      <c r="C109" s="42" t="s">
        <v>2672</v>
      </c>
      <c r="D109" s="42" t="s">
        <v>2681</v>
      </c>
      <c r="E109" s="42" t="s">
        <v>2449</v>
      </c>
      <c r="F109" s="42" t="s">
        <v>2668</v>
      </c>
      <c r="G109" s="43" t="s">
        <v>112</v>
      </c>
      <c r="H109" s="43" t="s">
        <v>2683</v>
      </c>
      <c r="I109" s="42" t="s">
        <v>2940</v>
      </c>
      <c r="J109" s="42" t="s">
        <v>684</v>
      </c>
      <c r="K109" s="42" t="s">
        <v>2743</v>
      </c>
      <c r="L109" s="42" t="s">
        <v>2778</v>
      </c>
      <c r="M109" s="42" t="s">
        <v>3015</v>
      </c>
      <c r="N109" s="42" t="s">
        <v>3016</v>
      </c>
      <c r="O109" s="44">
        <v>45336</v>
      </c>
      <c r="P109" s="44">
        <v>45425</v>
      </c>
      <c r="Q109" s="44">
        <v>45420</v>
      </c>
      <c r="R109" s="41" t="s">
        <v>3108</v>
      </c>
    </row>
    <row r="110" spans="1:18" ht="99">
      <c r="A110" s="42" t="s">
        <v>2660</v>
      </c>
      <c r="B110" s="42" t="s">
        <v>2661</v>
      </c>
      <c r="C110" s="42" t="s">
        <v>2680</v>
      </c>
      <c r="D110" s="42" t="s">
        <v>2681</v>
      </c>
      <c r="E110" s="42" t="s">
        <v>2682</v>
      </c>
      <c r="F110" s="42" t="s">
        <v>2662</v>
      </c>
      <c r="G110" s="43" t="s">
        <v>112</v>
      </c>
      <c r="H110" s="43" t="s">
        <v>2683</v>
      </c>
      <c r="I110" s="42" t="s">
        <v>2941</v>
      </c>
      <c r="J110" s="42" t="s">
        <v>427</v>
      </c>
      <c r="K110" s="42" t="s">
        <v>2739</v>
      </c>
      <c r="L110" s="42" t="s">
        <v>3029</v>
      </c>
      <c r="M110" s="42" t="s">
        <v>3030</v>
      </c>
      <c r="N110" s="42" t="s">
        <v>158</v>
      </c>
      <c r="O110" s="44">
        <v>45327</v>
      </c>
      <c r="P110" s="44">
        <v>45412</v>
      </c>
      <c r="Q110" s="44">
        <v>45374</v>
      </c>
      <c r="R110" s="41" t="s">
        <v>3109</v>
      </c>
    </row>
    <row r="111" spans="1:18" ht="148.5">
      <c r="A111" s="42" t="s">
        <v>2660</v>
      </c>
      <c r="B111" s="42" t="s">
        <v>2661</v>
      </c>
      <c r="C111" s="42" t="s">
        <v>2680</v>
      </c>
      <c r="D111" s="42" t="s">
        <v>2681</v>
      </c>
      <c r="E111" s="42" t="s">
        <v>2682</v>
      </c>
      <c r="F111" s="42" t="s">
        <v>2668</v>
      </c>
      <c r="G111" s="43" t="s">
        <v>112</v>
      </c>
      <c r="H111" s="43" t="s">
        <v>2683</v>
      </c>
      <c r="I111" s="42" t="s">
        <v>2981</v>
      </c>
      <c r="J111" s="42" t="s">
        <v>963</v>
      </c>
      <c r="K111" s="42" t="s">
        <v>2739</v>
      </c>
      <c r="L111" s="42" t="s">
        <v>3031</v>
      </c>
      <c r="M111" s="42" t="s">
        <v>3002</v>
      </c>
      <c r="N111" s="42" t="s">
        <v>3032</v>
      </c>
      <c r="O111" s="44">
        <v>45329</v>
      </c>
      <c r="P111" s="44">
        <v>45442</v>
      </c>
      <c r="Q111" s="44">
        <v>45433</v>
      </c>
      <c r="R111" s="41" t="s">
        <v>3164</v>
      </c>
    </row>
    <row r="112" spans="1:18" ht="82.5">
      <c r="A112" s="42" t="s">
        <v>2660</v>
      </c>
      <c r="B112" s="42" t="s">
        <v>2661</v>
      </c>
      <c r="C112" s="42" t="s">
        <v>2449</v>
      </c>
      <c r="D112" s="42" t="s">
        <v>2681</v>
      </c>
      <c r="E112" s="42" t="s">
        <v>2904</v>
      </c>
      <c r="F112" s="42" t="s">
        <v>2669</v>
      </c>
      <c r="G112" s="43" t="s">
        <v>112</v>
      </c>
      <c r="H112" s="43" t="s">
        <v>2683</v>
      </c>
      <c r="I112" s="42" t="s">
        <v>2731</v>
      </c>
      <c r="J112" s="42" t="s">
        <v>421</v>
      </c>
      <c r="K112" s="42" t="s">
        <v>2739</v>
      </c>
      <c r="L112" s="42" t="s">
        <v>3033</v>
      </c>
      <c r="M112" s="42" t="s">
        <v>3034</v>
      </c>
      <c r="N112" s="42" t="s">
        <v>158</v>
      </c>
      <c r="O112" s="44">
        <v>45366</v>
      </c>
      <c r="P112" s="44">
        <v>45562</v>
      </c>
      <c r="Q112" s="44">
        <v>45533</v>
      </c>
      <c r="R112" s="41" t="s">
        <v>3165</v>
      </c>
    </row>
    <row r="113" spans="1:18" ht="115.5">
      <c r="A113" s="42" t="s">
        <v>2660</v>
      </c>
      <c r="B113" s="42" t="s">
        <v>2661</v>
      </c>
      <c r="C113" s="42" t="s">
        <v>2672</v>
      </c>
      <c r="D113" s="42" t="s">
        <v>2681</v>
      </c>
      <c r="E113" s="42" t="s">
        <v>2449</v>
      </c>
      <c r="F113" s="42" t="s">
        <v>2668</v>
      </c>
      <c r="G113" s="43" t="s">
        <v>112</v>
      </c>
      <c r="H113" s="43" t="s">
        <v>2683</v>
      </c>
      <c r="I113" s="42" t="s">
        <v>2691</v>
      </c>
      <c r="J113" s="42" t="s">
        <v>437</v>
      </c>
      <c r="K113" s="42" t="s">
        <v>2739</v>
      </c>
      <c r="L113" s="42" t="s">
        <v>3035</v>
      </c>
      <c r="M113" s="42" t="s">
        <v>2843</v>
      </c>
      <c r="N113" s="42" t="s">
        <v>158</v>
      </c>
      <c r="O113" s="44">
        <v>45447</v>
      </c>
      <c r="P113" s="44">
        <v>45534</v>
      </c>
      <c r="Q113" s="44">
        <v>45490</v>
      </c>
      <c r="R113" s="41" t="s">
        <v>3110</v>
      </c>
    </row>
    <row r="114" spans="1:18" ht="198">
      <c r="A114" s="42" t="s">
        <v>2660</v>
      </c>
      <c r="B114" s="42" t="s">
        <v>2661</v>
      </c>
      <c r="C114" s="42" t="s">
        <v>2672</v>
      </c>
      <c r="D114" s="42" t="s">
        <v>2681</v>
      </c>
      <c r="E114" s="42" t="s">
        <v>2449</v>
      </c>
      <c r="F114" s="42" t="s">
        <v>2668</v>
      </c>
      <c r="G114" s="43" t="s">
        <v>112</v>
      </c>
      <c r="H114" s="43" t="s">
        <v>2683</v>
      </c>
      <c r="I114" s="42" t="s">
        <v>2942</v>
      </c>
      <c r="J114" s="42" t="s">
        <v>1242</v>
      </c>
      <c r="K114" s="42" t="s">
        <v>2912</v>
      </c>
      <c r="L114" s="42" t="s">
        <v>3036</v>
      </c>
      <c r="M114" s="42" t="s">
        <v>3002</v>
      </c>
      <c r="N114" s="42" t="s">
        <v>158</v>
      </c>
      <c r="O114" s="44">
        <v>45517</v>
      </c>
      <c r="P114" s="44">
        <v>45578</v>
      </c>
      <c r="Q114" s="44">
        <v>45539</v>
      </c>
      <c r="R114" s="41" t="s">
        <v>3111</v>
      </c>
    </row>
    <row r="115" spans="1:18" ht="115.5">
      <c r="A115" s="42" t="s">
        <v>2660</v>
      </c>
      <c r="B115" s="42" t="s">
        <v>2661</v>
      </c>
      <c r="C115" s="42" t="s">
        <v>2672</v>
      </c>
      <c r="D115" s="42" t="s">
        <v>2681</v>
      </c>
      <c r="E115" s="42" t="s">
        <v>2449</v>
      </c>
      <c r="F115" s="42" t="s">
        <v>2668</v>
      </c>
      <c r="G115" s="43" t="s">
        <v>112</v>
      </c>
      <c r="H115" s="43" t="s">
        <v>2683</v>
      </c>
      <c r="I115" s="42" t="s">
        <v>2943</v>
      </c>
      <c r="J115" s="42" t="s">
        <v>1242</v>
      </c>
      <c r="K115" s="42" t="s">
        <v>2912</v>
      </c>
      <c r="L115" s="42" t="s">
        <v>3036</v>
      </c>
      <c r="M115" s="42" t="s">
        <v>3002</v>
      </c>
      <c r="N115" s="42" t="s">
        <v>158</v>
      </c>
      <c r="O115" s="44">
        <v>45543</v>
      </c>
      <c r="P115" s="44">
        <v>45565</v>
      </c>
      <c r="Q115" s="44">
        <v>45555</v>
      </c>
      <c r="R115" s="41" t="s">
        <v>3112</v>
      </c>
    </row>
    <row r="116" spans="1:18" ht="346.5">
      <c r="A116" s="42" t="s">
        <v>2660</v>
      </c>
      <c r="B116" s="42" t="s">
        <v>2909</v>
      </c>
      <c r="C116" s="42" t="s">
        <v>2672</v>
      </c>
      <c r="D116" s="42" t="s">
        <v>2681</v>
      </c>
      <c r="E116" s="42" t="s">
        <v>2449</v>
      </c>
      <c r="F116" s="42" t="s">
        <v>2668</v>
      </c>
      <c r="G116" s="43" t="s">
        <v>112</v>
      </c>
      <c r="H116" s="43" t="s">
        <v>2683</v>
      </c>
      <c r="I116" s="42" t="s">
        <v>2944</v>
      </c>
      <c r="J116" s="42" t="s">
        <v>2917</v>
      </c>
      <c r="K116" s="42" t="s">
        <v>2913</v>
      </c>
      <c r="L116" s="42" t="s">
        <v>3037</v>
      </c>
      <c r="M116" s="42" t="s">
        <v>3038</v>
      </c>
      <c r="N116" s="42" t="s">
        <v>158</v>
      </c>
      <c r="O116" s="44">
        <v>45545</v>
      </c>
      <c r="P116" s="44">
        <v>45575</v>
      </c>
      <c r="Q116" s="44">
        <v>45572</v>
      </c>
      <c r="R116" s="41" t="s">
        <v>3113</v>
      </c>
    </row>
    <row r="117" spans="1:18" ht="214.5">
      <c r="A117" s="42" t="s">
        <v>2660</v>
      </c>
      <c r="B117" s="42" t="s">
        <v>2661</v>
      </c>
      <c r="C117" s="42" t="s">
        <v>2672</v>
      </c>
      <c r="D117" s="42" t="s">
        <v>2681</v>
      </c>
      <c r="E117" s="42" t="s">
        <v>2449</v>
      </c>
      <c r="F117" s="42" t="s">
        <v>2668</v>
      </c>
      <c r="G117" s="43" t="s">
        <v>112</v>
      </c>
      <c r="H117" s="43" t="s">
        <v>2683</v>
      </c>
      <c r="I117" s="42" t="s">
        <v>2945</v>
      </c>
      <c r="J117" s="42" t="s">
        <v>1242</v>
      </c>
      <c r="K117" s="42" t="s">
        <v>2912</v>
      </c>
      <c r="L117" s="42" t="s">
        <v>3036</v>
      </c>
      <c r="M117" s="42" t="s">
        <v>3002</v>
      </c>
      <c r="N117" s="42" t="s">
        <v>158</v>
      </c>
      <c r="O117" s="44">
        <v>45565</v>
      </c>
      <c r="P117" s="44">
        <v>45596</v>
      </c>
      <c r="Q117" s="44">
        <v>45576</v>
      </c>
      <c r="R117" s="41" t="s">
        <v>3114</v>
      </c>
    </row>
    <row r="118" spans="1:18" ht="82.5">
      <c r="A118" s="42" t="s">
        <v>2660</v>
      </c>
      <c r="B118" s="42" t="s">
        <v>2661</v>
      </c>
      <c r="C118" s="42" t="s">
        <v>2680</v>
      </c>
      <c r="D118" s="42" t="s">
        <v>2681</v>
      </c>
      <c r="E118" s="42" t="s">
        <v>2666</v>
      </c>
      <c r="F118" s="42" t="s">
        <v>2664</v>
      </c>
      <c r="G118" s="43" t="s">
        <v>112</v>
      </c>
      <c r="H118" s="43" t="s">
        <v>2683</v>
      </c>
      <c r="I118" s="42" t="s">
        <v>2946</v>
      </c>
      <c r="J118" s="42" t="s">
        <v>1220</v>
      </c>
      <c r="K118" s="42" t="s">
        <v>2739</v>
      </c>
      <c r="L118" s="42" t="s">
        <v>3039</v>
      </c>
      <c r="M118" s="42" t="s">
        <v>3002</v>
      </c>
      <c r="N118" s="42" t="s">
        <v>3040</v>
      </c>
      <c r="O118" s="44">
        <v>45595</v>
      </c>
      <c r="P118" s="44">
        <v>45656</v>
      </c>
      <c r="Q118" s="44">
        <v>45624</v>
      </c>
      <c r="R118" s="41" t="s">
        <v>3115</v>
      </c>
    </row>
    <row r="119" spans="1:18" ht="66">
      <c r="A119" s="42" t="s">
        <v>2660</v>
      </c>
      <c r="B119" s="42" t="s">
        <v>2661</v>
      </c>
      <c r="C119" s="42" t="s">
        <v>2449</v>
      </c>
      <c r="D119" s="42" t="s">
        <v>2674</v>
      </c>
      <c r="E119" s="42" t="s">
        <v>2675</v>
      </c>
      <c r="F119" s="42" t="s">
        <v>2669</v>
      </c>
      <c r="G119" s="43" t="s">
        <v>112</v>
      </c>
      <c r="H119" s="43" t="s">
        <v>2683</v>
      </c>
      <c r="I119" s="42" t="s">
        <v>2982</v>
      </c>
      <c r="J119" s="42" t="s">
        <v>963</v>
      </c>
      <c r="K119" s="42" t="s">
        <v>2739</v>
      </c>
      <c r="L119" s="42" t="s">
        <v>3041</v>
      </c>
      <c r="M119" s="42" t="s">
        <v>3002</v>
      </c>
      <c r="N119" s="42" t="s">
        <v>3032</v>
      </c>
      <c r="O119" s="44">
        <v>45640</v>
      </c>
      <c r="P119" s="44">
        <v>45672</v>
      </c>
      <c r="Q119" s="44">
        <v>45672</v>
      </c>
      <c r="R119" s="41" t="s">
        <v>3116</v>
      </c>
    </row>
    <row r="120" spans="1:18" ht="49.5">
      <c r="A120" s="42" t="s">
        <v>2660</v>
      </c>
      <c r="B120" s="42" t="s">
        <v>2661</v>
      </c>
      <c r="C120" s="42" t="s">
        <v>2449</v>
      </c>
      <c r="D120" s="42" t="s">
        <v>2681</v>
      </c>
      <c r="E120" s="42" t="s">
        <v>2904</v>
      </c>
      <c r="F120" s="42" t="s">
        <v>2662</v>
      </c>
      <c r="G120" s="43" t="s">
        <v>112</v>
      </c>
      <c r="H120" s="43" t="s">
        <v>2683</v>
      </c>
      <c r="I120" s="42" t="s">
        <v>2947</v>
      </c>
      <c r="J120" s="42" t="s">
        <v>421</v>
      </c>
      <c r="K120" s="42" t="s">
        <v>2739</v>
      </c>
      <c r="L120" s="42" t="s">
        <v>3042</v>
      </c>
      <c r="M120" s="42" t="s">
        <v>3034</v>
      </c>
      <c r="N120" s="42" t="s">
        <v>158</v>
      </c>
      <c r="O120" s="44">
        <v>45670</v>
      </c>
      <c r="P120" s="44">
        <v>45746</v>
      </c>
      <c r="Q120" s="44">
        <v>45750</v>
      </c>
      <c r="R120" s="41" t="s">
        <v>3117</v>
      </c>
    </row>
    <row r="121" spans="1:18" ht="49.5">
      <c r="A121" s="42" t="s">
        <v>2660</v>
      </c>
      <c r="B121" s="42" t="s">
        <v>2661</v>
      </c>
      <c r="C121" s="42" t="s">
        <v>2449</v>
      </c>
      <c r="D121" s="42" t="s">
        <v>2674</v>
      </c>
      <c r="E121" s="42" t="s">
        <v>2678</v>
      </c>
      <c r="F121" s="42" t="s">
        <v>2668</v>
      </c>
      <c r="G121" s="43" t="s">
        <v>112</v>
      </c>
      <c r="H121" s="43" t="s">
        <v>2683</v>
      </c>
      <c r="I121" s="42" t="s">
        <v>2983</v>
      </c>
      <c r="J121" s="42" t="s">
        <v>1220</v>
      </c>
      <c r="K121" s="42" t="s">
        <v>2739</v>
      </c>
      <c r="L121" s="42" t="s">
        <v>3043</v>
      </c>
      <c r="M121" s="42" t="s">
        <v>3002</v>
      </c>
      <c r="N121" s="42" t="s">
        <v>3044</v>
      </c>
      <c r="O121" s="44">
        <v>45695</v>
      </c>
      <c r="P121" s="44">
        <v>45807</v>
      </c>
      <c r="Q121" s="44">
        <v>45744</v>
      </c>
      <c r="R121" s="41" t="s">
        <v>3118</v>
      </c>
    </row>
    <row r="122" spans="1:18" ht="148.5">
      <c r="A122" s="42" t="s">
        <v>2660</v>
      </c>
      <c r="B122" s="42" t="s">
        <v>2661</v>
      </c>
      <c r="C122" s="42" t="s">
        <v>2680</v>
      </c>
      <c r="D122" s="42" t="s">
        <v>2681</v>
      </c>
      <c r="E122" s="42" t="s">
        <v>2682</v>
      </c>
      <c r="F122" s="42" t="s">
        <v>2662</v>
      </c>
      <c r="G122" s="43" t="s">
        <v>112</v>
      </c>
      <c r="H122" s="43" t="s">
        <v>2683</v>
      </c>
      <c r="I122" s="42" t="s">
        <v>2984</v>
      </c>
      <c r="J122" s="42" t="s">
        <v>421</v>
      </c>
      <c r="K122" s="42" t="s">
        <v>2739</v>
      </c>
      <c r="L122" s="42" t="s">
        <v>3042</v>
      </c>
      <c r="M122" s="42" t="s">
        <v>3034</v>
      </c>
      <c r="N122" s="42" t="s">
        <v>158</v>
      </c>
      <c r="O122" s="44">
        <v>45707</v>
      </c>
      <c r="P122" s="44">
        <v>45807</v>
      </c>
      <c r="Q122" s="44">
        <v>45727</v>
      </c>
      <c r="R122" s="41" t="s">
        <v>3166</v>
      </c>
    </row>
    <row r="123" spans="1:18" ht="49.5">
      <c r="A123" s="42" t="s">
        <v>219</v>
      </c>
      <c r="B123" s="42" t="s">
        <v>2679</v>
      </c>
      <c r="C123" s="42" t="s">
        <v>2672</v>
      </c>
      <c r="D123" s="42" t="s">
        <v>2681</v>
      </c>
      <c r="E123" s="42" t="s">
        <v>2449</v>
      </c>
      <c r="F123" s="42" t="s">
        <v>2668</v>
      </c>
      <c r="G123" s="43" t="s">
        <v>112</v>
      </c>
      <c r="H123" s="43" t="s">
        <v>2683</v>
      </c>
      <c r="I123" s="42" t="s">
        <v>2730</v>
      </c>
      <c r="J123" s="42" t="s">
        <v>1344</v>
      </c>
      <c r="K123" s="42" t="s">
        <v>2911</v>
      </c>
      <c r="L123" s="42" t="s">
        <v>3045</v>
      </c>
      <c r="M123" s="42" t="s">
        <v>3046</v>
      </c>
      <c r="N123" s="42" t="s">
        <v>158</v>
      </c>
      <c r="O123" s="44">
        <v>45727</v>
      </c>
      <c r="P123" s="44">
        <v>45815</v>
      </c>
      <c r="Q123" s="44">
        <v>45754</v>
      </c>
      <c r="R123" s="41" t="s">
        <v>3119</v>
      </c>
    </row>
    <row r="124" spans="1:18" ht="115.5">
      <c r="A124" s="42" t="s">
        <v>219</v>
      </c>
      <c r="B124" s="42" t="s">
        <v>2679</v>
      </c>
      <c r="C124" s="42" t="s">
        <v>2672</v>
      </c>
      <c r="D124" s="42" t="s">
        <v>2681</v>
      </c>
      <c r="E124" s="42" t="s">
        <v>2449</v>
      </c>
      <c r="F124" s="42" t="s">
        <v>2668</v>
      </c>
      <c r="G124" s="43" t="s">
        <v>112</v>
      </c>
      <c r="H124" s="43" t="s">
        <v>2683</v>
      </c>
      <c r="I124" s="42" t="s">
        <v>2948</v>
      </c>
      <c r="J124" s="42" t="s">
        <v>2918</v>
      </c>
      <c r="K124" s="42" t="s">
        <v>2911</v>
      </c>
      <c r="L124" s="42" t="s">
        <v>3047</v>
      </c>
      <c r="M124" s="42" t="s">
        <v>3046</v>
      </c>
      <c r="N124" s="42" t="s">
        <v>158</v>
      </c>
      <c r="O124" s="44">
        <v>45743</v>
      </c>
      <c r="P124" s="44">
        <v>45835</v>
      </c>
      <c r="Q124" s="44">
        <v>45784</v>
      </c>
      <c r="R124" s="41" t="s">
        <v>3120</v>
      </c>
    </row>
    <row r="125" spans="1:18" ht="99">
      <c r="A125" s="42" t="s">
        <v>219</v>
      </c>
      <c r="B125" s="42" t="s">
        <v>2679</v>
      </c>
      <c r="C125" s="42" t="s">
        <v>2672</v>
      </c>
      <c r="D125" s="42" t="s">
        <v>2681</v>
      </c>
      <c r="E125" s="42" t="s">
        <v>2449</v>
      </c>
      <c r="F125" s="42" t="s">
        <v>2668</v>
      </c>
      <c r="G125" s="43" t="s">
        <v>112</v>
      </c>
      <c r="H125" s="43" t="s">
        <v>2683</v>
      </c>
      <c r="I125" s="42" t="s">
        <v>2985</v>
      </c>
      <c r="J125" s="42" t="s">
        <v>2918</v>
      </c>
      <c r="K125" s="42" t="s">
        <v>2911</v>
      </c>
      <c r="L125" s="42" t="s">
        <v>3047</v>
      </c>
      <c r="M125" s="42" t="s">
        <v>3046</v>
      </c>
      <c r="N125" s="42" t="s">
        <v>158</v>
      </c>
      <c r="O125" s="44">
        <v>45777</v>
      </c>
      <c r="P125" s="44">
        <v>45868</v>
      </c>
      <c r="Q125" s="44">
        <v>45959</v>
      </c>
      <c r="R125" s="41" t="s">
        <v>3121</v>
      </c>
    </row>
    <row r="126" spans="1:18" ht="99">
      <c r="A126" s="42" t="s">
        <v>2660</v>
      </c>
      <c r="B126" s="42" t="s">
        <v>2661</v>
      </c>
      <c r="C126" s="42" t="s">
        <v>2449</v>
      </c>
      <c r="D126" s="42" t="s">
        <v>2681</v>
      </c>
      <c r="E126" s="42" t="s">
        <v>2682</v>
      </c>
      <c r="F126" s="42" t="s">
        <v>2668</v>
      </c>
      <c r="G126" s="43" t="s">
        <v>112</v>
      </c>
      <c r="H126" s="43" t="s">
        <v>2683</v>
      </c>
      <c r="I126" s="42" t="s">
        <v>2949</v>
      </c>
      <c r="J126" s="42" t="s">
        <v>421</v>
      </c>
      <c r="K126" s="42" t="s">
        <v>2739</v>
      </c>
      <c r="L126" s="42" t="s">
        <v>3042</v>
      </c>
      <c r="M126" s="42" t="s">
        <v>3034</v>
      </c>
      <c r="N126" s="42" t="s">
        <v>158</v>
      </c>
      <c r="O126" s="44">
        <v>45813</v>
      </c>
      <c r="P126" s="44">
        <v>45868</v>
      </c>
      <c r="Q126" s="44">
        <v>45852</v>
      </c>
      <c r="R126" s="41" t="s">
        <v>3167</v>
      </c>
    </row>
    <row r="127" spans="1:18" ht="132">
      <c r="A127" s="42" t="s">
        <v>2660</v>
      </c>
      <c r="B127" s="42" t="s">
        <v>2449</v>
      </c>
      <c r="C127" s="42" t="s">
        <v>2672</v>
      </c>
      <c r="D127" s="42" t="s">
        <v>2681</v>
      </c>
      <c r="E127" s="42" t="s">
        <v>2449</v>
      </c>
      <c r="F127" s="42" t="s">
        <v>2668</v>
      </c>
      <c r="G127" s="43" t="s">
        <v>112</v>
      </c>
      <c r="H127" s="43" t="s">
        <v>2683</v>
      </c>
      <c r="I127" s="42" t="s">
        <v>2986</v>
      </c>
      <c r="J127" s="42" t="s">
        <v>1297</v>
      </c>
      <c r="K127" s="42" t="s">
        <v>2745</v>
      </c>
      <c r="L127" s="42" t="s">
        <v>3092</v>
      </c>
      <c r="M127" s="42" t="s">
        <v>3093</v>
      </c>
      <c r="N127" s="42" t="s">
        <v>158</v>
      </c>
      <c r="O127" s="44">
        <v>45832</v>
      </c>
      <c r="P127" s="44">
        <v>45868</v>
      </c>
      <c r="Q127" s="44">
        <v>45869</v>
      </c>
      <c r="R127" s="41" t="s">
        <v>3168</v>
      </c>
    </row>
    <row r="128" spans="1:18" ht="148.5">
      <c r="A128" s="42" t="s">
        <v>219</v>
      </c>
      <c r="B128" s="42" t="s">
        <v>2679</v>
      </c>
      <c r="C128" s="42" t="s">
        <v>2672</v>
      </c>
      <c r="D128" s="42" t="s">
        <v>2681</v>
      </c>
      <c r="E128" s="42" t="s">
        <v>2449</v>
      </c>
      <c r="F128" s="42" t="s">
        <v>2668</v>
      </c>
      <c r="G128" s="43" t="s">
        <v>112</v>
      </c>
      <c r="H128" s="43" t="s">
        <v>2683</v>
      </c>
      <c r="I128" s="42" t="s">
        <v>2950</v>
      </c>
      <c r="J128" s="42" t="s">
        <v>1363</v>
      </c>
      <c r="K128" s="42" t="s">
        <v>2911</v>
      </c>
      <c r="L128" s="42" t="s">
        <v>3094</v>
      </c>
      <c r="M128" s="42" t="s">
        <v>3048</v>
      </c>
      <c r="N128" s="42" t="s">
        <v>158</v>
      </c>
      <c r="O128" s="44">
        <v>45865</v>
      </c>
      <c r="P128" s="44">
        <v>45956</v>
      </c>
      <c r="Q128" s="44">
        <v>45888</v>
      </c>
      <c r="R128" s="41" t="s">
        <v>3122</v>
      </c>
    </row>
    <row r="129" spans="1:18" ht="115.5">
      <c r="A129" s="42" t="s">
        <v>2660</v>
      </c>
      <c r="B129" s="42" t="s">
        <v>2661</v>
      </c>
      <c r="C129" s="42" t="s">
        <v>2449</v>
      </c>
      <c r="D129" s="42" t="s">
        <v>2681</v>
      </c>
      <c r="E129" s="42" t="s">
        <v>2682</v>
      </c>
      <c r="F129" s="42" t="s">
        <v>2669</v>
      </c>
      <c r="G129" s="43" t="s">
        <v>112</v>
      </c>
      <c r="H129" s="43" t="s">
        <v>2683</v>
      </c>
      <c r="I129" s="42" t="s">
        <v>2951</v>
      </c>
      <c r="J129" s="42" t="s">
        <v>421</v>
      </c>
      <c r="K129" s="42" t="s">
        <v>2739</v>
      </c>
      <c r="L129" s="42" t="s">
        <v>3042</v>
      </c>
      <c r="M129" s="42" t="s">
        <v>3034</v>
      </c>
      <c r="N129" s="42" t="s">
        <v>158</v>
      </c>
      <c r="O129" s="44">
        <v>45880</v>
      </c>
      <c r="P129" s="44">
        <v>45900</v>
      </c>
      <c r="Q129" s="44">
        <v>45891</v>
      </c>
      <c r="R129" s="41" t="s">
        <v>3169</v>
      </c>
    </row>
    <row r="130" spans="1:18" ht="99">
      <c r="A130" s="42" t="s">
        <v>2660</v>
      </c>
      <c r="B130" s="42" t="s">
        <v>2449</v>
      </c>
      <c r="C130" s="42" t="s">
        <v>2672</v>
      </c>
      <c r="D130" s="42" t="s">
        <v>2681</v>
      </c>
      <c r="E130" s="42" t="s">
        <v>2449</v>
      </c>
      <c r="F130" s="42" t="s">
        <v>2662</v>
      </c>
      <c r="G130" s="43" t="s">
        <v>112</v>
      </c>
      <c r="H130" s="43" t="s">
        <v>2683</v>
      </c>
      <c r="I130" s="42" t="s">
        <v>2733</v>
      </c>
      <c r="J130" s="42" t="s">
        <v>418</v>
      </c>
      <c r="K130" s="42" t="s">
        <v>2739</v>
      </c>
      <c r="L130" s="42" t="s">
        <v>3095</v>
      </c>
      <c r="M130" s="42" t="s">
        <v>3022</v>
      </c>
      <c r="N130" s="42" t="s">
        <v>3096</v>
      </c>
      <c r="O130" s="44">
        <v>45974</v>
      </c>
      <c r="P130" s="44">
        <v>46052</v>
      </c>
      <c r="Q130" s="44">
        <v>46042</v>
      </c>
      <c r="R130" s="41" t="s">
        <v>3170</v>
      </c>
    </row>
    <row r="131" spans="1:18" ht="247.5">
      <c r="A131" s="42" t="s">
        <v>2449</v>
      </c>
      <c r="B131" s="42" t="s">
        <v>2449</v>
      </c>
      <c r="C131" s="42" t="s">
        <v>2449</v>
      </c>
      <c r="D131" s="42" t="s">
        <v>2901</v>
      </c>
      <c r="E131" s="42" t="s">
        <v>2449</v>
      </c>
      <c r="F131" s="42" t="s">
        <v>2669</v>
      </c>
      <c r="G131" s="43" t="s">
        <v>112</v>
      </c>
      <c r="H131" s="43" t="s">
        <v>3171</v>
      </c>
      <c r="I131" s="42" t="s">
        <v>3172</v>
      </c>
      <c r="J131" s="42" t="s">
        <v>2922</v>
      </c>
      <c r="K131" s="42" t="s">
        <v>2912</v>
      </c>
      <c r="L131" s="42" t="s">
        <v>3178</v>
      </c>
      <c r="M131" s="42" t="s">
        <v>3179</v>
      </c>
      <c r="N131" s="42" t="s">
        <v>3180</v>
      </c>
      <c r="O131" s="44">
        <v>44085</v>
      </c>
      <c r="P131" s="44">
        <v>44120</v>
      </c>
      <c r="Q131" s="44">
        <v>44110</v>
      </c>
      <c r="R131" s="41" t="s">
        <v>3188</v>
      </c>
    </row>
    <row r="132" spans="1:18" ht="115.5">
      <c r="A132" s="42" t="s">
        <v>219</v>
      </c>
      <c r="B132" s="42" t="s">
        <v>2449</v>
      </c>
      <c r="C132" s="42" t="s">
        <v>2680</v>
      </c>
      <c r="D132" s="42" t="s">
        <v>2681</v>
      </c>
      <c r="E132" s="42" t="s">
        <v>2682</v>
      </c>
      <c r="F132" s="42" t="s">
        <v>2662</v>
      </c>
      <c r="G132" s="43" t="s">
        <v>112</v>
      </c>
      <c r="H132" s="43" t="s">
        <v>3171</v>
      </c>
      <c r="I132" s="42">
        <v>500017991</v>
      </c>
      <c r="J132" s="42" t="s">
        <v>1229</v>
      </c>
      <c r="K132" s="42" t="s">
        <v>2912</v>
      </c>
      <c r="L132" s="42" t="s">
        <v>3062</v>
      </c>
      <c r="M132" s="42" t="s">
        <v>3063</v>
      </c>
      <c r="N132" s="42" t="s">
        <v>3173</v>
      </c>
      <c r="O132" s="44">
        <v>44782</v>
      </c>
      <c r="P132" s="44">
        <v>44838</v>
      </c>
      <c r="Q132" s="44">
        <v>44813</v>
      </c>
      <c r="R132" s="41" t="s">
        <v>3185</v>
      </c>
    </row>
    <row r="133" spans="1:18" ht="181.5">
      <c r="A133" s="42" t="s">
        <v>2660</v>
      </c>
      <c r="B133" s="42" t="s">
        <v>2449</v>
      </c>
      <c r="C133" s="42" t="s">
        <v>2449</v>
      </c>
      <c r="D133" s="42" t="s">
        <v>2681</v>
      </c>
      <c r="E133" s="42" t="s">
        <v>2682</v>
      </c>
      <c r="F133" s="42" t="s">
        <v>2668</v>
      </c>
      <c r="G133" s="43" t="s">
        <v>112</v>
      </c>
      <c r="H133" s="43" t="s">
        <v>3171</v>
      </c>
      <c r="I133" s="42">
        <v>500018751</v>
      </c>
      <c r="J133" s="42" t="s">
        <v>1263</v>
      </c>
      <c r="K133" s="42" t="s">
        <v>2745</v>
      </c>
      <c r="L133" s="42" t="s">
        <v>3181</v>
      </c>
      <c r="M133" s="42" t="s">
        <v>2820</v>
      </c>
      <c r="N133" s="42" t="s">
        <v>158</v>
      </c>
      <c r="O133" s="44">
        <v>45006</v>
      </c>
      <c r="P133" s="44">
        <v>45103</v>
      </c>
      <c r="Q133" s="44">
        <v>45120</v>
      </c>
      <c r="R133" s="41" t="s">
        <v>3189</v>
      </c>
    </row>
    <row r="134" spans="1:18" ht="346.5">
      <c r="A134" s="42" t="s">
        <v>2660</v>
      </c>
      <c r="B134" s="42" t="s">
        <v>2661</v>
      </c>
      <c r="C134" s="42" t="s">
        <v>2680</v>
      </c>
      <c r="D134" s="42" t="s">
        <v>2681</v>
      </c>
      <c r="E134" s="42" t="s">
        <v>2682</v>
      </c>
      <c r="F134" s="42" t="s">
        <v>2668</v>
      </c>
      <c r="G134" s="43" t="s">
        <v>112</v>
      </c>
      <c r="H134" s="43" t="s">
        <v>3171</v>
      </c>
      <c r="I134" s="42">
        <v>500019612</v>
      </c>
      <c r="J134" s="42" t="s">
        <v>1220</v>
      </c>
      <c r="K134" s="42" t="s">
        <v>2739</v>
      </c>
      <c r="L134" s="42" t="s">
        <v>3182</v>
      </c>
      <c r="M134" s="42" t="s">
        <v>3183</v>
      </c>
      <c r="N134" s="42" t="s">
        <v>3184</v>
      </c>
      <c r="O134" s="44">
        <v>45266</v>
      </c>
      <c r="P134" s="44">
        <v>45340</v>
      </c>
      <c r="Q134" s="44">
        <v>45306</v>
      </c>
      <c r="R134" s="41" t="s">
        <v>3190</v>
      </c>
    </row>
    <row r="135" spans="1:18" ht="148.5">
      <c r="A135" s="42" t="s">
        <v>2449</v>
      </c>
      <c r="B135" s="42" t="s">
        <v>2449</v>
      </c>
      <c r="C135" s="42" t="s">
        <v>2449</v>
      </c>
      <c r="D135" s="42" t="s">
        <v>2901</v>
      </c>
      <c r="E135" s="42" t="s">
        <v>2449</v>
      </c>
      <c r="F135" s="42" t="s">
        <v>2669</v>
      </c>
      <c r="G135" s="43" t="s">
        <v>112</v>
      </c>
      <c r="H135" s="43" t="s">
        <v>3171</v>
      </c>
      <c r="I135" s="42">
        <v>500020202</v>
      </c>
      <c r="J135" s="42" t="s">
        <v>1246</v>
      </c>
      <c r="K135" s="42" t="s">
        <v>2912</v>
      </c>
      <c r="L135" s="42" t="s">
        <v>3174</v>
      </c>
      <c r="M135" s="42" t="s">
        <v>3175</v>
      </c>
      <c r="N135" s="42" t="s">
        <v>158</v>
      </c>
      <c r="O135" s="44">
        <v>45518</v>
      </c>
      <c r="P135" s="44">
        <v>45523</v>
      </c>
      <c r="Q135" s="44">
        <v>45523</v>
      </c>
      <c r="R135" s="41" t="s">
        <v>3186</v>
      </c>
    </row>
    <row r="136" spans="1:18" ht="132">
      <c r="A136" s="42" t="s">
        <v>2449</v>
      </c>
      <c r="B136" s="42" t="s">
        <v>2449</v>
      </c>
      <c r="C136" s="42" t="s">
        <v>2449</v>
      </c>
      <c r="D136" s="42" t="s">
        <v>2901</v>
      </c>
      <c r="E136" s="42" t="s">
        <v>2449</v>
      </c>
      <c r="F136" s="42" t="s">
        <v>2669</v>
      </c>
      <c r="G136" s="43" t="s">
        <v>112</v>
      </c>
      <c r="H136" s="43" t="s">
        <v>3171</v>
      </c>
      <c r="I136" s="42">
        <v>500020364</v>
      </c>
      <c r="J136" s="42" t="s">
        <v>571</v>
      </c>
      <c r="K136" s="42" t="s">
        <v>2745</v>
      </c>
      <c r="L136" s="42" t="s">
        <v>3176</v>
      </c>
      <c r="M136" s="42" t="s">
        <v>3177</v>
      </c>
      <c r="N136" s="42" t="s">
        <v>158</v>
      </c>
      <c r="O136" s="44">
        <v>45565</v>
      </c>
      <c r="P136" s="44">
        <v>45573</v>
      </c>
      <c r="Q136" s="44">
        <v>45573</v>
      </c>
      <c r="R136" s="41" t="s">
        <v>3187</v>
      </c>
    </row>
    <row r="137" spans="1:18" ht="49.5">
      <c r="A137" s="42" t="s">
        <v>2660</v>
      </c>
      <c r="B137" s="42" t="s">
        <v>2661</v>
      </c>
      <c r="C137" s="42" t="s">
        <v>2449</v>
      </c>
      <c r="D137" s="42" t="s">
        <v>2901</v>
      </c>
      <c r="E137" s="42" t="s">
        <v>2449</v>
      </c>
      <c r="F137" s="42" t="s">
        <v>2669</v>
      </c>
      <c r="G137" s="43" t="s">
        <v>130</v>
      </c>
      <c r="H137" s="43" t="s">
        <v>2683</v>
      </c>
      <c r="I137" s="42" t="s">
        <v>3194</v>
      </c>
      <c r="K137" s="42" t="s">
        <v>2739</v>
      </c>
      <c r="L137" s="42" t="s">
        <v>3245</v>
      </c>
      <c r="O137" s="44">
        <v>45511</v>
      </c>
      <c r="P137" s="44">
        <v>45541</v>
      </c>
      <c r="Q137" s="44">
        <v>45534</v>
      </c>
      <c r="R137" s="41" t="s">
        <v>3283</v>
      </c>
    </row>
    <row r="138" spans="1:18" ht="82.5">
      <c r="A138" s="42" t="s">
        <v>2660</v>
      </c>
      <c r="B138" s="42" t="s">
        <v>2449</v>
      </c>
      <c r="C138" s="42" t="s">
        <v>2449</v>
      </c>
      <c r="D138" s="42" t="s">
        <v>2681</v>
      </c>
      <c r="E138" s="42" t="s">
        <v>2682</v>
      </c>
      <c r="F138" s="42" t="s">
        <v>2668</v>
      </c>
      <c r="G138" s="43" t="s">
        <v>130</v>
      </c>
      <c r="H138" s="43" t="s">
        <v>2683</v>
      </c>
      <c r="I138" s="42" t="s">
        <v>3195</v>
      </c>
      <c r="K138" s="42" t="s">
        <v>2745</v>
      </c>
      <c r="L138" s="42" t="s">
        <v>556</v>
      </c>
      <c r="O138" s="44">
        <v>45541</v>
      </c>
      <c r="P138" s="44">
        <v>45547</v>
      </c>
      <c r="Q138" s="44">
        <v>45548</v>
      </c>
      <c r="R138" s="41" t="s">
        <v>3284</v>
      </c>
    </row>
    <row r="139" spans="1:18" ht="49.5">
      <c r="A139" s="42" t="s">
        <v>2660</v>
      </c>
      <c r="B139" s="42" t="s">
        <v>2449</v>
      </c>
      <c r="C139" s="42" t="s">
        <v>2449</v>
      </c>
      <c r="D139" s="42" t="s">
        <v>2681</v>
      </c>
      <c r="E139" s="42" t="s">
        <v>2682</v>
      </c>
      <c r="F139" s="42" t="s">
        <v>2662</v>
      </c>
      <c r="G139" s="43" t="s">
        <v>130</v>
      </c>
      <c r="H139" s="43" t="s">
        <v>2683</v>
      </c>
      <c r="I139" s="42" t="s">
        <v>3196</v>
      </c>
      <c r="K139" s="42" t="s">
        <v>2745</v>
      </c>
      <c r="L139" s="42" t="s">
        <v>559</v>
      </c>
      <c r="O139" s="44">
        <v>45590</v>
      </c>
      <c r="P139" s="44">
        <v>45651</v>
      </c>
      <c r="Q139" s="44">
        <v>45644</v>
      </c>
      <c r="R139" s="41" t="s">
        <v>3285</v>
      </c>
    </row>
    <row r="140" spans="1:18" ht="66">
      <c r="A140" s="42" t="s">
        <v>2660</v>
      </c>
      <c r="B140" s="42" t="s">
        <v>2661</v>
      </c>
      <c r="C140" s="42" t="s">
        <v>2449</v>
      </c>
      <c r="D140" s="42" t="s">
        <v>2903</v>
      </c>
      <c r="E140" s="42" t="s">
        <v>2905</v>
      </c>
      <c r="F140" s="42" t="s">
        <v>2669</v>
      </c>
      <c r="G140" s="43" t="s">
        <v>130</v>
      </c>
      <c r="H140" s="43" t="s">
        <v>2683</v>
      </c>
      <c r="I140" s="42" t="s">
        <v>3197</v>
      </c>
      <c r="K140" s="42" t="s">
        <v>2739</v>
      </c>
      <c r="L140" s="42" t="s">
        <v>3246</v>
      </c>
      <c r="O140" s="44">
        <v>45744</v>
      </c>
      <c r="P140" s="44">
        <v>45807</v>
      </c>
      <c r="Q140" s="44">
        <v>45748</v>
      </c>
      <c r="R140" s="41" t="s">
        <v>3286</v>
      </c>
    </row>
    <row r="141" spans="1:18" ht="49.5">
      <c r="A141" s="42" t="s">
        <v>2660</v>
      </c>
      <c r="B141" s="42" t="s">
        <v>2661</v>
      </c>
      <c r="C141" s="42" t="s">
        <v>2449</v>
      </c>
      <c r="D141" s="42" t="s">
        <v>2674</v>
      </c>
      <c r="E141" s="42" t="s">
        <v>2675</v>
      </c>
      <c r="F141" s="42" t="s">
        <v>2668</v>
      </c>
      <c r="G141" s="43" t="s">
        <v>130</v>
      </c>
      <c r="H141" s="43" t="s">
        <v>2683</v>
      </c>
      <c r="I141" s="42" t="s">
        <v>3198</v>
      </c>
      <c r="K141" s="42" t="s">
        <v>2739</v>
      </c>
      <c r="L141" s="42" t="s">
        <v>250</v>
      </c>
      <c r="O141" s="44">
        <v>45686</v>
      </c>
      <c r="P141" s="44">
        <v>45746</v>
      </c>
      <c r="Q141" s="44">
        <v>45707</v>
      </c>
      <c r="R141" s="41" t="s">
        <v>3287</v>
      </c>
    </row>
    <row r="142" spans="1:18" ht="66">
      <c r="A142" s="42" t="s">
        <v>2660</v>
      </c>
      <c r="B142" s="42" t="s">
        <v>2661</v>
      </c>
      <c r="C142" s="42" t="s">
        <v>2449</v>
      </c>
      <c r="D142" s="42" t="s">
        <v>2903</v>
      </c>
      <c r="E142" s="42" t="s">
        <v>2907</v>
      </c>
      <c r="F142" s="42" t="s">
        <v>2668</v>
      </c>
      <c r="G142" s="43" t="s">
        <v>130</v>
      </c>
      <c r="H142" s="43" t="s">
        <v>2683</v>
      </c>
      <c r="I142" s="42" t="s">
        <v>3199</v>
      </c>
      <c r="K142" s="42" t="s">
        <v>2739</v>
      </c>
      <c r="L142" s="42" t="s">
        <v>432</v>
      </c>
      <c r="O142" s="44">
        <v>45705</v>
      </c>
      <c r="P142" s="44">
        <v>45807</v>
      </c>
      <c r="Q142" s="44">
        <v>45783</v>
      </c>
      <c r="R142" s="41" t="s">
        <v>3288</v>
      </c>
    </row>
    <row r="143" spans="1:18" ht="82.5">
      <c r="A143" s="42" t="s">
        <v>2660</v>
      </c>
      <c r="B143" s="42" t="s">
        <v>2661</v>
      </c>
      <c r="C143" s="42" t="s">
        <v>2680</v>
      </c>
      <c r="D143" s="42" t="s">
        <v>2681</v>
      </c>
      <c r="E143" s="42" t="s">
        <v>2682</v>
      </c>
      <c r="F143" s="42" t="s">
        <v>2668</v>
      </c>
      <c r="G143" s="43" t="s">
        <v>130</v>
      </c>
      <c r="H143" s="43" t="s">
        <v>2683</v>
      </c>
      <c r="I143" s="42" t="s">
        <v>3200</v>
      </c>
      <c r="K143" s="42" t="s">
        <v>2738</v>
      </c>
      <c r="L143" s="42" t="s">
        <v>3247</v>
      </c>
      <c r="O143" s="44">
        <v>45715</v>
      </c>
      <c r="P143" s="44">
        <v>45807</v>
      </c>
      <c r="Q143" s="44">
        <v>45737</v>
      </c>
      <c r="R143" s="41" t="s">
        <v>3289</v>
      </c>
    </row>
    <row r="144" spans="1:18" ht="115.5">
      <c r="A144" s="42" t="s">
        <v>219</v>
      </c>
      <c r="B144" s="42" t="s">
        <v>2663</v>
      </c>
      <c r="C144" s="42" t="s">
        <v>2449</v>
      </c>
      <c r="D144" s="42" t="s">
        <v>2674</v>
      </c>
      <c r="E144" s="42" t="s">
        <v>2678</v>
      </c>
      <c r="F144" s="42" t="s">
        <v>2669</v>
      </c>
      <c r="G144" s="43" t="s">
        <v>130</v>
      </c>
      <c r="H144" s="43" t="s">
        <v>2683</v>
      </c>
      <c r="I144" s="42" t="s">
        <v>3201</v>
      </c>
      <c r="K144" s="42" t="s">
        <v>2743</v>
      </c>
      <c r="L144" s="42" t="s">
        <v>3248</v>
      </c>
      <c r="O144" s="44">
        <v>45726</v>
      </c>
      <c r="P144" s="44">
        <v>45745</v>
      </c>
      <c r="Q144" s="44">
        <v>45747</v>
      </c>
      <c r="R144" s="41" t="s">
        <v>3290</v>
      </c>
    </row>
    <row r="145" spans="1:18" ht="66">
      <c r="A145" s="42" t="s">
        <v>219</v>
      </c>
      <c r="B145" s="42" t="s">
        <v>2663</v>
      </c>
      <c r="C145" s="42" t="s">
        <v>2680</v>
      </c>
      <c r="D145" s="42" t="s">
        <v>2681</v>
      </c>
      <c r="E145" s="42" t="s">
        <v>2682</v>
      </c>
      <c r="F145" s="42" t="s">
        <v>2668</v>
      </c>
      <c r="G145" s="43" t="s">
        <v>130</v>
      </c>
      <c r="H145" s="43" t="s">
        <v>2683</v>
      </c>
      <c r="I145" s="42" t="s">
        <v>3202</v>
      </c>
      <c r="K145" s="42" t="s">
        <v>2743</v>
      </c>
      <c r="L145" s="42" t="s">
        <v>3249</v>
      </c>
      <c r="O145" s="44">
        <v>45731</v>
      </c>
      <c r="P145" s="44">
        <v>45737</v>
      </c>
      <c r="Q145" s="44">
        <v>45737</v>
      </c>
      <c r="R145" s="41" t="s">
        <v>3291</v>
      </c>
    </row>
    <row r="146" spans="1:18" ht="165">
      <c r="A146" s="42" t="s">
        <v>219</v>
      </c>
      <c r="B146" s="42" t="s">
        <v>2663</v>
      </c>
      <c r="C146" s="42" t="s">
        <v>2449</v>
      </c>
      <c r="D146" s="42" t="s">
        <v>2681</v>
      </c>
      <c r="E146" s="42" t="s">
        <v>2667</v>
      </c>
      <c r="F146" s="42" t="s">
        <v>2669</v>
      </c>
      <c r="G146" s="43" t="s">
        <v>130</v>
      </c>
      <c r="H146" s="43" t="s">
        <v>2683</v>
      </c>
      <c r="I146" s="42" t="s">
        <v>3203</v>
      </c>
      <c r="K146" s="42" t="s">
        <v>2743</v>
      </c>
      <c r="L146" s="42" t="s">
        <v>3249</v>
      </c>
      <c r="O146" s="44">
        <v>45737</v>
      </c>
      <c r="P146" s="44">
        <v>45747</v>
      </c>
      <c r="Q146" s="44">
        <v>45747</v>
      </c>
      <c r="R146" s="41" t="s">
        <v>3292</v>
      </c>
    </row>
    <row r="147" spans="1:18" ht="231">
      <c r="A147" s="42" t="s">
        <v>219</v>
      </c>
      <c r="B147" s="42" t="s">
        <v>2449</v>
      </c>
      <c r="C147" s="42" t="s">
        <v>2665</v>
      </c>
      <c r="D147" s="42" t="s">
        <v>2674</v>
      </c>
      <c r="E147" s="42" t="s">
        <v>2675</v>
      </c>
      <c r="F147" s="42" t="s">
        <v>2662</v>
      </c>
      <c r="G147" s="43" t="s">
        <v>130</v>
      </c>
      <c r="H147" s="43" t="s">
        <v>2683</v>
      </c>
      <c r="I147" s="42" t="s">
        <v>3204</v>
      </c>
      <c r="K147" s="42" t="s">
        <v>2738</v>
      </c>
      <c r="L147" s="42" t="s">
        <v>3250</v>
      </c>
      <c r="O147" s="44">
        <v>45743</v>
      </c>
      <c r="P147" s="44">
        <v>45948</v>
      </c>
      <c r="Q147" s="44">
        <v>45868</v>
      </c>
      <c r="R147" s="41" t="s">
        <v>3293</v>
      </c>
    </row>
    <row r="148" spans="1:18" ht="346.5">
      <c r="A148" s="42" t="s">
        <v>219</v>
      </c>
      <c r="B148" s="42" t="s">
        <v>2449</v>
      </c>
      <c r="C148" s="42" t="s">
        <v>2449</v>
      </c>
      <c r="D148" s="42" t="s">
        <v>2681</v>
      </c>
      <c r="E148" s="42" t="s">
        <v>2667</v>
      </c>
      <c r="F148" s="42" t="s">
        <v>2669</v>
      </c>
      <c r="G148" s="43" t="s">
        <v>130</v>
      </c>
      <c r="H148" s="43" t="s">
        <v>2683</v>
      </c>
      <c r="I148" s="42" t="s">
        <v>3205</v>
      </c>
      <c r="K148" s="42" t="s">
        <v>2738</v>
      </c>
      <c r="L148" s="42" t="s">
        <v>3251</v>
      </c>
      <c r="O148" s="44">
        <v>45743</v>
      </c>
      <c r="P148" s="44">
        <v>45972</v>
      </c>
      <c r="Q148" s="44">
        <v>45966</v>
      </c>
      <c r="R148" s="41" t="s">
        <v>3294</v>
      </c>
    </row>
    <row r="149" spans="1:18" ht="148.5">
      <c r="A149" s="42" t="s">
        <v>2660</v>
      </c>
      <c r="B149" s="42" t="s">
        <v>2449</v>
      </c>
      <c r="C149" s="42" t="s">
        <v>2449</v>
      </c>
      <c r="D149" s="42" t="s">
        <v>2681</v>
      </c>
      <c r="E149" s="42" t="s">
        <v>2904</v>
      </c>
      <c r="F149" s="42" t="s">
        <v>2669</v>
      </c>
      <c r="G149" s="43" t="s">
        <v>130</v>
      </c>
      <c r="H149" s="43" t="s">
        <v>2683</v>
      </c>
      <c r="I149" s="42" t="s">
        <v>3206</v>
      </c>
      <c r="K149" s="42" t="s">
        <v>2745</v>
      </c>
      <c r="L149" s="42" t="s">
        <v>3252</v>
      </c>
      <c r="O149" s="44">
        <v>45747</v>
      </c>
      <c r="P149" s="44">
        <v>45829</v>
      </c>
      <c r="Q149" s="44">
        <v>45830</v>
      </c>
      <c r="R149" s="41" t="s">
        <v>3295</v>
      </c>
    </row>
    <row r="150" spans="1:18" ht="82.5">
      <c r="A150" s="42" t="s">
        <v>219</v>
      </c>
      <c r="B150" s="42" t="s">
        <v>2663</v>
      </c>
      <c r="C150" s="42" t="s">
        <v>2680</v>
      </c>
      <c r="D150" s="42" t="s">
        <v>2681</v>
      </c>
      <c r="E150" s="42" t="s">
        <v>2682</v>
      </c>
      <c r="F150" s="42" t="s">
        <v>2662</v>
      </c>
      <c r="G150" s="43" t="s">
        <v>130</v>
      </c>
      <c r="H150" s="43" t="s">
        <v>2683</v>
      </c>
      <c r="I150" s="42" t="s">
        <v>3207</v>
      </c>
      <c r="K150" s="42" t="s">
        <v>2743</v>
      </c>
      <c r="L150" s="42" t="s">
        <v>3253</v>
      </c>
      <c r="O150" s="44">
        <v>45764</v>
      </c>
      <c r="P150" s="44">
        <v>45992</v>
      </c>
      <c r="Q150" s="44">
        <v>45917</v>
      </c>
      <c r="R150" s="41" t="s">
        <v>3296</v>
      </c>
    </row>
    <row r="151" spans="1:18" ht="148.5">
      <c r="A151" s="42" t="s">
        <v>219</v>
      </c>
      <c r="B151" s="42" t="s">
        <v>2449</v>
      </c>
      <c r="C151" s="42" t="s">
        <v>2449</v>
      </c>
      <c r="D151" s="42" t="s">
        <v>2674</v>
      </c>
      <c r="E151" s="42" t="s">
        <v>2449</v>
      </c>
      <c r="F151" s="42" t="s">
        <v>2669</v>
      </c>
      <c r="G151" s="43" t="s">
        <v>130</v>
      </c>
      <c r="H151" s="43" t="s">
        <v>2683</v>
      </c>
      <c r="I151" s="42" t="s">
        <v>3208</v>
      </c>
      <c r="K151" s="42" t="s">
        <v>2738</v>
      </c>
      <c r="L151" s="42" t="s">
        <v>3254</v>
      </c>
      <c r="O151" s="44">
        <v>45786</v>
      </c>
      <c r="P151" s="44">
        <v>45961</v>
      </c>
      <c r="Q151" s="44">
        <v>45909</v>
      </c>
      <c r="R151" s="41" t="s">
        <v>3297</v>
      </c>
    </row>
    <row r="152" spans="1:18" ht="409.5">
      <c r="A152" s="42" t="s">
        <v>219</v>
      </c>
      <c r="B152" s="42" t="s">
        <v>2663</v>
      </c>
      <c r="C152" s="42" t="s">
        <v>2449</v>
      </c>
      <c r="D152" s="42" t="s">
        <v>2674</v>
      </c>
      <c r="E152" s="42" t="s">
        <v>3192</v>
      </c>
      <c r="F152" s="42" t="s">
        <v>2668</v>
      </c>
      <c r="G152" s="43" t="s">
        <v>130</v>
      </c>
      <c r="H152" s="43" t="s">
        <v>2683</v>
      </c>
      <c r="I152" s="42" t="s">
        <v>3209</v>
      </c>
      <c r="K152" s="42" t="s">
        <v>2743</v>
      </c>
      <c r="L152" s="42" t="s">
        <v>3255</v>
      </c>
      <c r="O152" s="44">
        <v>45784</v>
      </c>
      <c r="P152" s="44">
        <v>45838</v>
      </c>
      <c r="Q152" s="44">
        <v>45845</v>
      </c>
      <c r="R152" s="41" t="s">
        <v>3331</v>
      </c>
    </row>
    <row r="153" spans="1:18" ht="181.5">
      <c r="A153" s="42" t="s">
        <v>219</v>
      </c>
      <c r="B153" s="42" t="s">
        <v>2663</v>
      </c>
      <c r="C153" s="42" t="s">
        <v>2672</v>
      </c>
      <c r="D153" s="42" t="s">
        <v>2681</v>
      </c>
      <c r="E153" s="42" t="s">
        <v>2449</v>
      </c>
      <c r="F153" s="42" t="s">
        <v>2668</v>
      </c>
      <c r="G153" s="43" t="s">
        <v>130</v>
      </c>
      <c r="H153" s="43" t="s">
        <v>2683</v>
      </c>
      <c r="I153" s="42" t="s">
        <v>3210</v>
      </c>
      <c r="K153" s="42" t="s">
        <v>2743</v>
      </c>
      <c r="L153" s="42" t="s">
        <v>3256</v>
      </c>
      <c r="O153" s="44">
        <v>45791</v>
      </c>
      <c r="P153" s="44">
        <v>46006</v>
      </c>
      <c r="Q153" s="44">
        <v>46006</v>
      </c>
      <c r="R153" s="41" t="s">
        <v>3298</v>
      </c>
    </row>
    <row r="154" spans="1:18" ht="198">
      <c r="A154" s="42" t="s">
        <v>219</v>
      </c>
      <c r="B154" s="42" t="s">
        <v>2663</v>
      </c>
      <c r="C154" s="42" t="s">
        <v>2672</v>
      </c>
      <c r="D154" s="42" t="s">
        <v>2681</v>
      </c>
      <c r="E154" s="42" t="s">
        <v>2449</v>
      </c>
      <c r="F154" s="42" t="s">
        <v>2668</v>
      </c>
      <c r="G154" s="43" t="s">
        <v>130</v>
      </c>
      <c r="H154" s="43" t="s">
        <v>2683</v>
      </c>
      <c r="I154" s="42" t="s">
        <v>3211</v>
      </c>
      <c r="K154" s="42" t="s">
        <v>2743</v>
      </c>
      <c r="L154" s="42" t="s">
        <v>3257</v>
      </c>
      <c r="O154" s="44">
        <v>45791</v>
      </c>
      <c r="P154" s="44">
        <v>46052</v>
      </c>
      <c r="Q154" s="44">
        <v>46052</v>
      </c>
      <c r="R154" s="41" t="s">
        <v>3299</v>
      </c>
    </row>
    <row r="155" spans="1:18" ht="132">
      <c r="A155" s="42" t="s">
        <v>2660</v>
      </c>
      <c r="B155" s="42" t="s">
        <v>2661</v>
      </c>
      <c r="C155" s="42" t="s">
        <v>2680</v>
      </c>
      <c r="D155" s="42" t="s">
        <v>2903</v>
      </c>
      <c r="E155" s="42" t="s">
        <v>2906</v>
      </c>
      <c r="F155" s="42" t="s">
        <v>2668</v>
      </c>
      <c r="G155" s="43" t="s">
        <v>130</v>
      </c>
      <c r="H155" s="43" t="s">
        <v>2683</v>
      </c>
      <c r="I155" s="42" t="s">
        <v>3212</v>
      </c>
      <c r="K155" s="42" t="s">
        <v>2739</v>
      </c>
      <c r="L155" s="42" t="s">
        <v>3258</v>
      </c>
      <c r="O155" s="44">
        <v>45792</v>
      </c>
      <c r="P155" s="44">
        <v>45823</v>
      </c>
      <c r="Q155" s="44">
        <v>45820</v>
      </c>
      <c r="R155" s="41" t="s">
        <v>3300</v>
      </c>
    </row>
    <row r="156" spans="1:18" ht="132">
      <c r="A156" s="42" t="s">
        <v>219</v>
      </c>
      <c r="B156" s="42" t="s">
        <v>2663</v>
      </c>
      <c r="C156" s="42" t="s">
        <v>2672</v>
      </c>
      <c r="D156" s="42" t="s">
        <v>2681</v>
      </c>
      <c r="E156" s="42" t="s">
        <v>2449</v>
      </c>
      <c r="F156" s="42" t="s">
        <v>2668</v>
      </c>
      <c r="G156" s="43" t="s">
        <v>130</v>
      </c>
      <c r="H156" s="43" t="s">
        <v>2683</v>
      </c>
      <c r="I156" s="42" t="s">
        <v>3213</v>
      </c>
      <c r="K156" s="42" t="s">
        <v>2743</v>
      </c>
      <c r="L156" s="42" t="s">
        <v>3259</v>
      </c>
      <c r="O156" s="44">
        <v>45800</v>
      </c>
      <c r="P156" s="44">
        <v>45991</v>
      </c>
      <c r="Q156" s="44">
        <v>45999</v>
      </c>
      <c r="R156" s="41" t="s">
        <v>3301</v>
      </c>
    </row>
    <row r="157" spans="1:18" ht="231">
      <c r="A157" s="42" t="s">
        <v>2660</v>
      </c>
      <c r="B157" s="42" t="s">
        <v>2661</v>
      </c>
      <c r="C157" s="42" t="s">
        <v>2680</v>
      </c>
      <c r="D157" s="42" t="s">
        <v>2681</v>
      </c>
      <c r="E157" s="42" t="s">
        <v>2682</v>
      </c>
      <c r="F157" s="42" t="s">
        <v>2668</v>
      </c>
      <c r="G157" s="43" t="s">
        <v>130</v>
      </c>
      <c r="H157" s="43" t="s">
        <v>2683</v>
      </c>
      <c r="I157" s="42" t="s">
        <v>3214</v>
      </c>
      <c r="K157" s="42" t="s">
        <v>2739</v>
      </c>
      <c r="L157" s="42" t="s">
        <v>3260</v>
      </c>
      <c r="O157" s="44">
        <v>45764</v>
      </c>
      <c r="P157" s="44">
        <v>45807</v>
      </c>
      <c r="Q157" s="44">
        <v>45790</v>
      </c>
      <c r="R157" s="41" t="s">
        <v>3302</v>
      </c>
    </row>
    <row r="158" spans="1:18" ht="165">
      <c r="A158" s="42" t="s">
        <v>219</v>
      </c>
      <c r="B158" s="42" t="s">
        <v>2663</v>
      </c>
      <c r="C158" s="42" t="s">
        <v>2672</v>
      </c>
      <c r="D158" s="42" t="s">
        <v>2681</v>
      </c>
      <c r="E158" s="42" t="s">
        <v>2449</v>
      </c>
      <c r="F158" s="42" t="s">
        <v>2662</v>
      </c>
      <c r="G158" s="43" t="s">
        <v>130</v>
      </c>
      <c r="H158" s="43" t="s">
        <v>2683</v>
      </c>
      <c r="I158" s="42" t="s">
        <v>3215</v>
      </c>
      <c r="K158" s="42" t="s">
        <v>2743</v>
      </c>
      <c r="L158" s="42" t="s">
        <v>3261</v>
      </c>
      <c r="O158" s="44">
        <v>45760</v>
      </c>
      <c r="P158" s="44">
        <v>46047</v>
      </c>
      <c r="Q158" s="44">
        <v>46031</v>
      </c>
      <c r="R158" s="41" t="s">
        <v>3303</v>
      </c>
    </row>
    <row r="159" spans="1:18" ht="313.5">
      <c r="A159" s="42" t="s">
        <v>2660</v>
      </c>
      <c r="B159" s="42" t="s">
        <v>2661</v>
      </c>
      <c r="C159" s="42" t="s">
        <v>2449</v>
      </c>
      <c r="D159" s="42" t="s">
        <v>2674</v>
      </c>
      <c r="E159" s="42" t="s">
        <v>2675</v>
      </c>
      <c r="F159" s="42" t="s">
        <v>2668</v>
      </c>
      <c r="G159" s="43" t="s">
        <v>130</v>
      </c>
      <c r="H159" s="43" t="s">
        <v>2683</v>
      </c>
      <c r="I159" s="42" t="s">
        <v>3216</v>
      </c>
      <c r="K159" s="42" t="s">
        <v>2739</v>
      </c>
      <c r="L159" s="42" t="s">
        <v>3262</v>
      </c>
      <c r="O159" s="44">
        <v>45786</v>
      </c>
      <c r="P159" s="44">
        <v>45900</v>
      </c>
      <c r="Q159" s="44">
        <v>45887</v>
      </c>
      <c r="R159" s="41" t="s">
        <v>3304</v>
      </c>
    </row>
    <row r="160" spans="1:18" ht="330">
      <c r="A160" s="42" t="s">
        <v>2660</v>
      </c>
      <c r="B160" s="42" t="s">
        <v>2661</v>
      </c>
      <c r="C160" s="42" t="s">
        <v>2680</v>
      </c>
      <c r="D160" s="42" t="s">
        <v>2681</v>
      </c>
      <c r="E160" s="42" t="s">
        <v>2682</v>
      </c>
      <c r="F160" s="42" t="s">
        <v>2669</v>
      </c>
      <c r="G160" s="43" t="s">
        <v>130</v>
      </c>
      <c r="H160" s="43" t="s">
        <v>2683</v>
      </c>
      <c r="I160" s="42" t="s">
        <v>3217</v>
      </c>
      <c r="K160" s="42" t="s">
        <v>2739</v>
      </c>
      <c r="L160" s="42" t="s">
        <v>3263</v>
      </c>
      <c r="O160" s="44">
        <v>45770</v>
      </c>
      <c r="P160" s="44">
        <v>45868</v>
      </c>
      <c r="Q160" s="44">
        <v>45813</v>
      </c>
      <c r="R160" s="41" t="s">
        <v>3305</v>
      </c>
    </row>
    <row r="161" spans="1:18" ht="165">
      <c r="A161" s="42" t="s">
        <v>2660</v>
      </c>
      <c r="B161" s="42" t="s">
        <v>2661</v>
      </c>
      <c r="C161" s="42" t="s">
        <v>2680</v>
      </c>
      <c r="D161" s="42" t="s">
        <v>2681</v>
      </c>
      <c r="E161" s="42" t="s">
        <v>2682</v>
      </c>
      <c r="F161" s="42" t="s">
        <v>2662</v>
      </c>
      <c r="G161" s="43" t="s">
        <v>130</v>
      </c>
      <c r="H161" s="43" t="s">
        <v>2683</v>
      </c>
      <c r="I161" s="42" t="s">
        <v>3218</v>
      </c>
      <c r="K161" s="42" t="s">
        <v>2739</v>
      </c>
      <c r="L161" s="42" t="s">
        <v>3264</v>
      </c>
      <c r="O161" s="44">
        <v>45831</v>
      </c>
      <c r="P161" s="44">
        <v>45923</v>
      </c>
      <c r="Q161" s="44">
        <v>45873</v>
      </c>
      <c r="R161" s="41" t="s">
        <v>3306</v>
      </c>
    </row>
    <row r="162" spans="1:18" ht="82.5">
      <c r="A162" s="42" t="s">
        <v>2660</v>
      </c>
      <c r="B162" s="42" t="s">
        <v>2661</v>
      </c>
      <c r="C162" s="42" t="s">
        <v>2680</v>
      </c>
      <c r="D162" s="42" t="s">
        <v>2674</v>
      </c>
      <c r="E162" s="42" t="s">
        <v>2675</v>
      </c>
      <c r="F162" s="42" t="s">
        <v>2669</v>
      </c>
      <c r="G162" s="43" t="s">
        <v>130</v>
      </c>
      <c r="H162" s="43" t="s">
        <v>2683</v>
      </c>
      <c r="I162" s="42" t="s">
        <v>3219</v>
      </c>
      <c r="K162" s="42" t="s">
        <v>2738</v>
      </c>
      <c r="L162" s="42" t="s">
        <v>3265</v>
      </c>
      <c r="O162" s="44">
        <v>45834</v>
      </c>
      <c r="P162" s="44">
        <v>45915</v>
      </c>
      <c r="Q162" s="44">
        <v>45859</v>
      </c>
      <c r="R162" s="41" t="s">
        <v>3307</v>
      </c>
    </row>
    <row r="163" spans="1:18">
      <c r="A163" s="42" t="s">
        <v>219</v>
      </c>
      <c r="B163" s="42" t="s">
        <v>2663</v>
      </c>
      <c r="C163" s="42" t="s">
        <v>2672</v>
      </c>
      <c r="D163" s="42" t="s">
        <v>2681</v>
      </c>
      <c r="E163" s="42" t="s">
        <v>2449</v>
      </c>
      <c r="F163" s="42" t="s">
        <v>2668</v>
      </c>
      <c r="G163" s="43" t="s">
        <v>130</v>
      </c>
      <c r="H163" s="43" t="s">
        <v>2683</v>
      </c>
      <c r="I163" s="42" t="s">
        <v>3220</v>
      </c>
      <c r="K163" s="42" t="s">
        <v>2743</v>
      </c>
      <c r="L163" s="42" t="s">
        <v>3266</v>
      </c>
      <c r="O163" s="44">
        <v>45846</v>
      </c>
      <c r="P163" s="44">
        <v>46026</v>
      </c>
      <c r="Q163" s="44">
        <v>46052</v>
      </c>
      <c r="R163" s="41" t="s">
        <v>3308</v>
      </c>
    </row>
    <row r="164" spans="1:18" ht="66">
      <c r="A164" s="42" t="s">
        <v>219</v>
      </c>
      <c r="B164" s="42" t="s">
        <v>2449</v>
      </c>
      <c r="C164" s="42" t="s">
        <v>2672</v>
      </c>
      <c r="D164" s="42" t="s">
        <v>2681</v>
      </c>
      <c r="E164" s="42" t="s">
        <v>2449</v>
      </c>
      <c r="F164" s="42" t="s">
        <v>2668</v>
      </c>
      <c r="G164" s="43" t="s">
        <v>130</v>
      </c>
      <c r="H164" s="43" t="s">
        <v>2683</v>
      </c>
      <c r="I164" s="42" t="s">
        <v>3221</v>
      </c>
      <c r="K164" s="42" t="s">
        <v>2738</v>
      </c>
      <c r="L164" s="42" t="s">
        <v>3250</v>
      </c>
      <c r="O164" s="44">
        <v>45895</v>
      </c>
      <c r="P164" s="44">
        <v>45991</v>
      </c>
      <c r="Q164" s="44">
        <v>45972</v>
      </c>
      <c r="R164" s="41" t="s">
        <v>3309</v>
      </c>
    </row>
    <row r="165" spans="1:18" ht="49.5">
      <c r="A165" s="42" t="s">
        <v>2660</v>
      </c>
      <c r="B165" s="42" t="s">
        <v>2661</v>
      </c>
      <c r="C165" s="42" t="s">
        <v>2680</v>
      </c>
      <c r="D165" s="42" t="s">
        <v>2681</v>
      </c>
      <c r="E165" s="42" t="s">
        <v>2682</v>
      </c>
      <c r="F165" s="42" t="s">
        <v>2662</v>
      </c>
      <c r="G165" s="43" t="s">
        <v>130</v>
      </c>
      <c r="H165" s="43" t="s">
        <v>2683</v>
      </c>
      <c r="I165" s="42" t="s">
        <v>3222</v>
      </c>
      <c r="K165" s="42" t="s">
        <v>2911</v>
      </c>
      <c r="L165" s="42" t="s">
        <v>3267</v>
      </c>
      <c r="O165" s="44">
        <v>45901</v>
      </c>
      <c r="P165" s="44">
        <v>45960</v>
      </c>
      <c r="Q165" s="44">
        <v>45953</v>
      </c>
      <c r="R165" s="41" t="s">
        <v>3310</v>
      </c>
    </row>
    <row r="166" spans="1:18" ht="99">
      <c r="A166" s="42" t="s">
        <v>2660</v>
      </c>
      <c r="B166" s="42" t="s">
        <v>2661</v>
      </c>
      <c r="C166" s="42" t="s">
        <v>2665</v>
      </c>
      <c r="D166" s="42" t="s">
        <v>2681</v>
      </c>
      <c r="E166" s="42" t="s">
        <v>2666</v>
      </c>
      <c r="F166" s="42" t="s">
        <v>2664</v>
      </c>
      <c r="G166" s="43" t="s">
        <v>130</v>
      </c>
      <c r="H166" s="43" t="s">
        <v>2683</v>
      </c>
      <c r="I166" s="42" t="s">
        <v>3223</v>
      </c>
      <c r="K166" s="42" t="s">
        <v>2739</v>
      </c>
      <c r="L166" s="42" t="s">
        <v>3246</v>
      </c>
      <c r="O166" s="44">
        <v>45897</v>
      </c>
      <c r="P166" s="44">
        <v>45930</v>
      </c>
      <c r="Q166" s="44">
        <v>45922</v>
      </c>
      <c r="R166" s="41" t="s">
        <v>3311</v>
      </c>
    </row>
    <row r="167" spans="1:18" ht="66">
      <c r="A167" s="42" t="s">
        <v>2660</v>
      </c>
      <c r="B167" s="42" t="s">
        <v>2661</v>
      </c>
      <c r="C167" s="42" t="s">
        <v>2680</v>
      </c>
      <c r="D167" s="42" t="s">
        <v>2681</v>
      </c>
      <c r="E167" s="42" t="s">
        <v>2682</v>
      </c>
      <c r="F167" s="42" t="s">
        <v>2669</v>
      </c>
      <c r="G167" s="43" t="s">
        <v>130</v>
      </c>
      <c r="H167" s="43" t="s">
        <v>2683</v>
      </c>
      <c r="I167" s="42" t="s">
        <v>3224</v>
      </c>
      <c r="K167" s="42" t="s">
        <v>2738</v>
      </c>
      <c r="L167" s="42" t="s">
        <v>3268</v>
      </c>
      <c r="O167" s="44">
        <v>45898</v>
      </c>
      <c r="P167" s="44">
        <v>46112</v>
      </c>
      <c r="R167" s="41" t="s">
        <v>3312</v>
      </c>
    </row>
    <row r="168" spans="1:18" ht="82.5">
      <c r="A168" s="42" t="s">
        <v>219</v>
      </c>
      <c r="B168" s="42" t="s">
        <v>2676</v>
      </c>
      <c r="C168" s="42" t="s">
        <v>2672</v>
      </c>
      <c r="D168" s="42" t="s">
        <v>2681</v>
      </c>
      <c r="E168" s="42" t="s">
        <v>2449</v>
      </c>
      <c r="F168" s="42" t="s">
        <v>2668</v>
      </c>
      <c r="G168" s="43" t="s">
        <v>130</v>
      </c>
      <c r="H168" s="43" t="s">
        <v>2683</v>
      </c>
      <c r="I168" s="42" t="s">
        <v>3225</v>
      </c>
      <c r="K168" s="42" t="s">
        <v>2743</v>
      </c>
      <c r="L168" s="42" t="s">
        <v>3269</v>
      </c>
      <c r="O168" s="44">
        <v>45945</v>
      </c>
      <c r="P168" s="44">
        <v>46128</v>
      </c>
      <c r="Q168" s="44">
        <v>46065</v>
      </c>
      <c r="R168" s="41" t="s">
        <v>3313</v>
      </c>
    </row>
    <row r="169" spans="1:18" ht="66">
      <c r="A169" s="42" t="s">
        <v>2660</v>
      </c>
      <c r="B169" s="42" t="s">
        <v>2449</v>
      </c>
      <c r="C169" s="42" t="s">
        <v>2665</v>
      </c>
      <c r="D169" s="42" t="s">
        <v>2681</v>
      </c>
      <c r="E169" s="42" t="s">
        <v>2666</v>
      </c>
      <c r="F169" s="42" t="s">
        <v>2668</v>
      </c>
      <c r="G169" s="43" t="s">
        <v>130</v>
      </c>
      <c r="H169" s="43" t="s">
        <v>2683</v>
      </c>
      <c r="I169" s="42" t="s">
        <v>3226</v>
      </c>
      <c r="K169" s="42" t="s">
        <v>2745</v>
      </c>
      <c r="L169" s="42" t="s">
        <v>3270</v>
      </c>
      <c r="O169" s="44">
        <v>45948</v>
      </c>
      <c r="P169" s="44">
        <v>45961</v>
      </c>
      <c r="Q169" s="44">
        <v>45992</v>
      </c>
      <c r="R169" s="41" t="s">
        <v>3314</v>
      </c>
    </row>
    <row r="170" spans="1:18" ht="82.5">
      <c r="A170" s="42" t="s">
        <v>2660</v>
      </c>
      <c r="B170" s="42" t="s">
        <v>2661</v>
      </c>
      <c r="C170" s="42" t="s">
        <v>2680</v>
      </c>
      <c r="D170" s="42" t="s">
        <v>2681</v>
      </c>
      <c r="E170" s="42" t="s">
        <v>2682</v>
      </c>
      <c r="F170" s="42" t="s">
        <v>2669</v>
      </c>
      <c r="G170" s="43" t="s">
        <v>130</v>
      </c>
      <c r="H170" s="43" t="s">
        <v>2683</v>
      </c>
      <c r="I170" s="42" t="s">
        <v>3227</v>
      </c>
      <c r="K170" s="42" t="s">
        <v>2739</v>
      </c>
      <c r="L170" s="42" t="s">
        <v>250</v>
      </c>
      <c r="O170" s="44">
        <v>45957</v>
      </c>
      <c r="P170" s="44">
        <v>46022</v>
      </c>
      <c r="Q170" s="44">
        <v>46014</v>
      </c>
      <c r="R170" s="41" t="s">
        <v>3332</v>
      </c>
    </row>
    <row r="171" spans="1:18" ht="82.5">
      <c r="A171" s="42" t="s">
        <v>219</v>
      </c>
      <c r="B171" s="42" t="s">
        <v>2676</v>
      </c>
      <c r="C171" s="42" t="s">
        <v>2672</v>
      </c>
      <c r="D171" s="42" t="s">
        <v>2681</v>
      </c>
      <c r="E171" s="42" t="s">
        <v>2449</v>
      </c>
      <c r="F171" s="42" t="s">
        <v>2668</v>
      </c>
      <c r="G171" s="43" t="s">
        <v>130</v>
      </c>
      <c r="H171" s="43" t="s">
        <v>2683</v>
      </c>
      <c r="I171" s="42" t="s">
        <v>3244</v>
      </c>
      <c r="K171" s="42" t="s">
        <v>2743</v>
      </c>
      <c r="L171" s="42" t="s">
        <v>3269</v>
      </c>
      <c r="O171" s="44">
        <v>45965</v>
      </c>
      <c r="P171" s="44">
        <v>46146</v>
      </c>
      <c r="Q171" s="44">
        <v>46087</v>
      </c>
      <c r="R171" s="41" t="s">
        <v>3313</v>
      </c>
    </row>
    <row r="172" spans="1:18" ht="33">
      <c r="A172" s="42" t="s">
        <v>2660</v>
      </c>
      <c r="B172" s="42" t="s">
        <v>2449</v>
      </c>
      <c r="C172" s="42" t="s">
        <v>2449</v>
      </c>
      <c r="D172" s="42" t="s">
        <v>2674</v>
      </c>
      <c r="E172" s="42" t="s">
        <v>3193</v>
      </c>
      <c r="F172" s="42" t="s">
        <v>2668</v>
      </c>
      <c r="G172" s="43" t="s">
        <v>130</v>
      </c>
      <c r="H172" s="43" t="s">
        <v>2683</v>
      </c>
      <c r="I172" s="42" t="s">
        <v>3228</v>
      </c>
      <c r="K172" s="42" t="s">
        <v>2745</v>
      </c>
      <c r="L172" s="42" t="s">
        <v>3271</v>
      </c>
      <c r="O172" s="44">
        <v>45943</v>
      </c>
      <c r="P172" s="44">
        <v>45961</v>
      </c>
      <c r="Q172" s="44">
        <v>45960</v>
      </c>
      <c r="R172" s="41" t="s">
        <v>3315</v>
      </c>
    </row>
    <row r="173" spans="1:18" ht="409.5">
      <c r="A173" s="42" t="s">
        <v>219</v>
      </c>
      <c r="B173" s="42" t="s">
        <v>2663</v>
      </c>
      <c r="C173" s="42" t="s">
        <v>2672</v>
      </c>
      <c r="D173" s="42" t="s">
        <v>2681</v>
      </c>
      <c r="E173" s="42" t="s">
        <v>2449</v>
      </c>
      <c r="F173" s="42" t="s">
        <v>2668</v>
      </c>
      <c r="G173" s="43" t="s">
        <v>130</v>
      </c>
      <c r="H173" s="43" t="s">
        <v>2683</v>
      </c>
      <c r="I173" s="42" t="s">
        <v>3229</v>
      </c>
      <c r="K173" s="42" t="s">
        <v>2743</v>
      </c>
      <c r="L173" s="42" t="s">
        <v>696</v>
      </c>
      <c r="O173" s="44">
        <v>45952</v>
      </c>
      <c r="P173" s="44">
        <v>46132</v>
      </c>
      <c r="Q173" s="44">
        <v>46128</v>
      </c>
      <c r="R173" s="41" t="s">
        <v>3316</v>
      </c>
    </row>
    <row r="174" spans="1:18" ht="409.5">
      <c r="A174" s="42" t="s">
        <v>219</v>
      </c>
      <c r="B174" s="42" t="s">
        <v>2663</v>
      </c>
      <c r="C174" s="42" t="s">
        <v>2672</v>
      </c>
      <c r="D174" s="42" t="s">
        <v>2681</v>
      </c>
      <c r="E174" s="42" t="s">
        <v>2449</v>
      </c>
      <c r="F174" s="42" t="s">
        <v>2668</v>
      </c>
      <c r="G174" s="43" t="s">
        <v>130</v>
      </c>
      <c r="H174" s="43" t="s">
        <v>2683</v>
      </c>
      <c r="I174" s="42" t="s">
        <v>3230</v>
      </c>
      <c r="K174" s="42" t="s">
        <v>2743</v>
      </c>
      <c r="L174" s="42" t="s">
        <v>3272</v>
      </c>
      <c r="O174" s="44">
        <v>45963</v>
      </c>
      <c r="P174" s="44">
        <v>46143</v>
      </c>
      <c r="Q174" s="44">
        <v>46142</v>
      </c>
      <c r="R174" s="41" t="s">
        <v>3317</v>
      </c>
    </row>
    <row r="175" spans="1:18" ht="165">
      <c r="A175" s="42" t="s">
        <v>2660</v>
      </c>
      <c r="B175" s="42" t="s">
        <v>2661</v>
      </c>
      <c r="C175" s="42" t="s">
        <v>2672</v>
      </c>
      <c r="D175" s="42" t="s">
        <v>2681</v>
      </c>
      <c r="E175" s="42" t="s">
        <v>2449</v>
      </c>
      <c r="F175" s="42" t="s">
        <v>2668</v>
      </c>
      <c r="G175" s="43" t="s">
        <v>130</v>
      </c>
      <c r="H175" s="43" t="s">
        <v>2683</v>
      </c>
      <c r="I175" s="42" t="s">
        <v>3231</v>
      </c>
      <c r="K175" s="42" t="s">
        <v>2739</v>
      </c>
      <c r="L175" s="42" t="s">
        <v>3273</v>
      </c>
      <c r="O175" s="44">
        <v>45968</v>
      </c>
      <c r="P175" s="44">
        <v>46142</v>
      </c>
      <c r="R175" s="41" t="s">
        <v>3318</v>
      </c>
    </row>
    <row r="176" spans="1:18" ht="82.5">
      <c r="A176" s="42" t="s">
        <v>219</v>
      </c>
      <c r="B176" s="42" t="s">
        <v>2676</v>
      </c>
      <c r="C176" s="42" t="s">
        <v>2672</v>
      </c>
      <c r="D176" s="42" t="s">
        <v>2681</v>
      </c>
      <c r="E176" s="42" t="s">
        <v>2449</v>
      </c>
      <c r="F176" s="42" t="s">
        <v>2668</v>
      </c>
      <c r="G176" s="43" t="s">
        <v>130</v>
      </c>
      <c r="H176" s="43" t="s">
        <v>2683</v>
      </c>
      <c r="I176" s="42" t="s">
        <v>3232</v>
      </c>
      <c r="K176" s="42" t="s">
        <v>2743</v>
      </c>
      <c r="L176" s="42" t="s">
        <v>3274</v>
      </c>
      <c r="O176" s="44">
        <v>45972</v>
      </c>
      <c r="P176" s="44">
        <v>46063</v>
      </c>
      <c r="Q176" s="44">
        <v>46090</v>
      </c>
      <c r="R176" s="41" t="s">
        <v>3319</v>
      </c>
    </row>
    <row r="177" spans="1:18" ht="409.5">
      <c r="A177" s="42" t="s">
        <v>219</v>
      </c>
      <c r="B177" s="42" t="s">
        <v>2663</v>
      </c>
      <c r="C177" s="42" t="s">
        <v>2672</v>
      </c>
      <c r="D177" s="42" t="s">
        <v>2681</v>
      </c>
      <c r="E177" s="42" t="s">
        <v>2449</v>
      </c>
      <c r="F177" s="42" t="s">
        <v>2668</v>
      </c>
      <c r="G177" s="43" t="s">
        <v>130</v>
      </c>
      <c r="H177" s="43" t="s">
        <v>2683</v>
      </c>
      <c r="I177" s="42" t="s">
        <v>3233</v>
      </c>
      <c r="K177" s="42" t="s">
        <v>2743</v>
      </c>
      <c r="L177" s="42" t="s">
        <v>3275</v>
      </c>
      <c r="O177" s="44">
        <v>46010</v>
      </c>
      <c r="P177" s="44">
        <v>46190</v>
      </c>
      <c r="R177" s="41" t="s">
        <v>3320</v>
      </c>
    </row>
    <row r="178" spans="1:18" ht="66">
      <c r="A178" s="42" t="s">
        <v>2660</v>
      </c>
      <c r="B178" s="42" t="s">
        <v>2677</v>
      </c>
      <c r="C178" s="42" t="s">
        <v>2449</v>
      </c>
      <c r="D178" s="42" t="s">
        <v>2681</v>
      </c>
      <c r="E178" s="42" t="s">
        <v>2682</v>
      </c>
      <c r="F178" s="42" t="s">
        <v>2664</v>
      </c>
      <c r="G178" s="43" t="s">
        <v>130</v>
      </c>
      <c r="H178" s="43" t="s">
        <v>2683</v>
      </c>
      <c r="I178" s="42" t="s">
        <v>3234</v>
      </c>
      <c r="K178" s="42" t="s">
        <v>2739</v>
      </c>
      <c r="L178" s="42" t="s">
        <v>3276</v>
      </c>
      <c r="O178" s="44">
        <v>45972</v>
      </c>
      <c r="P178" s="44">
        <v>45991</v>
      </c>
      <c r="Q178" s="44">
        <v>46009</v>
      </c>
      <c r="R178" s="41" t="s">
        <v>3321</v>
      </c>
    </row>
    <row r="179" spans="1:18" ht="49.5">
      <c r="A179" s="42" t="s">
        <v>2660</v>
      </c>
      <c r="B179" s="42" t="s">
        <v>2677</v>
      </c>
      <c r="C179" s="42" t="s">
        <v>2449</v>
      </c>
      <c r="D179" s="42" t="s">
        <v>2674</v>
      </c>
      <c r="E179" s="42" t="s">
        <v>2678</v>
      </c>
      <c r="F179" s="42" t="s">
        <v>2668</v>
      </c>
      <c r="G179" s="43" t="s">
        <v>130</v>
      </c>
      <c r="H179" s="43" t="s">
        <v>2683</v>
      </c>
      <c r="I179" s="42" t="s">
        <v>3235</v>
      </c>
      <c r="K179" s="42" t="s">
        <v>2739</v>
      </c>
      <c r="L179" s="42" t="s">
        <v>3277</v>
      </c>
      <c r="O179" s="44">
        <v>46009</v>
      </c>
      <c r="P179" s="44">
        <v>46096</v>
      </c>
      <c r="Q179" s="44">
        <v>46085</v>
      </c>
      <c r="R179" s="41" t="s">
        <v>3322</v>
      </c>
    </row>
    <row r="180" spans="1:18" ht="66">
      <c r="A180" s="42" t="s">
        <v>2660</v>
      </c>
      <c r="B180" s="42" t="s">
        <v>2661</v>
      </c>
      <c r="C180" s="42" t="s">
        <v>2680</v>
      </c>
      <c r="D180" s="42" t="s">
        <v>2681</v>
      </c>
      <c r="E180" s="42" t="s">
        <v>2682</v>
      </c>
      <c r="F180" s="42" t="s">
        <v>2669</v>
      </c>
      <c r="G180" s="43" t="s">
        <v>130</v>
      </c>
      <c r="H180" s="43" t="s">
        <v>2683</v>
      </c>
      <c r="I180" s="42" t="s">
        <v>3236</v>
      </c>
      <c r="K180" s="42" t="s">
        <v>2738</v>
      </c>
      <c r="L180" s="42" t="s">
        <v>3268</v>
      </c>
      <c r="O180" s="44">
        <v>45995</v>
      </c>
      <c r="P180" s="44">
        <v>46142</v>
      </c>
      <c r="R180" s="41" t="s">
        <v>3323</v>
      </c>
    </row>
    <row r="181" spans="1:18" ht="132">
      <c r="A181" s="42" t="s">
        <v>219</v>
      </c>
      <c r="B181" s="42" t="s">
        <v>2676</v>
      </c>
      <c r="C181" s="42" t="s">
        <v>2680</v>
      </c>
      <c r="D181" s="42" t="s">
        <v>2681</v>
      </c>
      <c r="E181" s="42" t="s">
        <v>2682</v>
      </c>
      <c r="F181" s="42" t="s">
        <v>2669</v>
      </c>
      <c r="G181" s="43" t="s">
        <v>130</v>
      </c>
      <c r="H181" s="43" t="s">
        <v>2683</v>
      </c>
      <c r="I181" s="42" t="s">
        <v>3237</v>
      </c>
      <c r="K181" s="42" t="s">
        <v>2911</v>
      </c>
      <c r="L181" s="42" t="s">
        <v>3278</v>
      </c>
      <c r="O181" s="44">
        <v>46042</v>
      </c>
      <c r="P181" s="44">
        <v>46222</v>
      </c>
      <c r="R181" s="41" t="s">
        <v>3324</v>
      </c>
    </row>
    <row r="182" spans="1:18" ht="66">
      <c r="A182" s="42" t="s">
        <v>2660</v>
      </c>
      <c r="B182" s="42" t="s">
        <v>2661</v>
      </c>
      <c r="C182" s="42" t="s">
        <v>2680</v>
      </c>
      <c r="D182" s="42" t="s">
        <v>2681</v>
      </c>
      <c r="E182" s="42" t="s">
        <v>2667</v>
      </c>
      <c r="F182" s="42" t="s">
        <v>2669</v>
      </c>
      <c r="G182" s="43" t="s">
        <v>130</v>
      </c>
      <c r="H182" s="43" t="s">
        <v>2683</v>
      </c>
      <c r="I182" s="42" t="s">
        <v>3238</v>
      </c>
      <c r="K182" s="42" t="s">
        <v>2739</v>
      </c>
      <c r="L182" s="42" t="s">
        <v>3279</v>
      </c>
      <c r="O182" s="44">
        <v>46036</v>
      </c>
      <c r="P182" s="44">
        <v>46124</v>
      </c>
      <c r="Q182" s="44">
        <v>46051</v>
      </c>
      <c r="R182" s="41" t="s">
        <v>3325</v>
      </c>
    </row>
    <row r="183" spans="1:18" ht="49.5">
      <c r="A183" s="42" t="s">
        <v>2660</v>
      </c>
      <c r="B183" s="42" t="s">
        <v>2661</v>
      </c>
      <c r="C183" s="42" t="s">
        <v>2680</v>
      </c>
      <c r="D183" s="42" t="s">
        <v>2681</v>
      </c>
      <c r="E183" s="42" t="s">
        <v>2682</v>
      </c>
      <c r="F183" s="42" t="s">
        <v>2669</v>
      </c>
      <c r="G183" s="43" t="s">
        <v>130</v>
      </c>
      <c r="H183" s="43" t="s">
        <v>2683</v>
      </c>
      <c r="I183" s="42" t="s">
        <v>3239</v>
      </c>
      <c r="K183" s="42" t="s">
        <v>2739</v>
      </c>
      <c r="L183" s="42" t="s">
        <v>3280</v>
      </c>
      <c r="O183" s="44">
        <v>46044</v>
      </c>
      <c r="P183" s="44">
        <v>46134</v>
      </c>
      <c r="Q183" s="44">
        <v>46081</v>
      </c>
      <c r="R183" s="41" t="s">
        <v>3326</v>
      </c>
    </row>
    <row r="184" spans="1:18" ht="181.5">
      <c r="A184" s="42" t="s">
        <v>2660</v>
      </c>
      <c r="B184" s="42" t="s">
        <v>2661</v>
      </c>
      <c r="C184" s="42" t="s">
        <v>2680</v>
      </c>
      <c r="D184" s="42" t="s">
        <v>2681</v>
      </c>
      <c r="E184" s="42" t="s">
        <v>2682</v>
      </c>
      <c r="F184" s="42" t="s">
        <v>2668</v>
      </c>
      <c r="G184" s="43" t="s">
        <v>130</v>
      </c>
      <c r="H184" s="43" t="s">
        <v>2683</v>
      </c>
      <c r="I184" s="42" t="s">
        <v>3240</v>
      </c>
      <c r="K184" s="42" t="s">
        <v>2739</v>
      </c>
      <c r="L184" s="42" t="s">
        <v>3281</v>
      </c>
      <c r="O184" s="44">
        <v>46072</v>
      </c>
      <c r="P184" s="44">
        <v>46142</v>
      </c>
      <c r="Q184" s="44">
        <v>46133</v>
      </c>
      <c r="R184" s="41" t="s">
        <v>3327</v>
      </c>
    </row>
    <row r="185" spans="1:18" ht="82.5">
      <c r="A185" s="42" t="s">
        <v>219</v>
      </c>
      <c r="B185" s="42" t="s">
        <v>2676</v>
      </c>
      <c r="C185" s="42" t="s">
        <v>2672</v>
      </c>
      <c r="D185" s="42" t="s">
        <v>2681</v>
      </c>
      <c r="E185" s="42" t="s">
        <v>2449</v>
      </c>
      <c r="F185" s="42" t="s">
        <v>2668</v>
      </c>
      <c r="G185" s="43" t="s">
        <v>130</v>
      </c>
      <c r="H185" s="43" t="s">
        <v>2683</v>
      </c>
      <c r="I185" s="42" t="s">
        <v>3241</v>
      </c>
      <c r="K185" s="42" t="s">
        <v>2743</v>
      </c>
      <c r="L185" s="42" t="s">
        <v>3274</v>
      </c>
      <c r="O185" s="44">
        <v>46107</v>
      </c>
      <c r="P185" s="44">
        <v>46197</v>
      </c>
      <c r="R185" s="41" t="s">
        <v>3328</v>
      </c>
    </row>
    <row r="186" spans="1:18" ht="148.5">
      <c r="A186" s="42" t="s">
        <v>219</v>
      </c>
      <c r="B186" s="42" t="s">
        <v>3191</v>
      </c>
      <c r="C186" s="42" t="s">
        <v>2680</v>
      </c>
      <c r="D186" s="42" t="s">
        <v>2681</v>
      </c>
      <c r="E186" s="42" t="s">
        <v>2682</v>
      </c>
      <c r="F186" s="42" t="s">
        <v>2669</v>
      </c>
      <c r="G186" s="43" t="s">
        <v>130</v>
      </c>
      <c r="H186" s="43" t="s">
        <v>2683</v>
      </c>
      <c r="I186" s="42" t="s">
        <v>3242</v>
      </c>
      <c r="K186" s="42" t="s">
        <v>2911</v>
      </c>
      <c r="L186" s="42" t="s">
        <v>3282</v>
      </c>
      <c r="O186" s="44">
        <v>46087</v>
      </c>
      <c r="P186" s="44">
        <v>46178</v>
      </c>
      <c r="R186" s="41" t="s">
        <v>3329</v>
      </c>
    </row>
    <row r="187" spans="1:18" ht="115.5">
      <c r="A187" s="42" t="s">
        <v>2660</v>
      </c>
      <c r="B187" s="42" t="s">
        <v>2449</v>
      </c>
      <c r="C187" s="42" t="s">
        <v>2449</v>
      </c>
      <c r="D187" s="42" t="s">
        <v>2674</v>
      </c>
      <c r="E187" s="42" t="s">
        <v>2678</v>
      </c>
      <c r="F187" s="42" t="s">
        <v>2449</v>
      </c>
      <c r="G187" s="43" t="s">
        <v>130</v>
      </c>
      <c r="H187" s="43" t="s">
        <v>2683</v>
      </c>
      <c r="I187" s="42" t="s">
        <v>3243</v>
      </c>
      <c r="K187" s="42" t="s">
        <v>2911</v>
      </c>
      <c r="L187" s="42" t="s">
        <v>3267</v>
      </c>
      <c r="O187" s="44">
        <v>46120</v>
      </c>
      <c r="P187" s="44">
        <v>46173</v>
      </c>
      <c r="R187" s="41" t="s">
        <v>3330</v>
      </c>
    </row>
    <row r="188" spans="1:18" ht="231">
      <c r="A188" s="42" t="s">
        <v>2449</v>
      </c>
      <c r="B188" s="42" t="s">
        <v>2449</v>
      </c>
      <c r="C188" s="42" t="s">
        <v>2449</v>
      </c>
      <c r="D188" s="42" t="s">
        <v>2901</v>
      </c>
      <c r="E188" s="42" t="s">
        <v>2449</v>
      </c>
      <c r="F188" s="42" t="s">
        <v>2669</v>
      </c>
      <c r="G188" s="43" t="s">
        <v>130</v>
      </c>
      <c r="H188" s="43" t="s">
        <v>3171</v>
      </c>
      <c r="I188" s="42" t="s">
        <v>3333</v>
      </c>
      <c r="K188" s="43" t="s">
        <v>3335</v>
      </c>
      <c r="O188" s="44">
        <v>46035</v>
      </c>
      <c r="P188" s="44">
        <v>46125</v>
      </c>
      <c r="Q188" s="44">
        <v>46110</v>
      </c>
      <c r="R188" s="41" t="s">
        <v>3336</v>
      </c>
    </row>
    <row r="189" spans="1:18" ht="247.5">
      <c r="A189" s="42" t="s">
        <v>219</v>
      </c>
      <c r="B189" s="42" t="s">
        <v>2449</v>
      </c>
      <c r="C189" s="42" t="s">
        <v>2449</v>
      </c>
      <c r="D189" s="42" t="s">
        <v>2903</v>
      </c>
      <c r="E189" s="42" t="s">
        <v>2907</v>
      </c>
      <c r="F189" s="42" t="s">
        <v>2669</v>
      </c>
      <c r="G189" s="43" t="s">
        <v>130</v>
      </c>
      <c r="H189" s="43" t="s">
        <v>3171</v>
      </c>
      <c r="I189" s="42" t="s">
        <v>3334</v>
      </c>
      <c r="K189" s="43" t="s">
        <v>2910</v>
      </c>
      <c r="O189" s="44">
        <v>46058</v>
      </c>
      <c r="P189" s="44">
        <v>46147</v>
      </c>
      <c r="R189" s="41" t="s">
        <v>3337</v>
      </c>
    </row>
    <row r="190" spans="1:18" ht="49.5">
      <c r="A190" s="42" t="s">
        <v>2449</v>
      </c>
      <c r="B190" s="42" t="s">
        <v>2449</v>
      </c>
      <c r="C190" s="42" t="s">
        <v>2449</v>
      </c>
      <c r="D190" s="42" t="s">
        <v>2901</v>
      </c>
      <c r="E190" s="42" t="s">
        <v>2449</v>
      </c>
      <c r="F190" s="42" t="s">
        <v>2669</v>
      </c>
      <c r="G190" s="43" t="s">
        <v>134</v>
      </c>
      <c r="H190" s="43" t="s">
        <v>2683</v>
      </c>
      <c r="I190" s="42" t="s">
        <v>3338</v>
      </c>
      <c r="K190" s="42" t="s">
        <v>2745</v>
      </c>
      <c r="O190" s="44">
        <v>45597</v>
      </c>
      <c r="P190" s="44">
        <v>45639</v>
      </c>
      <c r="Q190" s="44">
        <v>45610</v>
      </c>
      <c r="R190" s="41" t="s">
        <v>3345</v>
      </c>
    </row>
    <row r="191" spans="1:18" ht="33">
      <c r="A191" s="42" t="s">
        <v>2449</v>
      </c>
      <c r="B191" s="42" t="s">
        <v>2449</v>
      </c>
      <c r="C191" s="42" t="s">
        <v>2449</v>
      </c>
      <c r="D191" s="42" t="s">
        <v>2901</v>
      </c>
      <c r="E191" s="42" t="s">
        <v>2449</v>
      </c>
      <c r="F191" s="42" t="s">
        <v>2669</v>
      </c>
      <c r="G191" s="43" t="s">
        <v>134</v>
      </c>
      <c r="H191" s="43" t="s">
        <v>2683</v>
      </c>
      <c r="I191" s="42" t="s">
        <v>3339</v>
      </c>
      <c r="K191" s="42" t="s">
        <v>2745</v>
      </c>
      <c r="O191" s="44">
        <v>45650</v>
      </c>
      <c r="P191" s="44">
        <v>45695</v>
      </c>
      <c r="Q191" s="44">
        <v>45701</v>
      </c>
      <c r="R191" s="41" t="s">
        <v>3346</v>
      </c>
    </row>
    <row r="192" spans="1:18" ht="49.5">
      <c r="A192" s="42" t="s">
        <v>2449</v>
      </c>
      <c r="B192" s="42" t="s">
        <v>2449</v>
      </c>
      <c r="C192" s="42" t="s">
        <v>2449</v>
      </c>
      <c r="D192" s="42" t="s">
        <v>2901</v>
      </c>
      <c r="E192" s="42" t="s">
        <v>2449</v>
      </c>
      <c r="F192" s="42" t="s">
        <v>2669</v>
      </c>
      <c r="G192" s="43" t="s">
        <v>134</v>
      </c>
      <c r="H192" s="43" t="s">
        <v>2683</v>
      </c>
      <c r="I192" s="42" t="s">
        <v>3340</v>
      </c>
      <c r="K192" s="42" t="s">
        <v>2745</v>
      </c>
      <c r="O192" s="44">
        <v>45663</v>
      </c>
      <c r="P192" s="44">
        <v>45681</v>
      </c>
      <c r="Q192" s="44">
        <v>45681</v>
      </c>
      <c r="R192" s="41" t="s">
        <v>3347</v>
      </c>
    </row>
    <row r="193" spans="1:18" ht="148.5">
      <c r="A193" s="42" t="s">
        <v>2449</v>
      </c>
      <c r="B193" s="42" t="s">
        <v>2449</v>
      </c>
      <c r="C193" s="42" t="s">
        <v>2449</v>
      </c>
      <c r="D193" s="42" t="s">
        <v>2901</v>
      </c>
      <c r="E193" s="42" t="s">
        <v>2449</v>
      </c>
      <c r="F193" s="42" t="s">
        <v>2669</v>
      </c>
      <c r="G193" s="43" t="s">
        <v>134</v>
      </c>
      <c r="H193" s="43" t="s">
        <v>2683</v>
      </c>
      <c r="I193" s="42" t="s">
        <v>3341</v>
      </c>
      <c r="K193" s="42" t="s">
        <v>2911</v>
      </c>
      <c r="O193" s="44">
        <v>45665</v>
      </c>
      <c r="P193" s="44">
        <v>45730</v>
      </c>
      <c r="Q193" s="44">
        <v>45729</v>
      </c>
      <c r="R193" s="41" t="s">
        <v>3348</v>
      </c>
    </row>
    <row r="194" spans="1:18" ht="115.5">
      <c r="A194" s="42" t="s">
        <v>2660</v>
      </c>
      <c r="B194" s="42" t="s">
        <v>2449</v>
      </c>
      <c r="C194" s="42" t="s">
        <v>2680</v>
      </c>
      <c r="D194" s="42" t="s">
        <v>2681</v>
      </c>
      <c r="E194" s="42" t="s">
        <v>2682</v>
      </c>
      <c r="F194" s="42" t="s">
        <v>2669</v>
      </c>
      <c r="G194" s="43" t="s">
        <v>134</v>
      </c>
      <c r="H194" s="43" t="s">
        <v>2683</v>
      </c>
      <c r="I194" s="42" t="s">
        <v>3342</v>
      </c>
      <c r="K194" s="42" t="s">
        <v>2745</v>
      </c>
      <c r="O194" s="44">
        <v>45674</v>
      </c>
      <c r="P194" s="44">
        <v>45747</v>
      </c>
      <c r="Q194" s="44">
        <v>45701</v>
      </c>
      <c r="R194" s="41" t="s">
        <v>3349</v>
      </c>
    </row>
    <row r="195" spans="1:18" ht="82.5">
      <c r="A195" s="42" t="s">
        <v>2449</v>
      </c>
      <c r="B195" s="42" t="s">
        <v>2449</v>
      </c>
      <c r="C195" s="42" t="s">
        <v>2449</v>
      </c>
      <c r="D195" s="42" t="s">
        <v>2901</v>
      </c>
      <c r="E195" s="42" t="s">
        <v>2449</v>
      </c>
      <c r="F195" s="42" t="s">
        <v>2668</v>
      </c>
      <c r="G195" s="43" t="s">
        <v>134</v>
      </c>
      <c r="H195" s="43" t="s">
        <v>2683</v>
      </c>
      <c r="I195" s="42" t="s">
        <v>3343</v>
      </c>
      <c r="K195" s="42" t="s">
        <v>2911</v>
      </c>
      <c r="O195" s="44">
        <v>45904</v>
      </c>
      <c r="P195" s="44">
        <v>45993</v>
      </c>
      <c r="Q195" s="44">
        <v>45973</v>
      </c>
      <c r="R195" s="41" t="s">
        <v>3350</v>
      </c>
    </row>
    <row r="196" spans="1:18" ht="264">
      <c r="A196" s="42" t="s">
        <v>2660</v>
      </c>
      <c r="B196" s="42" t="s">
        <v>2449</v>
      </c>
      <c r="C196" s="42" t="s">
        <v>2449</v>
      </c>
      <c r="D196" s="42" t="s">
        <v>2681</v>
      </c>
      <c r="E196" s="42" t="s">
        <v>2682</v>
      </c>
      <c r="F196" s="42" t="s">
        <v>2664</v>
      </c>
      <c r="G196" s="43" t="s">
        <v>134</v>
      </c>
      <c r="H196" s="43" t="s">
        <v>2683</v>
      </c>
      <c r="I196" s="42" t="s">
        <v>3344</v>
      </c>
      <c r="K196" s="42" t="s">
        <v>2745</v>
      </c>
      <c r="O196" s="44">
        <v>45925</v>
      </c>
      <c r="P196" s="44">
        <v>46014</v>
      </c>
      <c r="Q196" s="44">
        <v>46006</v>
      </c>
      <c r="R196" s="41" t="s">
        <v>3351</v>
      </c>
    </row>
    <row r="197" spans="1:18" ht="181.5">
      <c r="A197" s="42" t="s">
        <v>2449</v>
      </c>
      <c r="B197" s="42" t="s">
        <v>2449</v>
      </c>
      <c r="C197" s="42" t="s">
        <v>2449</v>
      </c>
      <c r="D197" s="42" t="s">
        <v>2901</v>
      </c>
      <c r="E197" s="42" t="s">
        <v>2449</v>
      </c>
      <c r="F197" s="42" t="s">
        <v>2669</v>
      </c>
      <c r="G197" s="43" t="s">
        <v>134</v>
      </c>
      <c r="H197" s="43" t="s">
        <v>3171</v>
      </c>
      <c r="I197" s="42">
        <v>500021221</v>
      </c>
      <c r="K197" s="43" t="s">
        <v>2910</v>
      </c>
      <c r="O197" s="44">
        <v>45916</v>
      </c>
      <c r="P197" s="44">
        <v>46006</v>
      </c>
      <c r="Q197" s="44">
        <v>46002</v>
      </c>
      <c r="R197" s="41" t="s">
        <v>3352</v>
      </c>
    </row>
    <row r="198" spans="1:18" ht="66">
      <c r="A198" s="42" t="s">
        <v>2660</v>
      </c>
      <c r="B198" s="42" t="s">
        <v>2661</v>
      </c>
      <c r="C198" s="42" t="s">
        <v>2680</v>
      </c>
      <c r="D198" s="42" t="s">
        <v>2681</v>
      </c>
      <c r="E198" s="42" t="s">
        <v>2682</v>
      </c>
      <c r="F198" s="42" t="s">
        <v>2668</v>
      </c>
      <c r="G198" s="43" t="s">
        <v>119</v>
      </c>
      <c r="H198" s="43" t="s">
        <v>2683</v>
      </c>
      <c r="I198" s="43" t="s">
        <v>3361</v>
      </c>
      <c r="J198" s="42" t="s">
        <v>3355</v>
      </c>
      <c r="K198" s="42" t="s">
        <v>2739</v>
      </c>
      <c r="L198" s="42" t="s">
        <v>3382</v>
      </c>
      <c r="M198" s="42" t="s">
        <v>3378</v>
      </c>
      <c r="N198" s="42" t="s">
        <v>3383</v>
      </c>
      <c r="O198" s="44">
        <v>45250</v>
      </c>
      <c r="P198" s="44">
        <v>45351</v>
      </c>
      <c r="Q198" s="44">
        <v>45384</v>
      </c>
      <c r="R198" s="41" t="s">
        <v>3397</v>
      </c>
    </row>
    <row r="199" spans="1:18" ht="49.5">
      <c r="A199" s="42" t="s">
        <v>2660</v>
      </c>
      <c r="B199" s="42" t="s">
        <v>2661</v>
      </c>
      <c r="C199" s="42" t="s">
        <v>2680</v>
      </c>
      <c r="D199" s="42" t="s">
        <v>2681</v>
      </c>
      <c r="E199" s="42" t="s">
        <v>2682</v>
      </c>
      <c r="F199" s="42" t="s">
        <v>2669</v>
      </c>
      <c r="G199" s="43" t="s">
        <v>119</v>
      </c>
      <c r="H199" s="43" t="s">
        <v>2683</v>
      </c>
      <c r="I199" s="43" t="s">
        <v>3362</v>
      </c>
      <c r="J199" s="42" t="s">
        <v>3357</v>
      </c>
      <c r="K199" s="42" t="s">
        <v>2739</v>
      </c>
      <c r="L199" s="42" t="s">
        <v>3384</v>
      </c>
      <c r="M199" s="42" t="s">
        <v>3385</v>
      </c>
      <c r="N199" s="42" t="s">
        <v>3376</v>
      </c>
      <c r="O199" s="44">
        <v>45261</v>
      </c>
      <c r="P199" s="44">
        <v>45351</v>
      </c>
      <c r="Q199" s="44">
        <v>45386</v>
      </c>
      <c r="R199" s="41" t="s">
        <v>3398</v>
      </c>
    </row>
    <row r="200" spans="1:18" ht="132">
      <c r="A200" s="42" t="s">
        <v>2660</v>
      </c>
      <c r="B200" s="42" t="s">
        <v>2661</v>
      </c>
      <c r="C200" s="42" t="s">
        <v>2680</v>
      </c>
      <c r="D200" s="42" t="s">
        <v>2681</v>
      </c>
      <c r="E200" s="42" t="s">
        <v>2682</v>
      </c>
      <c r="F200" s="42" t="s">
        <v>2662</v>
      </c>
      <c r="G200" s="43" t="s">
        <v>119</v>
      </c>
      <c r="H200" s="43" t="s">
        <v>2683</v>
      </c>
      <c r="I200" s="43" t="s">
        <v>3363</v>
      </c>
      <c r="J200" s="42" t="s">
        <v>3357</v>
      </c>
      <c r="K200" s="42" t="s">
        <v>2739</v>
      </c>
      <c r="L200" s="42" t="s">
        <v>3386</v>
      </c>
      <c r="M200" s="42" t="s">
        <v>3385</v>
      </c>
      <c r="N200" s="42" t="s">
        <v>3387</v>
      </c>
      <c r="O200" s="44">
        <v>45280</v>
      </c>
      <c r="P200" s="44">
        <v>45356</v>
      </c>
      <c r="Q200" s="44">
        <v>45358</v>
      </c>
      <c r="R200" s="41" t="s">
        <v>3399</v>
      </c>
    </row>
    <row r="201" spans="1:18" ht="82.5">
      <c r="A201" s="42" t="s">
        <v>2660</v>
      </c>
      <c r="B201" s="42" t="s">
        <v>2661</v>
      </c>
      <c r="C201" s="42" t="s">
        <v>2449</v>
      </c>
      <c r="D201" s="42" t="s">
        <v>2681</v>
      </c>
      <c r="E201" s="42" t="s">
        <v>2682</v>
      </c>
      <c r="F201" s="42" t="s">
        <v>2668</v>
      </c>
      <c r="G201" s="43" t="s">
        <v>119</v>
      </c>
      <c r="H201" s="43" t="s">
        <v>2683</v>
      </c>
      <c r="I201" s="43" t="s">
        <v>3364</v>
      </c>
      <c r="J201" s="42" t="s">
        <v>3355</v>
      </c>
      <c r="K201" s="42" t="s">
        <v>2739</v>
      </c>
      <c r="L201" s="42" t="s">
        <v>3377</v>
      </c>
      <c r="M201" s="42" t="s">
        <v>3378</v>
      </c>
      <c r="N201" s="42" t="s">
        <v>3379</v>
      </c>
      <c r="O201" s="44">
        <v>45299</v>
      </c>
      <c r="P201" s="44">
        <v>45351</v>
      </c>
      <c r="Q201" s="44">
        <v>45421</v>
      </c>
      <c r="R201" s="41" t="s">
        <v>3400</v>
      </c>
    </row>
    <row r="202" spans="1:18" ht="181.5">
      <c r="A202" s="42" t="s">
        <v>2660</v>
      </c>
      <c r="B202" s="42" t="s">
        <v>2661</v>
      </c>
      <c r="C202" s="42" t="s">
        <v>2680</v>
      </c>
      <c r="D202" s="42" t="s">
        <v>2903</v>
      </c>
      <c r="E202" s="42" t="s">
        <v>2905</v>
      </c>
      <c r="F202" s="42" t="s">
        <v>2668</v>
      </c>
      <c r="G202" s="43" t="s">
        <v>119</v>
      </c>
      <c r="H202" s="43" t="s">
        <v>2683</v>
      </c>
      <c r="I202" s="43" t="s">
        <v>3365</v>
      </c>
      <c r="J202" s="42" t="s">
        <v>3355</v>
      </c>
      <c r="K202" s="42" t="s">
        <v>2739</v>
      </c>
      <c r="L202" s="42" t="s">
        <v>3377</v>
      </c>
      <c r="M202" s="42" t="s">
        <v>3378</v>
      </c>
      <c r="N202" s="42" t="s">
        <v>3379</v>
      </c>
      <c r="O202" s="44">
        <v>45366</v>
      </c>
      <c r="P202" s="44">
        <v>45455</v>
      </c>
      <c r="Q202" s="44">
        <v>45443</v>
      </c>
      <c r="R202" s="41" t="s">
        <v>3401</v>
      </c>
    </row>
    <row r="203" spans="1:18" ht="66">
      <c r="A203" s="42" t="s">
        <v>2660</v>
      </c>
      <c r="B203" s="42" t="s">
        <v>2661</v>
      </c>
      <c r="C203" s="42" t="s">
        <v>2449</v>
      </c>
      <c r="D203" s="42" t="s">
        <v>2674</v>
      </c>
      <c r="E203" s="42" t="s">
        <v>2675</v>
      </c>
      <c r="F203" s="42" t="s">
        <v>2669</v>
      </c>
      <c r="G203" s="43" t="s">
        <v>119</v>
      </c>
      <c r="H203" s="43" t="s">
        <v>2683</v>
      </c>
      <c r="I203" s="43" t="s">
        <v>3366</v>
      </c>
      <c r="J203" s="42" t="s">
        <v>3355</v>
      </c>
      <c r="K203" s="42" t="s">
        <v>2739</v>
      </c>
      <c r="L203" s="42" t="s">
        <v>3388</v>
      </c>
      <c r="M203" s="42" t="s">
        <v>3378</v>
      </c>
      <c r="N203" s="42" t="s">
        <v>3389</v>
      </c>
      <c r="O203" s="44">
        <v>45373</v>
      </c>
      <c r="P203" s="44">
        <v>45464</v>
      </c>
      <c r="Q203" s="44">
        <v>45378</v>
      </c>
      <c r="R203" s="41" t="s">
        <v>3402</v>
      </c>
    </row>
    <row r="204" spans="1:18" ht="165">
      <c r="A204" s="42" t="s">
        <v>2660</v>
      </c>
      <c r="B204" s="42" t="s">
        <v>2661</v>
      </c>
      <c r="C204" s="42" t="s">
        <v>3353</v>
      </c>
      <c r="D204" s="42" t="s">
        <v>2681</v>
      </c>
      <c r="E204" s="42" t="s">
        <v>2666</v>
      </c>
      <c r="F204" s="42" t="s">
        <v>2668</v>
      </c>
      <c r="G204" s="43" t="s">
        <v>119</v>
      </c>
      <c r="H204" s="43" t="s">
        <v>2683</v>
      </c>
      <c r="I204" s="43" t="s">
        <v>3367</v>
      </c>
      <c r="J204" s="42" t="s">
        <v>3355</v>
      </c>
      <c r="K204" s="42" t="s">
        <v>2739</v>
      </c>
      <c r="L204" s="42" t="s">
        <v>3377</v>
      </c>
      <c r="M204" s="42" t="s">
        <v>3378</v>
      </c>
      <c r="N204" s="42" t="s">
        <v>3379</v>
      </c>
      <c r="O204" s="44">
        <v>45435</v>
      </c>
      <c r="P204" s="44">
        <v>45653</v>
      </c>
      <c r="Q204" s="44">
        <v>45617</v>
      </c>
      <c r="R204" s="41" t="s">
        <v>3403</v>
      </c>
    </row>
    <row r="205" spans="1:18" ht="115.5">
      <c r="A205" s="42" t="s">
        <v>2660</v>
      </c>
      <c r="B205" s="42" t="s">
        <v>2661</v>
      </c>
      <c r="C205" s="42" t="s">
        <v>2449</v>
      </c>
      <c r="D205" s="42" t="s">
        <v>2681</v>
      </c>
      <c r="E205" s="42" t="s">
        <v>2682</v>
      </c>
      <c r="F205" s="42" t="s">
        <v>2668</v>
      </c>
      <c r="G205" s="43" t="s">
        <v>119</v>
      </c>
      <c r="H205" s="43" t="s">
        <v>2683</v>
      </c>
      <c r="I205" s="43" t="s">
        <v>3368</v>
      </c>
      <c r="J205" s="42" t="s">
        <v>3355</v>
      </c>
      <c r="K205" s="42" t="s">
        <v>2739</v>
      </c>
      <c r="L205" s="42" t="s">
        <v>3377</v>
      </c>
      <c r="M205" s="42" t="s">
        <v>3378</v>
      </c>
      <c r="N205" s="42" t="s">
        <v>3379</v>
      </c>
      <c r="O205" s="44">
        <v>45435</v>
      </c>
      <c r="P205" s="44">
        <v>45653</v>
      </c>
      <c r="Q205" s="44">
        <v>45650</v>
      </c>
      <c r="R205" s="41" t="s">
        <v>3404</v>
      </c>
    </row>
    <row r="206" spans="1:18" ht="99">
      <c r="A206" s="42" t="s">
        <v>2449</v>
      </c>
      <c r="B206" s="42" t="s">
        <v>2449</v>
      </c>
      <c r="C206" s="42" t="s">
        <v>2449</v>
      </c>
      <c r="D206" s="42" t="s">
        <v>2681</v>
      </c>
      <c r="E206" s="42" t="s">
        <v>2904</v>
      </c>
      <c r="F206" s="42" t="s">
        <v>2669</v>
      </c>
      <c r="G206" s="43" t="s">
        <v>119</v>
      </c>
      <c r="H206" s="43" t="s">
        <v>2683</v>
      </c>
      <c r="I206" s="43" t="s">
        <v>3369</v>
      </c>
      <c r="J206" s="42" t="s">
        <v>3357</v>
      </c>
      <c r="K206" s="42" t="s">
        <v>2739</v>
      </c>
      <c r="L206" s="42" t="s">
        <v>3390</v>
      </c>
      <c r="M206" s="42" t="s">
        <v>3385</v>
      </c>
      <c r="N206" s="42" t="s">
        <v>203</v>
      </c>
      <c r="O206" s="44">
        <v>45495</v>
      </c>
      <c r="P206" s="44">
        <v>45618</v>
      </c>
      <c r="Q206" s="44">
        <v>45618</v>
      </c>
      <c r="R206" s="41" t="s">
        <v>3405</v>
      </c>
    </row>
    <row r="207" spans="1:18" ht="49.5">
      <c r="A207" s="42" t="s">
        <v>2660</v>
      </c>
      <c r="B207" s="42" t="s">
        <v>2661</v>
      </c>
      <c r="C207" s="42" t="s">
        <v>2680</v>
      </c>
      <c r="D207" s="42" t="s">
        <v>2681</v>
      </c>
      <c r="E207" s="42" t="s">
        <v>2682</v>
      </c>
      <c r="F207" s="42" t="s">
        <v>2669</v>
      </c>
      <c r="G207" s="43" t="s">
        <v>119</v>
      </c>
      <c r="H207" s="43" t="s">
        <v>2683</v>
      </c>
      <c r="I207" s="43" t="s">
        <v>3370</v>
      </c>
      <c r="J207" s="42" t="s">
        <v>3355</v>
      </c>
      <c r="K207" s="42" t="s">
        <v>2739</v>
      </c>
      <c r="L207" s="42" t="s">
        <v>3377</v>
      </c>
      <c r="M207" s="42" t="s">
        <v>3378</v>
      </c>
      <c r="N207" s="42" t="s">
        <v>3379</v>
      </c>
      <c r="O207" s="44">
        <v>45588</v>
      </c>
      <c r="P207" s="44">
        <v>45618</v>
      </c>
      <c r="Q207" s="44">
        <v>45615</v>
      </c>
      <c r="R207" s="41" t="s">
        <v>3406</v>
      </c>
    </row>
    <row r="208" spans="1:18" ht="115.5">
      <c r="A208" s="42" t="s">
        <v>2660</v>
      </c>
      <c r="B208" s="42" t="s">
        <v>2661</v>
      </c>
      <c r="C208" s="42" t="s">
        <v>2680</v>
      </c>
      <c r="D208" s="42" t="s">
        <v>2681</v>
      </c>
      <c r="E208" s="42" t="s">
        <v>2682</v>
      </c>
      <c r="F208" s="42" t="s">
        <v>2669</v>
      </c>
      <c r="G208" s="43" t="s">
        <v>119</v>
      </c>
      <c r="H208" s="43" t="s">
        <v>2683</v>
      </c>
      <c r="I208" s="43" t="s">
        <v>3371</v>
      </c>
      <c r="J208" s="42" t="s">
        <v>3355</v>
      </c>
      <c r="K208" s="42" t="s">
        <v>2739</v>
      </c>
      <c r="L208" s="42" t="s">
        <v>3377</v>
      </c>
      <c r="M208" s="42" t="s">
        <v>3378</v>
      </c>
      <c r="N208" s="42" t="s">
        <v>3379</v>
      </c>
      <c r="O208" s="44">
        <v>45665</v>
      </c>
      <c r="P208" s="44">
        <v>45753</v>
      </c>
      <c r="Q208" s="44">
        <v>45709</v>
      </c>
      <c r="R208" s="41" t="s">
        <v>3407</v>
      </c>
    </row>
    <row r="209" spans="1:18" ht="132">
      <c r="A209" s="42" t="s">
        <v>2660</v>
      </c>
      <c r="B209" s="42" t="s">
        <v>2661</v>
      </c>
      <c r="C209" s="42" t="s">
        <v>2680</v>
      </c>
      <c r="D209" s="42" t="s">
        <v>2681</v>
      </c>
      <c r="E209" s="42" t="s">
        <v>2682</v>
      </c>
      <c r="F209" s="42" t="s">
        <v>2669</v>
      </c>
      <c r="G209" s="43" t="s">
        <v>119</v>
      </c>
      <c r="H209" s="43" t="s">
        <v>2683</v>
      </c>
      <c r="I209" s="43" t="s">
        <v>3372</v>
      </c>
      <c r="J209" s="42" t="s">
        <v>3356</v>
      </c>
      <c r="K209" s="42" t="s">
        <v>2743</v>
      </c>
      <c r="L209" s="42" t="s">
        <v>3391</v>
      </c>
      <c r="M209" s="42" t="s">
        <v>3380</v>
      </c>
      <c r="N209" s="42" t="s">
        <v>2492</v>
      </c>
      <c r="O209" s="44">
        <v>45699</v>
      </c>
      <c r="P209" s="44">
        <v>45768</v>
      </c>
      <c r="Q209" s="44">
        <v>45764</v>
      </c>
      <c r="R209" s="41" t="s">
        <v>3408</v>
      </c>
    </row>
    <row r="210" spans="1:18" ht="49.5">
      <c r="A210" s="42" t="s">
        <v>2660</v>
      </c>
      <c r="B210" s="42" t="s">
        <v>2661</v>
      </c>
      <c r="C210" s="42" t="s">
        <v>2680</v>
      </c>
      <c r="D210" s="42" t="s">
        <v>2681</v>
      </c>
      <c r="E210" s="42" t="s">
        <v>2682</v>
      </c>
      <c r="F210" s="42" t="s">
        <v>2669</v>
      </c>
      <c r="G210" s="43" t="s">
        <v>119</v>
      </c>
      <c r="H210" s="43" t="s">
        <v>2683</v>
      </c>
      <c r="I210" s="43" t="s">
        <v>3373</v>
      </c>
      <c r="J210" s="42" t="s">
        <v>3358</v>
      </c>
      <c r="K210" s="42" t="s">
        <v>3354</v>
      </c>
      <c r="L210" s="42" t="s">
        <v>3381</v>
      </c>
      <c r="M210" s="42" t="s">
        <v>3392</v>
      </c>
      <c r="N210" s="42" t="s">
        <v>2921</v>
      </c>
      <c r="O210" s="44">
        <v>45671</v>
      </c>
      <c r="P210" s="44">
        <v>45793</v>
      </c>
      <c r="Q210" s="44">
        <v>45764</v>
      </c>
      <c r="R210" s="41" t="s">
        <v>3409</v>
      </c>
    </row>
    <row r="211" spans="1:18" ht="49.5">
      <c r="A211" s="42" t="s">
        <v>2660</v>
      </c>
      <c r="B211" s="42" t="s">
        <v>2661</v>
      </c>
      <c r="C211" s="42" t="s">
        <v>2680</v>
      </c>
      <c r="D211" s="42" t="s">
        <v>2681</v>
      </c>
      <c r="E211" s="42" t="s">
        <v>2682</v>
      </c>
      <c r="F211" s="42" t="s">
        <v>2669</v>
      </c>
      <c r="G211" s="43" t="s">
        <v>119</v>
      </c>
      <c r="H211" s="43" t="s">
        <v>2683</v>
      </c>
      <c r="I211" s="43" t="s">
        <v>3374</v>
      </c>
      <c r="J211" s="42" t="s">
        <v>3359</v>
      </c>
      <c r="K211" s="42" t="s">
        <v>2743</v>
      </c>
      <c r="L211" s="42" t="s">
        <v>3393</v>
      </c>
      <c r="M211" s="42" t="s">
        <v>3394</v>
      </c>
      <c r="N211" s="42" t="s">
        <v>2921</v>
      </c>
      <c r="O211" s="44">
        <v>45870</v>
      </c>
      <c r="P211" s="44">
        <v>45961</v>
      </c>
      <c r="Q211" s="44">
        <v>45930</v>
      </c>
      <c r="R211" s="41" t="s">
        <v>3410</v>
      </c>
    </row>
    <row r="212" spans="1:18" ht="82.5">
      <c r="A212" s="42" t="s">
        <v>2660</v>
      </c>
      <c r="B212" s="42" t="s">
        <v>2661</v>
      </c>
      <c r="C212" s="42" t="s">
        <v>2680</v>
      </c>
      <c r="D212" s="42" t="s">
        <v>2681</v>
      </c>
      <c r="E212" s="42" t="s">
        <v>2682</v>
      </c>
      <c r="F212" s="42" t="s">
        <v>2669</v>
      </c>
      <c r="G212" s="43" t="s">
        <v>119</v>
      </c>
      <c r="H212" s="43" t="s">
        <v>2683</v>
      </c>
      <c r="I212" s="43" t="s">
        <v>3375</v>
      </c>
      <c r="J212" s="42" t="s">
        <v>3360</v>
      </c>
      <c r="K212" s="42" t="s">
        <v>2738</v>
      </c>
      <c r="L212" s="42" t="s">
        <v>3395</v>
      </c>
      <c r="M212" s="42" t="s">
        <v>3396</v>
      </c>
      <c r="N212" s="42" t="s">
        <v>2921</v>
      </c>
      <c r="O212" s="44">
        <v>45895</v>
      </c>
      <c r="P212" s="44">
        <v>45981</v>
      </c>
      <c r="Q212" s="44">
        <v>45911</v>
      </c>
      <c r="R212" s="41" t="s">
        <v>3411</v>
      </c>
    </row>
  </sheetData>
  <autoFilter ref="A1:S1" xr:uid="{00000000-0001-0000-0300-000000000000}"/>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7"/>
  <sheetViews>
    <sheetView zoomScale="70" zoomScaleNormal="70" workbookViewId="0">
      <pane ySplit="1" topLeftCell="A13" activePane="bottomLeft" state="frozen"/>
      <selection pane="bottomLeft" activeCell="O18" sqref="O18"/>
    </sheetView>
  </sheetViews>
  <sheetFormatPr defaultRowHeight="16.5"/>
  <cols>
    <col min="1" max="1" width="5.25" bestFit="1" customWidth="1"/>
    <col min="2" max="2" width="14.875" bestFit="1" customWidth="1"/>
    <col min="3" max="3" width="13.125" bestFit="1" customWidth="1"/>
    <col min="4" max="6" width="6.375" customWidth="1"/>
    <col min="7" max="7" width="7.75" customWidth="1"/>
    <col min="8" max="8" width="6" customWidth="1"/>
    <col min="9" max="9" width="8" customWidth="1"/>
    <col min="10" max="11" width="19.75" customWidth="1"/>
    <col min="12" max="12" width="28.375" customWidth="1"/>
    <col min="13" max="13" width="15.5" customWidth="1"/>
    <col min="14" max="14" width="29.375" customWidth="1"/>
    <col min="15" max="15" width="14.875" customWidth="1"/>
    <col min="16" max="16" width="9.625" customWidth="1"/>
    <col min="17" max="17" width="22" bestFit="1" customWidth="1"/>
    <col min="18" max="18" width="10.5" customWidth="1"/>
    <col min="19" max="19" width="35.5" customWidth="1"/>
    <col min="20" max="20" width="40.375" customWidth="1"/>
    <col min="21" max="22" width="60.25" customWidth="1"/>
  </cols>
  <sheetData>
    <row r="1" spans="1:22" ht="26.1" customHeight="1">
      <c r="A1" s="3" t="s">
        <v>51</v>
      </c>
      <c r="B1" s="3" t="s">
        <v>52</v>
      </c>
      <c r="C1" s="3" t="s">
        <v>53</v>
      </c>
      <c r="D1" s="3" t="s">
        <v>54</v>
      </c>
      <c r="E1" s="3" t="s">
        <v>55</v>
      </c>
      <c r="F1" s="3" t="s">
        <v>56</v>
      </c>
      <c r="G1" s="3" t="s">
        <v>57</v>
      </c>
      <c r="H1" s="3" t="s">
        <v>58</v>
      </c>
      <c r="I1" s="3" t="s">
        <v>59</v>
      </c>
      <c r="J1" s="3" t="s">
        <v>60</v>
      </c>
      <c r="K1" s="3" t="s">
        <v>61</v>
      </c>
      <c r="L1" s="3" t="s">
        <v>62</v>
      </c>
      <c r="M1" s="3" t="s">
        <v>63</v>
      </c>
      <c r="N1" s="3" t="s">
        <v>64</v>
      </c>
      <c r="O1" s="3" t="s">
        <v>32</v>
      </c>
      <c r="P1" s="3" t="s">
        <v>65</v>
      </c>
      <c r="Q1" s="3" t="s">
        <v>66</v>
      </c>
      <c r="R1" s="3" t="s">
        <v>67</v>
      </c>
      <c r="S1" s="3" t="s">
        <v>68</v>
      </c>
      <c r="T1" s="3" t="s">
        <v>69</v>
      </c>
      <c r="U1" s="3" t="s">
        <v>70</v>
      </c>
      <c r="V1" s="3" t="s">
        <v>71</v>
      </c>
    </row>
    <row r="2" spans="1:22" ht="132">
      <c r="A2" s="7">
        <f>ROW()-1</f>
        <v>1</v>
      </c>
      <c r="B2" s="8" t="s">
        <v>153</v>
      </c>
      <c r="C2" s="9">
        <v>45727</v>
      </c>
      <c r="D2" s="10">
        <v>2025</v>
      </c>
      <c r="E2" s="10">
        <v>3</v>
      </c>
      <c r="F2" s="10">
        <v>0</v>
      </c>
      <c r="G2" s="9" t="s">
        <v>154</v>
      </c>
      <c r="H2" s="8" t="s">
        <v>155</v>
      </c>
      <c r="I2" s="8" t="s">
        <v>157</v>
      </c>
      <c r="J2" s="11" t="s">
        <v>158</v>
      </c>
      <c r="K2" s="11" t="s">
        <v>158</v>
      </c>
      <c r="L2" s="12" t="s">
        <v>159</v>
      </c>
      <c r="M2" s="12" t="s">
        <v>160</v>
      </c>
      <c r="N2" s="13" t="s">
        <v>161</v>
      </c>
      <c r="O2" s="12" t="s">
        <v>162</v>
      </c>
      <c r="P2" s="12" t="s">
        <v>163</v>
      </c>
      <c r="Q2" s="12" t="s">
        <v>164</v>
      </c>
      <c r="R2" s="12" t="s">
        <v>50</v>
      </c>
      <c r="S2" s="14" t="s">
        <v>165</v>
      </c>
      <c r="T2" s="14" t="s">
        <v>166</v>
      </c>
      <c r="U2" s="14"/>
      <c r="V2" s="15" t="s">
        <v>167</v>
      </c>
    </row>
    <row r="3" spans="1:22" ht="132">
      <c r="A3" s="7">
        <f t="shared" ref="A3:A17" si="0">ROW()-1</f>
        <v>2</v>
      </c>
      <c r="B3" s="8" t="s">
        <v>168</v>
      </c>
      <c r="C3" s="9">
        <v>45765</v>
      </c>
      <c r="D3" s="10">
        <v>2025</v>
      </c>
      <c r="E3" s="10">
        <v>4</v>
      </c>
      <c r="F3" s="10">
        <v>0</v>
      </c>
      <c r="G3" s="8" t="s">
        <v>154</v>
      </c>
      <c r="H3" s="8" t="s">
        <v>169</v>
      </c>
      <c r="I3" s="8" t="s">
        <v>171</v>
      </c>
      <c r="J3" s="12" t="s">
        <v>172</v>
      </c>
      <c r="K3" s="11" t="s">
        <v>158</v>
      </c>
      <c r="L3" s="12" t="s">
        <v>173</v>
      </c>
      <c r="M3" s="12" t="s">
        <v>174</v>
      </c>
      <c r="N3" s="16" t="s">
        <v>175</v>
      </c>
      <c r="O3" s="8" t="s">
        <v>176</v>
      </c>
      <c r="P3" s="8" t="s">
        <v>177</v>
      </c>
      <c r="Q3" s="8" t="s">
        <v>178</v>
      </c>
      <c r="R3" s="8" t="s">
        <v>179</v>
      </c>
      <c r="S3" s="14" t="s">
        <v>180</v>
      </c>
      <c r="T3" s="14" t="s">
        <v>181</v>
      </c>
      <c r="U3" s="14"/>
      <c r="V3" s="15" t="s">
        <v>182</v>
      </c>
    </row>
    <row r="4" spans="1:22" ht="156">
      <c r="A4" s="7">
        <f t="shared" si="0"/>
        <v>3</v>
      </c>
      <c r="B4" s="8" t="s">
        <v>183</v>
      </c>
      <c r="C4" s="9">
        <v>45799</v>
      </c>
      <c r="D4" s="10">
        <v>2025</v>
      </c>
      <c r="E4" s="10">
        <v>5</v>
      </c>
      <c r="F4" s="10">
        <v>0</v>
      </c>
      <c r="G4" s="8" t="s">
        <v>154</v>
      </c>
      <c r="H4" s="8" t="s">
        <v>184</v>
      </c>
      <c r="I4" s="8"/>
      <c r="J4" s="8"/>
      <c r="K4" s="8"/>
      <c r="L4" s="8" t="s">
        <v>185</v>
      </c>
      <c r="M4" s="12" t="s">
        <v>186</v>
      </c>
      <c r="N4" s="16" t="s">
        <v>187</v>
      </c>
      <c r="O4" s="8" t="s">
        <v>3613</v>
      </c>
      <c r="P4" s="8"/>
      <c r="Q4" s="8" t="s">
        <v>188</v>
      </c>
      <c r="R4" s="8" t="s">
        <v>50</v>
      </c>
      <c r="S4" s="14" t="s">
        <v>189</v>
      </c>
      <c r="T4" s="14" t="s">
        <v>190</v>
      </c>
      <c r="U4" s="14"/>
      <c r="V4" s="15" t="s">
        <v>191</v>
      </c>
    </row>
    <row r="5" spans="1:22" ht="132">
      <c r="A5" s="7">
        <f t="shared" si="0"/>
        <v>4</v>
      </c>
      <c r="B5" s="8" t="s">
        <v>192</v>
      </c>
      <c r="C5" s="9">
        <v>45835</v>
      </c>
      <c r="D5" s="10">
        <v>2025</v>
      </c>
      <c r="E5" s="10">
        <v>6</v>
      </c>
      <c r="F5" s="10">
        <v>0</v>
      </c>
      <c r="G5" s="8" t="s">
        <v>154</v>
      </c>
      <c r="H5" s="8" t="s">
        <v>155</v>
      </c>
      <c r="I5" s="8"/>
      <c r="J5" s="8"/>
      <c r="K5" s="8"/>
      <c r="L5" s="12" t="s">
        <v>193</v>
      </c>
      <c r="M5" s="12" t="s">
        <v>194</v>
      </c>
      <c r="N5" s="13" t="s">
        <v>3619</v>
      </c>
      <c r="O5" s="12" t="s">
        <v>3618</v>
      </c>
      <c r="P5" s="8"/>
      <c r="Q5" s="8" t="s">
        <v>195</v>
      </c>
      <c r="R5" s="8" t="s">
        <v>196</v>
      </c>
      <c r="S5" s="14" t="s">
        <v>197</v>
      </c>
      <c r="T5" s="14" t="s">
        <v>198</v>
      </c>
      <c r="U5" s="14"/>
      <c r="V5" s="15" t="s">
        <v>199</v>
      </c>
    </row>
    <row r="6" spans="1:22" ht="192">
      <c r="A6" s="7">
        <f t="shared" si="0"/>
        <v>5</v>
      </c>
      <c r="B6" s="8" t="s">
        <v>200</v>
      </c>
      <c r="C6" s="9">
        <v>45868</v>
      </c>
      <c r="D6" s="10">
        <v>2025</v>
      </c>
      <c r="E6" s="10">
        <v>7</v>
      </c>
      <c r="F6" s="10">
        <v>0</v>
      </c>
      <c r="G6" s="8" t="s">
        <v>154</v>
      </c>
      <c r="H6" s="8" t="s">
        <v>184</v>
      </c>
      <c r="I6" s="8"/>
      <c r="J6" s="8"/>
      <c r="K6" s="8"/>
      <c r="L6" s="12" t="s">
        <v>201</v>
      </c>
      <c r="M6" s="12" t="s">
        <v>202</v>
      </c>
      <c r="N6" s="16" t="s">
        <v>203</v>
      </c>
      <c r="O6" s="8" t="s">
        <v>204</v>
      </c>
      <c r="P6" s="12" t="s">
        <v>205</v>
      </c>
      <c r="Q6" s="8" t="s">
        <v>195</v>
      </c>
      <c r="R6" s="8" t="s">
        <v>196</v>
      </c>
      <c r="S6" s="14" t="s">
        <v>206</v>
      </c>
      <c r="T6" s="17" t="s">
        <v>207</v>
      </c>
      <c r="U6" s="14"/>
      <c r="V6" s="15" t="s">
        <v>208</v>
      </c>
    </row>
    <row r="7" spans="1:22" ht="132">
      <c r="A7" s="7">
        <f t="shared" si="0"/>
        <v>6</v>
      </c>
      <c r="B7" s="8" t="s">
        <v>209</v>
      </c>
      <c r="C7" s="9">
        <v>45898</v>
      </c>
      <c r="D7" s="10">
        <v>2025</v>
      </c>
      <c r="E7" s="10">
        <v>8</v>
      </c>
      <c r="F7" s="10">
        <v>0</v>
      </c>
      <c r="G7" s="8" t="s">
        <v>154</v>
      </c>
      <c r="H7" s="8" t="s">
        <v>155</v>
      </c>
      <c r="I7" s="8"/>
      <c r="J7" s="8"/>
      <c r="K7" s="8"/>
      <c r="L7" s="8" t="s">
        <v>210</v>
      </c>
      <c r="M7" s="12" t="s">
        <v>211</v>
      </c>
      <c r="N7" s="16" t="s">
        <v>212</v>
      </c>
      <c r="O7" s="8" t="s">
        <v>213</v>
      </c>
      <c r="P7" s="8" t="s">
        <v>214</v>
      </c>
      <c r="Q7" s="8" t="s">
        <v>195</v>
      </c>
      <c r="R7" s="8" t="s">
        <v>196</v>
      </c>
      <c r="S7" s="14" t="s">
        <v>215</v>
      </c>
      <c r="T7" s="14" t="s">
        <v>216</v>
      </c>
      <c r="U7" s="14"/>
      <c r="V7" s="15" t="s">
        <v>217</v>
      </c>
    </row>
    <row r="8" spans="1:22" ht="132">
      <c r="A8" s="7">
        <f t="shared" si="0"/>
        <v>7</v>
      </c>
      <c r="B8" s="8" t="s">
        <v>218</v>
      </c>
      <c r="C8" s="9">
        <v>45930</v>
      </c>
      <c r="D8" s="10">
        <v>2025</v>
      </c>
      <c r="E8" s="10">
        <v>9</v>
      </c>
      <c r="F8" s="10">
        <v>0</v>
      </c>
      <c r="G8" s="8" t="s">
        <v>154</v>
      </c>
      <c r="H8" s="8" t="s">
        <v>219</v>
      </c>
      <c r="I8" s="8"/>
      <c r="J8" s="8"/>
      <c r="K8" s="8"/>
      <c r="L8" s="8" t="s">
        <v>220</v>
      </c>
      <c r="M8" s="8" t="s">
        <v>221</v>
      </c>
      <c r="N8" s="16" t="s">
        <v>222</v>
      </c>
      <c r="O8" s="8" t="s">
        <v>3613</v>
      </c>
      <c r="P8" s="8"/>
      <c r="Q8" s="8" t="s">
        <v>195</v>
      </c>
      <c r="R8" s="8" t="s">
        <v>196</v>
      </c>
      <c r="S8" s="14" t="s">
        <v>223</v>
      </c>
      <c r="T8" s="14" t="s">
        <v>224</v>
      </c>
      <c r="U8" s="14"/>
      <c r="V8" s="15" t="s">
        <v>225</v>
      </c>
    </row>
    <row r="9" spans="1:22" ht="132">
      <c r="A9" s="7">
        <f t="shared" si="0"/>
        <v>8</v>
      </c>
      <c r="B9" s="8" t="s">
        <v>226</v>
      </c>
      <c r="C9" s="9">
        <v>45958</v>
      </c>
      <c r="D9" s="10">
        <v>2025</v>
      </c>
      <c r="E9" s="10">
        <v>10</v>
      </c>
      <c r="F9" s="10">
        <v>0</v>
      </c>
      <c r="G9" s="8" t="s">
        <v>154</v>
      </c>
      <c r="H9" s="8" t="s">
        <v>155</v>
      </c>
      <c r="I9" s="8"/>
      <c r="J9" s="8"/>
      <c r="K9" s="8"/>
      <c r="L9" s="8" t="s">
        <v>227</v>
      </c>
      <c r="M9" s="8" t="s">
        <v>228</v>
      </c>
      <c r="N9" s="16" t="s">
        <v>229</v>
      </c>
      <c r="O9" s="8" t="s">
        <v>230</v>
      </c>
      <c r="P9" s="8"/>
      <c r="Q9" s="8" t="s">
        <v>195</v>
      </c>
      <c r="R9" s="8" t="s">
        <v>196</v>
      </c>
      <c r="S9" s="14" t="s">
        <v>231</v>
      </c>
      <c r="T9" s="14" t="s">
        <v>232</v>
      </c>
      <c r="U9" s="14"/>
      <c r="V9" s="15" t="s">
        <v>233</v>
      </c>
    </row>
    <row r="10" spans="1:22" ht="132">
      <c r="A10" s="7">
        <f t="shared" si="0"/>
        <v>9</v>
      </c>
      <c r="B10" s="8" t="s">
        <v>234</v>
      </c>
      <c r="C10" s="9">
        <v>45989</v>
      </c>
      <c r="D10" s="10">
        <v>2025</v>
      </c>
      <c r="E10" s="10">
        <v>11</v>
      </c>
      <c r="F10" s="10">
        <v>0</v>
      </c>
      <c r="G10" s="8" t="s">
        <v>154</v>
      </c>
      <c r="H10" s="8" t="s">
        <v>219</v>
      </c>
      <c r="I10" s="8"/>
      <c r="J10" s="8"/>
      <c r="K10" s="8"/>
      <c r="L10" s="12" t="s">
        <v>235</v>
      </c>
      <c r="M10" s="12" t="s">
        <v>236</v>
      </c>
      <c r="N10" s="13" t="s">
        <v>237</v>
      </c>
      <c r="O10" s="8" t="s">
        <v>3613</v>
      </c>
      <c r="P10" s="8"/>
      <c r="Q10" s="8" t="s">
        <v>195</v>
      </c>
      <c r="R10" s="8" t="s">
        <v>196</v>
      </c>
      <c r="S10" s="17" t="s">
        <v>238</v>
      </c>
      <c r="T10" s="17" t="s">
        <v>239</v>
      </c>
      <c r="U10" s="14"/>
      <c r="V10" s="15" t="s">
        <v>240</v>
      </c>
    </row>
    <row r="11" spans="1:22" ht="132">
      <c r="A11" s="7">
        <f t="shared" si="0"/>
        <v>10</v>
      </c>
      <c r="B11" s="8" t="s">
        <v>241</v>
      </c>
      <c r="C11" s="9">
        <v>46021</v>
      </c>
      <c r="D11" s="10">
        <v>2025</v>
      </c>
      <c r="E11" s="10">
        <v>12</v>
      </c>
      <c r="F11" s="10">
        <v>1</v>
      </c>
      <c r="G11" s="8" t="s">
        <v>154</v>
      </c>
      <c r="H11" s="8" t="s">
        <v>184</v>
      </c>
      <c r="I11" s="8"/>
      <c r="J11" s="8"/>
      <c r="K11" s="8"/>
      <c r="L11" s="8" t="s">
        <v>242</v>
      </c>
      <c r="M11" s="8" t="s">
        <v>243</v>
      </c>
      <c r="N11" s="13" t="s">
        <v>244</v>
      </c>
      <c r="O11" s="8" t="s">
        <v>3620</v>
      </c>
      <c r="P11" s="8"/>
      <c r="Q11" s="8" t="s">
        <v>195</v>
      </c>
      <c r="R11" s="8" t="s">
        <v>196</v>
      </c>
      <c r="S11" s="17" t="s">
        <v>245</v>
      </c>
      <c r="T11" s="17" t="s">
        <v>246</v>
      </c>
      <c r="U11" s="14"/>
      <c r="V11" s="15" t="s">
        <v>247</v>
      </c>
    </row>
    <row r="12" spans="1:22" ht="132">
      <c r="A12" s="7">
        <f t="shared" si="0"/>
        <v>11</v>
      </c>
      <c r="B12" s="8" t="s">
        <v>248</v>
      </c>
      <c r="C12" s="9">
        <v>46050</v>
      </c>
      <c r="D12" s="10">
        <v>2026</v>
      </c>
      <c r="E12" s="10">
        <v>1</v>
      </c>
      <c r="F12" s="10">
        <v>0</v>
      </c>
      <c r="G12" s="8" t="s">
        <v>154</v>
      </c>
      <c r="H12" s="8" t="s">
        <v>184</v>
      </c>
      <c r="I12" s="8"/>
      <c r="J12" s="8"/>
      <c r="K12" s="8"/>
      <c r="L12" s="8" t="s">
        <v>249</v>
      </c>
      <c r="M12" s="8" t="s">
        <v>250</v>
      </c>
      <c r="N12" s="16" t="s">
        <v>251</v>
      </c>
      <c r="O12" s="8" t="s">
        <v>252</v>
      </c>
      <c r="P12" s="8"/>
      <c r="Q12" s="8" t="s">
        <v>253</v>
      </c>
      <c r="R12" s="8" t="s">
        <v>50</v>
      </c>
      <c r="S12" s="14" t="s">
        <v>254</v>
      </c>
      <c r="T12" s="17" t="s">
        <v>255</v>
      </c>
      <c r="U12" s="17" t="s">
        <v>256</v>
      </c>
      <c r="V12" s="18" t="s">
        <v>257</v>
      </c>
    </row>
    <row r="13" spans="1:22" ht="132">
      <c r="A13" s="7">
        <f t="shared" si="0"/>
        <v>12</v>
      </c>
      <c r="B13" s="8" t="s">
        <v>248</v>
      </c>
      <c r="C13" s="9">
        <v>46050</v>
      </c>
      <c r="D13" s="10">
        <v>2026</v>
      </c>
      <c r="E13" s="10">
        <v>1</v>
      </c>
      <c r="F13" s="10">
        <v>0</v>
      </c>
      <c r="G13" s="8" t="s">
        <v>154</v>
      </c>
      <c r="H13" s="8" t="s">
        <v>219</v>
      </c>
      <c r="I13" s="8"/>
      <c r="J13" s="8"/>
      <c r="K13" s="8"/>
      <c r="L13" s="8" t="s">
        <v>249</v>
      </c>
      <c r="M13" s="12" t="s">
        <v>258</v>
      </c>
      <c r="N13" s="16" t="s">
        <v>151</v>
      </c>
      <c r="O13" s="8" t="s">
        <v>259</v>
      </c>
      <c r="P13" s="8"/>
      <c r="Q13" s="8" t="s">
        <v>253</v>
      </c>
      <c r="R13" s="8" t="s">
        <v>50</v>
      </c>
      <c r="S13" s="14" t="s">
        <v>254</v>
      </c>
      <c r="T13" s="17" t="s">
        <v>255</v>
      </c>
      <c r="U13" s="17" t="s">
        <v>256</v>
      </c>
      <c r="V13" s="18" t="s">
        <v>257</v>
      </c>
    </row>
    <row r="14" spans="1:22" ht="132">
      <c r="A14" s="7">
        <f t="shared" si="0"/>
        <v>13</v>
      </c>
      <c r="B14" s="8" t="s">
        <v>260</v>
      </c>
      <c r="C14" s="9">
        <v>46078</v>
      </c>
      <c r="D14" s="10">
        <v>2026</v>
      </c>
      <c r="E14" s="10">
        <v>2</v>
      </c>
      <c r="F14" s="10">
        <v>0</v>
      </c>
      <c r="G14" s="8" t="s">
        <v>154</v>
      </c>
      <c r="H14" s="8" t="s">
        <v>169</v>
      </c>
      <c r="I14" s="8"/>
      <c r="J14" s="8"/>
      <c r="K14" s="8"/>
      <c r="L14" s="12" t="s">
        <v>261</v>
      </c>
      <c r="M14" s="8" t="s">
        <v>262</v>
      </c>
      <c r="N14" s="16" t="s">
        <v>263</v>
      </c>
      <c r="O14" s="8" t="s">
        <v>264</v>
      </c>
      <c r="P14" s="8"/>
      <c r="Q14" s="8" t="s">
        <v>265</v>
      </c>
      <c r="R14" s="8" t="s">
        <v>50</v>
      </c>
      <c r="S14" s="14" t="s">
        <v>266</v>
      </c>
      <c r="T14" s="17" t="s">
        <v>267</v>
      </c>
      <c r="U14" s="17" t="s">
        <v>268</v>
      </c>
      <c r="V14" s="18" t="s">
        <v>269</v>
      </c>
    </row>
    <row r="15" spans="1:22" ht="132">
      <c r="A15" s="7">
        <f t="shared" si="0"/>
        <v>14</v>
      </c>
      <c r="B15" s="8" t="s">
        <v>260</v>
      </c>
      <c r="C15" s="9">
        <v>46078</v>
      </c>
      <c r="D15" s="10">
        <v>2026</v>
      </c>
      <c r="E15" s="10">
        <v>2</v>
      </c>
      <c r="F15" s="10">
        <v>0</v>
      </c>
      <c r="G15" s="8" t="s">
        <v>154</v>
      </c>
      <c r="H15" s="8" t="s">
        <v>169</v>
      </c>
      <c r="I15" s="8"/>
      <c r="J15" s="8"/>
      <c r="K15" s="8"/>
      <c r="L15" s="12" t="s">
        <v>270</v>
      </c>
      <c r="M15" s="8" t="s">
        <v>262</v>
      </c>
      <c r="N15" s="16" t="s">
        <v>271</v>
      </c>
      <c r="O15" s="8" t="s">
        <v>259</v>
      </c>
      <c r="P15" s="8"/>
      <c r="Q15" s="8" t="s">
        <v>195</v>
      </c>
      <c r="R15" s="8" t="s">
        <v>196</v>
      </c>
      <c r="S15" s="14" t="s">
        <v>266</v>
      </c>
      <c r="T15" s="17" t="s">
        <v>272</v>
      </c>
      <c r="U15" s="17" t="s">
        <v>273</v>
      </c>
      <c r="V15" s="18" t="s">
        <v>269</v>
      </c>
    </row>
    <row r="16" spans="1:22" ht="144">
      <c r="A16" s="7">
        <f t="shared" si="0"/>
        <v>15</v>
      </c>
      <c r="B16" s="8" t="s">
        <v>274</v>
      </c>
      <c r="C16" s="9">
        <v>46104</v>
      </c>
      <c r="D16" s="10">
        <v>2026</v>
      </c>
      <c r="E16" s="10">
        <v>3</v>
      </c>
      <c r="F16" s="10">
        <v>0</v>
      </c>
      <c r="G16" s="8" t="s">
        <v>154</v>
      </c>
      <c r="H16" s="8" t="s">
        <v>155</v>
      </c>
      <c r="I16" s="8"/>
      <c r="J16" s="8"/>
      <c r="K16" s="8"/>
      <c r="L16" s="12" t="s">
        <v>275</v>
      </c>
      <c r="M16" s="12" t="s">
        <v>276</v>
      </c>
      <c r="N16" s="16" t="s">
        <v>277</v>
      </c>
      <c r="O16" s="8" t="s">
        <v>213</v>
      </c>
      <c r="P16" s="8"/>
      <c r="Q16" s="8" t="s">
        <v>195</v>
      </c>
      <c r="R16" s="8" t="s">
        <v>196</v>
      </c>
      <c r="S16" s="14" t="s">
        <v>278</v>
      </c>
      <c r="T16" s="14" t="s">
        <v>279</v>
      </c>
      <c r="U16" s="14" t="s">
        <v>280</v>
      </c>
      <c r="V16" s="15" t="s">
        <v>281</v>
      </c>
    </row>
    <row r="17" spans="1:22" ht="156">
      <c r="A17" s="7">
        <f t="shared" si="0"/>
        <v>16</v>
      </c>
      <c r="B17" s="8" t="s">
        <v>282</v>
      </c>
      <c r="C17" s="9">
        <v>46132</v>
      </c>
      <c r="D17" s="10">
        <v>2026</v>
      </c>
      <c r="E17" s="10">
        <v>4</v>
      </c>
      <c r="F17" s="10">
        <v>0</v>
      </c>
      <c r="G17" s="8" t="s">
        <v>154</v>
      </c>
      <c r="H17" s="8" t="s">
        <v>283</v>
      </c>
      <c r="I17" s="8"/>
      <c r="J17" s="8"/>
      <c r="K17" s="8"/>
      <c r="L17" s="8" t="s">
        <v>284</v>
      </c>
      <c r="M17" s="8" t="s">
        <v>285</v>
      </c>
      <c r="N17" s="16" t="s">
        <v>286</v>
      </c>
      <c r="O17" s="8" t="s">
        <v>3621</v>
      </c>
      <c r="P17" s="8"/>
      <c r="Q17" s="8" t="s">
        <v>195</v>
      </c>
      <c r="R17" s="8" t="s">
        <v>196</v>
      </c>
      <c r="S17" s="19" t="s">
        <v>287</v>
      </c>
      <c r="T17" s="14" t="s">
        <v>288</v>
      </c>
      <c r="U17" s="14" t="s">
        <v>289</v>
      </c>
      <c r="V17" s="15" t="s">
        <v>290</v>
      </c>
    </row>
  </sheetData>
  <phoneticPr fontId="4" type="noConversion"/>
  <hyperlinks>
    <hyperlink ref="V17" r:id="rId1" display="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xr:uid="{BE15C4E6-A632-41CD-B26E-F151D147EA8C}"/>
    <hyperlink ref="V16" r:id="rId2" display="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xr:uid="{7E409B73-6551-44BC-9037-51561D8B1891}"/>
    <hyperlink ref="V14" r:id="rId3"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A7C3FBCE-4006-4945-AA3A-EA9865E1280D}"/>
    <hyperlink ref="V15" r:id="rId4"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33A85A31-EA11-48B0-BE98-3D447696D2A8}"/>
    <hyperlink ref="V12" r:id="rId5"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6444189-2D19-4263-AA58-4E57FAD1EBDF}"/>
    <hyperlink ref="V13" r:id="rId6"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103F036-220A-475D-91DF-E08D21E20A4D}"/>
    <hyperlink ref="V11" r:id="rId7" display="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xr:uid="{F69B12AC-8752-4F7D-91BF-1791018C5CD5}"/>
    <hyperlink ref="V10" r:id="rId8" display="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xr:uid="{0F33F86F-32A4-4426-B1E4-0A822FF9F2B3}"/>
    <hyperlink ref="V9" r:id="rId9" display="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xr:uid="{AD7DDB5F-C837-4F7D-A3E1-3E7A082F2E2D}"/>
    <hyperlink ref="V8" r:id="rId10" display="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xr:uid="{473D81DF-37F9-4AF8-BAA2-2D8FF3235177}"/>
    <hyperlink ref="V7" r:id="rId11" display="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xr:uid="{9E5CDC53-4345-4943-87B7-5CE6EDC24605}"/>
    <hyperlink ref="V6" r:id="rId12" display="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xr:uid="{84B90EF3-5C2F-40FC-8855-016C1280163C}"/>
    <hyperlink ref="V5" r:id="rId13" display="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xr:uid="{577D5EA7-D5A3-42F5-A278-42C07A7400B0}"/>
    <hyperlink ref="V4" r:id="rId14" display="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xr:uid="{27A1D9A9-8C3C-4083-A502-25F628BD4F7C}"/>
    <hyperlink ref="V3" r:id="rId15" display="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xr:uid="{84171880-8FAD-4887-BCCB-102FAADA3A77}"/>
    <hyperlink ref="V2" r:id="rId16" display="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xr:uid="{FF6CFADF-0320-4510-9F4F-B52DDF4D29D5}"/>
  </hyperlink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workbookViewId="0">
      <pane ySplit="1" topLeftCell="A2" activePane="bottomLeft" state="frozen"/>
      <selection pane="bottomLeft" activeCell="E5" sqref="E5"/>
    </sheetView>
  </sheetViews>
  <sheetFormatPr defaultRowHeight="16.5"/>
  <cols>
    <col min="1" max="1" width="8" customWidth="1"/>
    <col min="2" max="2" width="16" customWidth="1"/>
    <col min="3" max="7" width="18.25" customWidth="1"/>
  </cols>
  <sheetData>
    <row r="1" spans="1:7" ht="26.1" customHeight="1">
      <c r="A1" s="3" t="s">
        <v>51</v>
      </c>
      <c r="B1" s="3" t="s">
        <v>72</v>
      </c>
      <c r="C1" s="3" t="s">
        <v>73</v>
      </c>
      <c r="D1" s="3" t="s">
        <v>2630</v>
      </c>
      <c r="E1" s="3" t="s">
        <v>2631</v>
      </c>
      <c r="F1" s="3" t="s">
        <v>74</v>
      </c>
      <c r="G1" s="3" t="s">
        <v>2632</v>
      </c>
    </row>
    <row r="2" spans="1:7">
      <c r="A2" s="4">
        <f t="shared" ref="A2:A28" si="0">ROW()-1</f>
        <v>1</v>
      </c>
      <c r="B2" s="5" t="s">
        <v>291</v>
      </c>
      <c r="C2" s="20">
        <v>71</v>
      </c>
      <c r="D2" s="21"/>
      <c r="E2" s="21"/>
      <c r="F2" s="21" t="s">
        <v>292</v>
      </c>
      <c r="G2" s="21"/>
    </row>
    <row r="3" spans="1:7">
      <c r="A3" s="4">
        <f t="shared" si="0"/>
        <v>2</v>
      </c>
      <c r="B3" s="5" t="s">
        <v>293</v>
      </c>
      <c r="C3" s="20">
        <v>85</v>
      </c>
      <c r="D3" s="21"/>
      <c r="E3" s="21"/>
      <c r="F3" s="21">
        <v>93.3</v>
      </c>
      <c r="G3" s="21"/>
    </row>
    <row r="4" spans="1:7">
      <c r="A4" s="4">
        <f t="shared" si="0"/>
        <v>3</v>
      </c>
      <c r="B4" s="5" t="s">
        <v>294</v>
      </c>
      <c r="C4" s="20">
        <v>100</v>
      </c>
      <c r="D4" s="21"/>
      <c r="E4" s="21"/>
      <c r="F4" s="21">
        <v>80.8</v>
      </c>
      <c r="G4" s="21"/>
    </row>
    <row r="5" spans="1:7">
      <c r="A5" s="4">
        <f t="shared" si="0"/>
        <v>4</v>
      </c>
      <c r="B5" s="5" t="s">
        <v>295</v>
      </c>
      <c r="C5" s="20">
        <v>93.5</v>
      </c>
      <c r="D5" s="21"/>
      <c r="E5" s="21"/>
      <c r="F5" s="21">
        <v>90.7</v>
      </c>
      <c r="G5" s="21"/>
    </row>
    <row r="6" spans="1:7">
      <c r="A6" s="4">
        <f t="shared" si="0"/>
        <v>5</v>
      </c>
      <c r="B6" s="5" t="s">
        <v>296</v>
      </c>
      <c r="C6" s="20">
        <v>94</v>
      </c>
      <c r="D6" s="21"/>
      <c r="E6" s="21"/>
      <c r="F6" s="21">
        <v>92.3</v>
      </c>
      <c r="G6" s="21"/>
    </row>
    <row r="7" spans="1:7">
      <c r="A7" s="4">
        <f t="shared" si="0"/>
        <v>6</v>
      </c>
      <c r="B7" s="5" t="s">
        <v>297</v>
      </c>
      <c r="C7" s="20">
        <v>74</v>
      </c>
      <c r="D7" s="21"/>
      <c r="E7" s="21"/>
      <c r="F7" s="21" t="s">
        <v>292</v>
      </c>
      <c r="G7" s="21"/>
    </row>
    <row r="8" spans="1:7">
      <c r="A8" s="4">
        <f t="shared" si="0"/>
        <v>7</v>
      </c>
      <c r="B8" s="5" t="s">
        <v>298</v>
      </c>
      <c r="C8" s="20">
        <v>91</v>
      </c>
      <c r="D8" s="21"/>
      <c r="E8" s="21"/>
      <c r="F8" s="21">
        <v>88.4</v>
      </c>
      <c r="G8" s="21"/>
    </row>
    <row r="9" spans="1:7">
      <c r="A9" s="4">
        <f t="shared" si="0"/>
        <v>8</v>
      </c>
      <c r="B9" s="5" t="s">
        <v>299</v>
      </c>
      <c r="C9" s="20">
        <v>91</v>
      </c>
      <c r="D9" s="21"/>
      <c r="E9" s="21"/>
      <c r="F9" s="21">
        <v>91.7</v>
      </c>
      <c r="G9" s="21"/>
    </row>
    <row r="10" spans="1:7">
      <c r="A10" s="4">
        <f t="shared" si="0"/>
        <v>9</v>
      </c>
      <c r="B10" s="5" t="s">
        <v>300</v>
      </c>
      <c r="C10" s="20">
        <v>100</v>
      </c>
      <c r="D10" s="21"/>
      <c r="E10" s="21"/>
      <c r="F10" s="21">
        <v>93.1</v>
      </c>
      <c r="G10" s="21"/>
    </row>
    <row r="11" spans="1:7">
      <c r="A11" s="4">
        <f t="shared" si="0"/>
        <v>10</v>
      </c>
      <c r="B11" s="5" t="s">
        <v>301</v>
      </c>
      <c r="C11" s="20">
        <v>74</v>
      </c>
      <c r="D11" s="21"/>
      <c r="E11" s="21"/>
      <c r="F11" s="21">
        <v>76.3</v>
      </c>
      <c r="G11" s="21"/>
    </row>
    <row r="12" spans="1:7">
      <c r="A12" s="4">
        <f t="shared" si="0"/>
        <v>11</v>
      </c>
      <c r="B12" s="5" t="s">
        <v>302</v>
      </c>
      <c r="C12" s="20">
        <v>89</v>
      </c>
      <c r="D12" s="21"/>
      <c r="E12" s="21"/>
      <c r="F12" s="21">
        <v>84.3</v>
      </c>
      <c r="G12" s="21"/>
    </row>
    <row r="13" spans="1:7">
      <c r="A13" s="4">
        <f t="shared" si="0"/>
        <v>12</v>
      </c>
      <c r="B13" s="5" t="s">
        <v>303</v>
      </c>
      <c r="C13" s="20">
        <v>98</v>
      </c>
      <c r="D13" s="21"/>
      <c r="E13" s="21"/>
      <c r="F13" s="21">
        <v>85.2</v>
      </c>
      <c r="G13" s="21"/>
    </row>
    <row r="14" spans="1:7">
      <c r="A14" s="4">
        <f t="shared" si="0"/>
        <v>13</v>
      </c>
      <c r="B14" s="5" t="s">
        <v>304</v>
      </c>
      <c r="C14" s="20">
        <v>100</v>
      </c>
      <c r="D14" s="21"/>
      <c r="E14" s="21"/>
      <c r="F14" s="21">
        <v>92.4</v>
      </c>
      <c r="G14" s="21"/>
    </row>
    <row r="15" spans="1:7">
      <c r="A15" s="4">
        <f t="shared" si="0"/>
        <v>14</v>
      </c>
      <c r="B15" s="5" t="s">
        <v>305</v>
      </c>
      <c r="C15" s="20">
        <v>95.5</v>
      </c>
      <c r="D15" s="21"/>
      <c r="E15" s="21"/>
      <c r="F15" s="21">
        <v>82.1</v>
      </c>
      <c r="G15" s="21"/>
    </row>
    <row r="16" spans="1:7">
      <c r="A16" s="4">
        <f t="shared" si="0"/>
        <v>15</v>
      </c>
      <c r="B16" s="5" t="s">
        <v>306</v>
      </c>
      <c r="C16" s="20">
        <v>74</v>
      </c>
      <c r="D16" s="21"/>
      <c r="E16" s="21"/>
      <c r="F16" s="21">
        <v>71.400000000000006</v>
      </c>
      <c r="G16" s="21"/>
    </row>
    <row r="17" spans="1:7">
      <c r="A17" s="4">
        <f t="shared" si="0"/>
        <v>16</v>
      </c>
      <c r="B17" s="5" t="s">
        <v>307</v>
      </c>
      <c r="C17" s="20">
        <v>80</v>
      </c>
      <c r="D17" s="21"/>
      <c r="E17" s="21"/>
      <c r="F17" s="21">
        <v>81.900000000000006</v>
      </c>
      <c r="G17" s="21"/>
    </row>
    <row r="18" spans="1:7">
      <c r="A18" s="4">
        <f t="shared" si="0"/>
        <v>17</v>
      </c>
      <c r="B18" s="5" t="s">
        <v>308</v>
      </c>
      <c r="C18" s="20">
        <v>98</v>
      </c>
      <c r="D18" s="21"/>
      <c r="E18" s="21"/>
      <c r="F18" s="21">
        <v>79.3</v>
      </c>
      <c r="G18" s="21"/>
    </row>
    <row r="19" spans="1:7">
      <c r="A19" s="4">
        <f t="shared" si="0"/>
        <v>18</v>
      </c>
      <c r="B19" s="5" t="s">
        <v>309</v>
      </c>
      <c r="C19" s="20">
        <v>98</v>
      </c>
      <c r="D19" s="21"/>
      <c r="E19" s="21"/>
      <c r="F19" s="21">
        <v>81.900000000000006</v>
      </c>
      <c r="G19" s="21"/>
    </row>
    <row r="20" spans="1:7">
      <c r="A20" s="4">
        <f t="shared" si="0"/>
        <v>19</v>
      </c>
      <c r="B20" s="5" t="s">
        <v>310</v>
      </c>
      <c r="C20" s="20">
        <v>100</v>
      </c>
      <c r="D20" s="21"/>
      <c r="E20" s="21"/>
      <c r="F20" s="21" t="s">
        <v>292</v>
      </c>
      <c r="G20" s="21"/>
    </row>
    <row r="21" spans="1:7">
      <c r="A21" s="4">
        <f t="shared" si="0"/>
        <v>20</v>
      </c>
      <c r="B21" s="5" t="s">
        <v>311</v>
      </c>
      <c r="C21" s="20">
        <v>85</v>
      </c>
      <c r="D21" s="21"/>
      <c r="E21" s="21"/>
      <c r="F21" s="21" t="s">
        <v>292</v>
      </c>
      <c r="G21" s="21"/>
    </row>
    <row r="22" spans="1:7">
      <c r="A22" s="4">
        <f t="shared" si="0"/>
        <v>21</v>
      </c>
      <c r="B22" s="5" t="s">
        <v>312</v>
      </c>
      <c r="C22" s="20">
        <v>83</v>
      </c>
      <c r="D22" s="21"/>
      <c r="E22" s="21"/>
      <c r="F22" s="21">
        <v>75.2</v>
      </c>
      <c r="G22" s="21"/>
    </row>
    <row r="23" spans="1:7">
      <c r="A23" s="4">
        <f t="shared" si="0"/>
        <v>22</v>
      </c>
      <c r="B23" s="5" t="s">
        <v>313</v>
      </c>
      <c r="C23" s="20">
        <v>100</v>
      </c>
      <c r="D23" s="21"/>
      <c r="E23" s="21"/>
      <c r="F23" s="21" t="s">
        <v>292</v>
      </c>
      <c r="G23" s="21"/>
    </row>
    <row r="24" spans="1:7">
      <c r="A24" s="4">
        <f t="shared" si="0"/>
        <v>23</v>
      </c>
      <c r="B24" s="5" t="s">
        <v>314</v>
      </c>
      <c r="C24" s="20">
        <v>94</v>
      </c>
      <c r="D24" s="21"/>
      <c r="E24" s="21"/>
      <c r="F24" s="21" t="s">
        <v>292</v>
      </c>
      <c r="G24" s="21"/>
    </row>
    <row r="25" spans="1:7">
      <c r="A25" s="4">
        <f t="shared" si="0"/>
        <v>24</v>
      </c>
      <c r="B25" s="5" t="s">
        <v>315</v>
      </c>
      <c r="C25" s="20">
        <v>96.5</v>
      </c>
      <c r="D25" s="21"/>
      <c r="E25" s="21"/>
      <c r="F25" s="21" t="s">
        <v>292</v>
      </c>
      <c r="G25" s="21"/>
    </row>
    <row r="26" spans="1:7">
      <c r="A26" s="4">
        <f t="shared" si="0"/>
        <v>25</v>
      </c>
      <c r="B26" s="5" t="s">
        <v>316</v>
      </c>
      <c r="C26" s="20">
        <v>89</v>
      </c>
      <c r="D26" s="21"/>
      <c r="E26" s="21"/>
      <c r="F26" s="21" t="s">
        <v>292</v>
      </c>
      <c r="G26" s="21"/>
    </row>
    <row r="27" spans="1:7">
      <c r="A27" s="4">
        <f t="shared" si="0"/>
        <v>26</v>
      </c>
      <c r="B27" s="5" t="s">
        <v>317</v>
      </c>
      <c r="C27" s="20">
        <v>80</v>
      </c>
      <c r="D27" s="21"/>
      <c r="E27" s="21"/>
      <c r="F27" s="21" t="s">
        <v>292</v>
      </c>
      <c r="G27" s="21"/>
    </row>
    <row r="28" spans="1:7">
      <c r="A28" s="4">
        <f t="shared" si="0"/>
        <v>27</v>
      </c>
      <c r="B28" s="5" t="s">
        <v>318</v>
      </c>
      <c r="C28" s="20">
        <v>94</v>
      </c>
      <c r="D28" s="21"/>
      <c r="E28" s="21"/>
      <c r="F28" s="21" t="s">
        <v>292</v>
      </c>
      <c r="G28" s="21"/>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workbookViewId="0">
      <pane ySplit="1" topLeftCell="A2" activePane="bottomLeft" state="frozen"/>
      <selection pane="bottomLeft" activeCell="H5" sqref="H5"/>
    </sheetView>
  </sheetViews>
  <sheetFormatPr defaultRowHeight="16.5"/>
  <cols>
    <col min="1" max="1" width="16" customWidth="1"/>
    <col min="2" max="2" width="20" bestFit="1" customWidth="1"/>
    <col min="3" max="10" width="16" customWidth="1"/>
  </cols>
  <sheetData>
    <row r="1" spans="1:10" ht="26.1" customHeight="1">
      <c r="A1" s="3" t="s">
        <v>26</v>
      </c>
      <c r="B1" s="3" t="s">
        <v>34</v>
      </c>
      <c r="C1" s="3" t="s">
        <v>75</v>
      </c>
      <c r="D1" s="3" t="s">
        <v>76</v>
      </c>
      <c r="E1" s="3" t="s">
        <v>77</v>
      </c>
      <c r="F1" s="3" t="s">
        <v>78</v>
      </c>
      <c r="G1" s="3" t="s">
        <v>79</v>
      </c>
      <c r="H1" s="3" t="s">
        <v>80</v>
      </c>
      <c r="I1" s="3" t="s">
        <v>81</v>
      </c>
      <c r="J1" s="3" t="s">
        <v>82</v>
      </c>
    </row>
    <row r="2" spans="1:10">
      <c r="A2" s="4" t="s">
        <v>108</v>
      </c>
      <c r="B2" s="4" t="s">
        <v>111</v>
      </c>
      <c r="C2" s="5">
        <v>12511157</v>
      </c>
      <c r="D2" s="5">
        <v>12511157</v>
      </c>
      <c r="E2" s="5">
        <f>SUMIF(TPA_월별대금청구현황!$B$2:$B$2009,TPA_집행현황!$A2,TPA_월별대금청구현황!$E$2:$E$2009)</f>
        <v>12499872.150000004</v>
      </c>
      <c r="F2" s="5"/>
      <c r="G2" s="5"/>
      <c r="H2" s="5"/>
      <c r="I2" s="22">
        <f>E2/C2</f>
        <v>0.99909801707388091</v>
      </c>
      <c r="J2" s="22">
        <f>E2/D2</f>
        <v>0.99909801707388091</v>
      </c>
    </row>
    <row r="3" spans="1:10">
      <c r="A3" s="4" t="s">
        <v>112</v>
      </c>
      <c r="B3" s="4" t="s">
        <v>115</v>
      </c>
      <c r="C3" s="5">
        <v>9017286</v>
      </c>
      <c r="D3" s="5">
        <v>9017286</v>
      </c>
      <c r="E3" s="5">
        <f>SUMIF(TPA_월별대금청구현황!$B$2:$B$2009,TPA_집행현황!$A3,TPA_월별대금청구현황!$E$2:$E$2009)</f>
        <v>8978506.1700000037</v>
      </c>
      <c r="F3" s="5"/>
      <c r="G3" s="5"/>
      <c r="H3" s="5"/>
      <c r="I3" s="22">
        <f t="shared" ref="I3:I11" si="0">E3/C3</f>
        <v>0.9956993900382004</v>
      </c>
      <c r="J3" s="22">
        <f t="shared" ref="J3:J4" si="1">E3/D3</f>
        <v>0.9956993900382004</v>
      </c>
    </row>
    <row r="4" spans="1:10">
      <c r="A4" s="4" t="s">
        <v>116</v>
      </c>
      <c r="B4" s="4" t="s">
        <v>111</v>
      </c>
      <c r="C4" s="5">
        <v>4024396</v>
      </c>
      <c r="D4" s="5">
        <v>2886653.24</v>
      </c>
      <c r="E4" s="5">
        <f>SUMIF(TPA_월별대금청구현황!$B$2:$B$2009,TPA_집행현황!$A4,TPA_월별대금청구현황!$E$2:$E$2009)</f>
        <v>2588452.4499999997</v>
      </c>
      <c r="F4" s="5"/>
      <c r="G4" s="5"/>
      <c r="H4" s="5"/>
      <c r="I4" s="22">
        <f t="shared" si="0"/>
        <v>0.64319029489145696</v>
      </c>
      <c r="J4" s="22">
        <f t="shared" si="1"/>
        <v>0.89669670542070357</v>
      </c>
    </row>
    <row r="5" spans="1:10">
      <c r="A5" s="4" t="s">
        <v>119</v>
      </c>
      <c r="B5" s="4" t="s">
        <v>115</v>
      </c>
      <c r="C5" s="5"/>
      <c r="D5" s="5"/>
      <c r="E5" s="5"/>
      <c r="F5" s="5">
        <v>3442862995</v>
      </c>
      <c r="G5" s="5">
        <v>3384427737</v>
      </c>
      <c r="H5" s="5">
        <f>SUMIF(TPA_월별대금청구현황!$B$2:$B$2009,TPA_집행현황!$A5,TPA_월별대금청구현황!$E$2:$E$2009)</f>
        <v>2646671496.1739254</v>
      </c>
      <c r="I5" s="22">
        <f>H5/F5</f>
        <v>0.7687414515238139</v>
      </c>
      <c r="J5" s="22">
        <f>H5/G5</f>
        <v>0.78201447980093941</v>
      </c>
    </row>
    <row r="6" spans="1:10">
      <c r="A6" s="4" t="s">
        <v>123</v>
      </c>
      <c r="B6" s="4" t="s">
        <v>115</v>
      </c>
      <c r="C6" s="5">
        <v>766265</v>
      </c>
      <c r="D6" s="5">
        <v>766265</v>
      </c>
      <c r="E6" s="5">
        <f>SUMIF(TPA_월별대금청구현황!$B$2:$B$2009,TPA_집행현황!$A6,TPA_월별대금청구현황!$E$2:$E$2009)</f>
        <v>410205.19999999995</v>
      </c>
      <c r="F6" s="5"/>
      <c r="G6" s="5"/>
      <c r="H6" s="5"/>
      <c r="I6" s="22">
        <f t="shared" si="0"/>
        <v>0.53533072762034017</v>
      </c>
      <c r="J6" s="22">
        <f t="shared" ref="J6:J9" si="2">E6/D6</f>
        <v>0.53533072762034017</v>
      </c>
    </row>
    <row r="7" spans="1:10">
      <c r="A7" s="4" t="s">
        <v>127</v>
      </c>
      <c r="B7" s="4" t="s">
        <v>115</v>
      </c>
      <c r="C7" s="5">
        <v>375828</v>
      </c>
      <c r="D7" s="5">
        <v>228937</v>
      </c>
      <c r="E7" s="5">
        <f>SUMIF(TPA_월별대금청구현황!$B$2:$B$2009,TPA_집행현황!$A7,TPA_월별대금청구현황!$E$2:$E$2009)</f>
        <v>203612.28000000003</v>
      </c>
      <c r="F7" s="5"/>
      <c r="G7" s="5"/>
      <c r="H7" s="5"/>
      <c r="I7" s="22">
        <f t="shared" si="0"/>
        <v>0.5417698521664166</v>
      </c>
      <c r="J7" s="22">
        <f t="shared" si="2"/>
        <v>0.88938127082996643</v>
      </c>
    </row>
    <row r="8" spans="1:10">
      <c r="A8" s="4" t="s">
        <v>130</v>
      </c>
      <c r="B8" s="4" t="s">
        <v>115</v>
      </c>
      <c r="C8" s="5">
        <v>8945512</v>
      </c>
      <c r="D8" s="5">
        <f>6660845.4+801807.6</f>
        <v>7462653</v>
      </c>
      <c r="E8" s="5">
        <f>SUMIF(TPA_월별대금청구현황!$B$2:$B$2009,TPA_집행현황!$A8,TPA_월별대금청구현황!$E$2:$E$2009)</f>
        <v>6714860.049999998</v>
      </c>
      <c r="F8" s="5"/>
      <c r="G8" s="5"/>
      <c r="H8" s="5"/>
      <c r="I8" s="22">
        <f t="shared" si="0"/>
        <v>0.75064010310421558</v>
      </c>
      <c r="J8" s="22">
        <f t="shared" si="2"/>
        <v>0.89979529397923208</v>
      </c>
    </row>
    <row r="9" spans="1:10">
      <c r="A9" s="4" t="s">
        <v>134</v>
      </c>
      <c r="B9" s="4" t="s">
        <v>115</v>
      </c>
      <c r="C9" s="5">
        <v>4791851</v>
      </c>
      <c r="D9" s="5">
        <f>3590000+60000</f>
        <v>3650000</v>
      </c>
      <c r="E9" s="5">
        <f>SUMIF(TPA_월별대금청구현황!$B$2:$B$2009,TPA_집행현황!$A9,TPA_월별대금청구현황!$E$2:$E$2009)</f>
        <v>2747125.6599999988</v>
      </c>
      <c r="F9" s="5"/>
      <c r="G9" s="5"/>
      <c r="H9" s="5"/>
      <c r="I9" s="22">
        <f t="shared" si="0"/>
        <v>0.57329112695699402</v>
      </c>
      <c r="J9" s="22">
        <f t="shared" si="2"/>
        <v>0.75263716712328732</v>
      </c>
    </row>
    <row r="10" spans="1:10">
      <c r="A10" s="4" t="s">
        <v>137</v>
      </c>
      <c r="B10" s="4" t="s">
        <v>115</v>
      </c>
      <c r="C10" s="5">
        <v>5960701</v>
      </c>
      <c r="D10" s="5" t="s">
        <v>150</v>
      </c>
      <c r="E10" s="5"/>
      <c r="F10" s="5"/>
      <c r="G10" s="5"/>
      <c r="H10" s="5"/>
      <c r="I10" s="22">
        <f t="shared" si="0"/>
        <v>0</v>
      </c>
      <c r="J10" s="22" t="s">
        <v>319</v>
      </c>
    </row>
    <row r="11" spans="1:10">
      <c r="A11" s="4" t="s">
        <v>141</v>
      </c>
      <c r="B11" s="4" t="s">
        <v>115</v>
      </c>
      <c r="C11" s="5">
        <v>1875089</v>
      </c>
      <c r="D11" s="5" t="s">
        <v>150</v>
      </c>
      <c r="E11" s="5"/>
      <c r="F11" s="5"/>
      <c r="G11" s="5"/>
      <c r="H11" s="5"/>
      <c r="I11" s="22">
        <f t="shared" si="0"/>
        <v>0</v>
      </c>
      <c r="J11" s="22" t="s">
        <v>319</v>
      </c>
    </row>
    <row r="12" spans="1:10">
      <c r="A12" s="4" t="s">
        <v>145</v>
      </c>
      <c r="B12" s="4" t="s">
        <v>148</v>
      </c>
      <c r="C12" s="5" t="s">
        <v>150</v>
      </c>
      <c r="D12" s="5" t="s">
        <v>150</v>
      </c>
      <c r="E12" s="5"/>
      <c r="F12" s="5"/>
      <c r="G12" s="5"/>
      <c r="H12" s="5"/>
      <c r="I12" s="22" t="s">
        <v>319</v>
      </c>
      <c r="J12" s="22" t="s">
        <v>319</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09"/>
  <sheetViews>
    <sheetView workbookViewId="0">
      <pane ySplit="1" topLeftCell="A764" activePane="bottomLeft" state="frozen"/>
      <selection pane="bottomLeft" activeCell="B768" sqref="B768"/>
    </sheetView>
  </sheetViews>
  <sheetFormatPr defaultRowHeight="16.5"/>
  <cols>
    <col min="1" max="1" width="8" customWidth="1"/>
    <col min="2" max="6" width="16" customWidth="1"/>
  </cols>
  <sheetData>
    <row r="1" spans="1:6" ht="26.1" customHeight="1">
      <c r="A1" s="3" t="s">
        <v>51</v>
      </c>
      <c r="B1" s="3" t="s">
        <v>26</v>
      </c>
      <c r="C1" s="3" t="s">
        <v>72</v>
      </c>
      <c r="D1" s="3" t="s">
        <v>83</v>
      </c>
      <c r="E1" s="3" t="s">
        <v>84</v>
      </c>
      <c r="F1" s="3" t="s">
        <v>85</v>
      </c>
    </row>
    <row r="2" spans="1:6">
      <c r="A2" s="4">
        <f t="shared" ref="A2:A74" si="0">ROW()-1</f>
        <v>1</v>
      </c>
      <c r="B2" s="4"/>
      <c r="C2" s="5"/>
      <c r="D2" s="23"/>
      <c r="E2" s="24"/>
      <c r="F2" s="5"/>
    </row>
    <row r="3" spans="1:6">
      <c r="A3" s="4">
        <f t="shared" si="0"/>
        <v>2</v>
      </c>
      <c r="B3" s="4"/>
      <c r="C3" s="5"/>
      <c r="D3" s="23"/>
      <c r="E3" s="24"/>
      <c r="F3" s="5"/>
    </row>
    <row r="4" spans="1:6">
      <c r="A4" s="4">
        <f t="shared" si="0"/>
        <v>3</v>
      </c>
      <c r="B4" s="4" t="s">
        <v>322</v>
      </c>
      <c r="C4" s="5" t="s">
        <v>299</v>
      </c>
      <c r="D4" s="23">
        <v>46113</v>
      </c>
      <c r="E4" s="24">
        <v>36355</v>
      </c>
      <c r="F4" s="5" t="s">
        <v>321</v>
      </c>
    </row>
    <row r="5" spans="1:6">
      <c r="A5" s="4">
        <f t="shared" si="0"/>
        <v>4</v>
      </c>
      <c r="B5" s="4" t="s">
        <v>329</v>
      </c>
      <c r="C5" s="5" t="s">
        <v>296</v>
      </c>
      <c r="D5" s="23">
        <v>46113</v>
      </c>
      <c r="E5" s="24">
        <v>188</v>
      </c>
      <c r="F5" s="5" t="s">
        <v>2633</v>
      </c>
    </row>
    <row r="6" spans="1:6">
      <c r="A6" s="4">
        <f t="shared" si="0"/>
        <v>5</v>
      </c>
      <c r="B6" s="4" t="s">
        <v>327</v>
      </c>
      <c r="C6" s="5" t="s">
        <v>303</v>
      </c>
      <c r="D6" s="23">
        <v>46113</v>
      </c>
      <c r="E6" s="5">
        <v>237000</v>
      </c>
      <c r="F6" s="5" t="s">
        <v>328</v>
      </c>
    </row>
    <row r="7" spans="1:6">
      <c r="A7" s="4">
        <f t="shared" si="0"/>
        <v>6</v>
      </c>
      <c r="B7" s="4" t="s">
        <v>327</v>
      </c>
      <c r="C7" s="5" t="s">
        <v>293</v>
      </c>
      <c r="D7" s="23">
        <v>46113</v>
      </c>
      <c r="E7" s="5">
        <v>12694676</v>
      </c>
      <c r="F7" s="5" t="s">
        <v>328</v>
      </c>
    </row>
    <row r="8" spans="1:6">
      <c r="A8" s="4">
        <f t="shared" si="0"/>
        <v>7</v>
      </c>
      <c r="B8" s="4" t="s">
        <v>327</v>
      </c>
      <c r="C8" s="5" t="s">
        <v>2635</v>
      </c>
      <c r="D8" s="23">
        <v>46113</v>
      </c>
      <c r="E8" s="5">
        <v>129437262</v>
      </c>
      <c r="F8" s="5" t="s">
        <v>328</v>
      </c>
    </row>
    <row r="9" spans="1:6">
      <c r="A9" s="4">
        <f t="shared" si="0"/>
        <v>8</v>
      </c>
      <c r="B9" s="4" t="s">
        <v>130</v>
      </c>
      <c r="C9" s="5" t="s">
        <v>2635</v>
      </c>
      <c r="D9" s="23">
        <v>46113</v>
      </c>
      <c r="E9" s="24">
        <v>49502.3</v>
      </c>
      <c r="F9" s="5" t="s">
        <v>2633</v>
      </c>
    </row>
    <row r="10" spans="1:6">
      <c r="A10" s="4">
        <f t="shared" si="0"/>
        <v>9</v>
      </c>
      <c r="B10" s="4" t="s">
        <v>130</v>
      </c>
      <c r="C10" s="5" t="s">
        <v>2636</v>
      </c>
      <c r="D10" s="23">
        <v>46113</v>
      </c>
      <c r="E10" s="24">
        <v>111120.56</v>
      </c>
      <c r="F10" s="5" t="s">
        <v>2633</v>
      </c>
    </row>
    <row r="11" spans="1:6">
      <c r="A11" s="4">
        <f t="shared" si="0"/>
        <v>10</v>
      </c>
      <c r="B11" s="4" t="s">
        <v>130</v>
      </c>
      <c r="C11" s="5" t="s">
        <v>304</v>
      </c>
      <c r="D11" s="23">
        <v>46113</v>
      </c>
      <c r="E11" s="24">
        <v>22723.67</v>
      </c>
      <c r="F11" s="5" t="s">
        <v>2633</v>
      </c>
    </row>
    <row r="12" spans="1:6">
      <c r="A12" s="4">
        <f t="shared" si="0"/>
        <v>11</v>
      </c>
      <c r="B12" s="4" t="s">
        <v>130</v>
      </c>
      <c r="C12" s="5" t="s">
        <v>2634</v>
      </c>
      <c r="D12" s="23">
        <v>46113</v>
      </c>
      <c r="E12" s="24">
        <v>83403.179999999993</v>
      </c>
      <c r="F12" s="5" t="s">
        <v>2633</v>
      </c>
    </row>
    <row r="13" spans="1:6">
      <c r="A13" s="4">
        <f t="shared" si="0"/>
        <v>12</v>
      </c>
      <c r="B13" s="4" t="s">
        <v>130</v>
      </c>
      <c r="C13" s="5" t="s">
        <v>307</v>
      </c>
      <c r="D13" s="23">
        <v>46113</v>
      </c>
      <c r="E13" s="24">
        <v>59880</v>
      </c>
      <c r="F13" s="5" t="s">
        <v>2633</v>
      </c>
    </row>
    <row r="14" spans="1:6">
      <c r="A14" s="4">
        <f t="shared" si="0"/>
        <v>13</v>
      </c>
      <c r="B14" s="4" t="s">
        <v>130</v>
      </c>
      <c r="C14" s="5" t="s">
        <v>2637</v>
      </c>
      <c r="D14" s="23">
        <v>46113</v>
      </c>
      <c r="E14" s="24">
        <v>45544.28</v>
      </c>
      <c r="F14" s="5" t="s">
        <v>2633</v>
      </c>
    </row>
    <row r="15" spans="1:6">
      <c r="A15" s="4">
        <f t="shared" si="0"/>
        <v>14</v>
      </c>
      <c r="B15" s="4" t="s">
        <v>130</v>
      </c>
      <c r="C15" s="5" t="s">
        <v>2638</v>
      </c>
      <c r="D15" s="23">
        <v>46113</v>
      </c>
      <c r="E15" s="24">
        <v>30876.25</v>
      </c>
      <c r="F15" s="5" t="s">
        <v>2633</v>
      </c>
    </row>
    <row r="16" spans="1:6">
      <c r="A16" s="4">
        <f t="shared" si="0"/>
        <v>15</v>
      </c>
      <c r="B16" s="4" t="s">
        <v>112</v>
      </c>
      <c r="C16" s="5" t="s">
        <v>304</v>
      </c>
      <c r="D16" s="23">
        <v>46113</v>
      </c>
      <c r="E16" s="24">
        <v>7511.24</v>
      </c>
      <c r="F16" s="5" t="s">
        <v>2633</v>
      </c>
    </row>
    <row r="17" spans="1:6">
      <c r="A17" s="4">
        <f t="shared" si="0"/>
        <v>16</v>
      </c>
      <c r="B17" s="4" t="s">
        <v>112</v>
      </c>
      <c r="C17" s="5" t="s">
        <v>2634</v>
      </c>
      <c r="D17" s="23">
        <v>46113</v>
      </c>
      <c r="E17" s="24">
        <v>7767.86</v>
      </c>
      <c r="F17" s="5" t="s">
        <v>2633</v>
      </c>
    </row>
    <row r="18" spans="1:6">
      <c r="A18" s="4">
        <f t="shared" si="0"/>
        <v>17</v>
      </c>
      <c r="B18" s="4" t="s">
        <v>134</v>
      </c>
      <c r="C18" s="5" t="s">
        <v>2639</v>
      </c>
      <c r="D18" s="23">
        <v>46113</v>
      </c>
      <c r="E18" s="24">
        <v>5444</v>
      </c>
      <c r="F18" s="5" t="s">
        <v>2633</v>
      </c>
    </row>
    <row r="19" spans="1:6">
      <c r="A19" s="4">
        <f t="shared" si="0"/>
        <v>18</v>
      </c>
      <c r="B19" s="4" t="s">
        <v>134</v>
      </c>
      <c r="C19" s="5" t="s">
        <v>2634</v>
      </c>
      <c r="D19" s="23">
        <v>46113</v>
      </c>
      <c r="E19" s="24">
        <v>139313.12</v>
      </c>
      <c r="F19" s="5" t="s">
        <v>2633</v>
      </c>
    </row>
    <row r="20" spans="1:6">
      <c r="A20" s="4">
        <f t="shared" si="0"/>
        <v>19</v>
      </c>
      <c r="B20" s="4" t="s">
        <v>134</v>
      </c>
      <c r="C20" s="5" t="s">
        <v>2635</v>
      </c>
      <c r="D20" s="23">
        <v>46113</v>
      </c>
      <c r="E20" s="24">
        <v>87235.7</v>
      </c>
      <c r="F20" s="5" t="s">
        <v>2633</v>
      </c>
    </row>
    <row r="21" spans="1:6">
      <c r="A21" s="4">
        <f t="shared" si="0"/>
        <v>20</v>
      </c>
      <c r="B21" s="4" t="s">
        <v>134</v>
      </c>
      <c r="C21" s="5" t="s">
        <v>2636</v>
      </c>
      <c r="D21" s="23">
        <v>46113</v>
      </c>
      <c r="E21" s="24">
        <v>28492</v>
      </c>
      <c r="F21" s="5" t="s">
        <v>2633</v>
      </c>
    </row>
    <row r="22" spans="1:6">
      <c r="A22" s="4">
        <f t="shared" si="0"/>
        <v>21</v>
      </c>
      <c r="B22" s="4" t="s">
        <v>134</v>
      </c>
      <c r="C22" s="5" t="s">
        <v>307</v>
      </c>
      <c r="D22" s="23">
        <v>46113</v>
      </c>
      <c r="E22" s="24">
        <v>150956</v>
      </c>
      <c r="F22" s="5" t="s">
        <v>2633</v>
      </c>
    </row>
    <row r="23" spans="1:6">
      <c r="A23" s="4">
        <f t="shared" si="0"/>
        <v>22</v>
      </c>
      <c r="B23" s="4" t="s">
        <v>134</v>
      </c>
      <c r="C23" s="5" t="s">
        <v>312</v>
      </c>
      <c r="D23" s="23">
        <v>46113</v>
      </c>
      <c r="E23" s="24">
        <v>58370</v>
      </c>
      <c r="F23" s="5" t="s">
        <v>2633</v>
      </c>
    </row>
    <row r="24" spans="1:6">
      <c r="A24" s="4">
        <f t="shared" si="0"/>
        <v>23</v>
      </c>
      <c r="B24" s="4" t="s">
        <v>134</v>
      </c>
      <c r="C24" s="5" t="s">
        <v>2638</v>
      </c>
      <c r="D24" s="23">
        <v>46113</v>
      </c>
      <c r="E24" s="24">
        <v>772</v>
      </c>
      <c r="F24" s="5" t="s">
        <v>2633</v>
      </c>
    </row>
    <row r="25" spans="1:6">
      <c r="A25" s="4">
        <f t="shared" si="0"/>
        <v>24</v>
      </c>
      <c r="B25" s="4" t="s">
        <v>116</v>
      </c>
      <c r="C25" s="5" t="s">
        <v>2640</v>
      </c>
      <c r="D25" s="23">
        <v>46113</v>
      </c>
      <c r="E25" s="24">
        <v>172</v>
      </c>
      <c r="F25" s="5" t="s">
        <v>2633</v>
      </c>
    </row>
    <row r="26" spans="1:6">
      <c r="A26" s="4">
        <f t="shared" si="0"/>
        <v>25</v>
      </c>
      <c r="B26" s="4" t="s">
        <v>320</v>
      </c>
      <c r="C26" s="5" t="s">
        <v>295</v>
      </c>
      <c r="D26" s="23">
        <v>46112</v>
      </c>
      <c r="E26" s="24">
        <v>840</v>
      </c>
      <c r="F26" s="5" t="s">
        <v>321</v>
      </c>
    </row>
    <row r="27" spans="1:6">
      <c r="A27" s="4">
        <f t="shared" si="0"/>
        <v>26</v>
      </c>
      <c r="B27" s="4" t="s">
        <v>320</v>
      </c>
      <c r="C27" s="5" t="s">
        <v>300</v>
      </c>
      <c r="D27" s="23">
        <v>46112</v>
      </c>
      <c r="E27" s="24">
        <v>111446</v>
      </c>
      <c r="F27" s="5" t="s">
        <v>321</v>
      </c>
    </row>
    <row r="28" spans="1:6">
      <c r="A28" s="4">
        <f t="shared" si="0"/>
        <v>27</v>
      </c>
      <c r="B28" s="4" t="s">
        <v>320</v>
      </c>
      <c r="C28" s="5" t="s">
        <v>299</v>
      </c>
      <c r="D28" s="23">
        <v>46112</v>
      </c>
      <c r="E28" s="24">
        <v>155310.96</v>
      </c>
      <c r="F28" s="5" t="s">
        <v>321</v>
      </c>
    </row>
    <row r="29" spans="1:6">
      <c r="A29" s="4">
        <f t="shared" si="0"/>
        <v>28</v>
      </c>
      <c r="B29" s="4" t="s">
        <v>320</v>
      </c>
      <c r="C29" s="5" t="s">
        <v>304</v>
      </c>
      <c r="D29" s="23">
        <v>46112</v>
      </c>
      <c r="E29" s="24">
        <v>3760</v>
      </c>
      <c r="F29" s="5" t="s">
        <v>321</v>
      </c>
    </row>
    <row r="30" spans="1:6">
      <c r="A30" s="4">
        <f t="shared" si="0"/>
        <v>29</v>
      </c>
      <c r="B30" s="4" t="s">
        <v>320</v>
      </c>
      <c r="C30" s="5" t="s">
        <v>312</v>
      </c>
      <c r="D30" s="23">
        <v>46112</v>
      </c>
      <c r="E30" s="24">
        <v>46262.5</v>
      </c>
      <c r="F30" s="5" t="s">
        <v>321</v>
      </c>
    </row>
    <row r="31" spans="1:6">
      <c r="A31" s="4">
        <f t="shared" si="0"/>
        <v>30</v>
      </c>
      <c r="B31" s="4" t="s">
        <v>322</v>
      </c>
      <c r="C31" s="5" t="s">
        <v>299</v>
      </c>
      <c r="D31" s="23">
        <v>46083</v>
      </c>
      <c r="E31" s="24">
        <v>33400</v>
      </c>
      <c r="F31" s="5" t="s">
        <v>321</v>
      </c>
    </row>
    <row r="32" spans="1:6">
      <c r="A32" s="4">
        <f t="shared" si="0"/>
        <v>31</v>
      </c>
      <c r="B32" s="4" t="s">
        <v>323</v>
      </c>
      <c r="C32" s="5" t="s">
        <v>295</v>
      </c>
      <c r="D32" s="23">
        <v>46082</v>
      </c>
      <c r="E32" s="24">
        <v>18660</v>
      </c>
      <c r="F32" s="5" t="s">
        <v>321</v>
      </c>
    </row>
    <row r="33" spans="1:6">
      <c r="A33" s="4">
        <f t="shared" si="0"/>
        <v>32</v>
      </c>
      <c r="B33" s="4" t="s">
        <v>324</v>
      </c>
      <c r="C33" s="5" t="s">
        <v>300</v>
      </c>
      <c r="D33" s="23">
        <v>46082</v>
      </c>
      <c r="E33" s="24">
        <v>1588.8</v>
      </c>
      <c r="F33" s="5" t="s">
        <v>321</v>
      </c>
    </row>
    <row r="34" spans="1:6">
      <c r="A34" s="4">
        <f t="shared" si="0"/>
        <v>33</v>
      </c>
      <c r="B34" s="4" t="s">
        <v>325</v>
      </c>
      <c r="C34" s="5" t="s">
        <v>299</v>
      </c>
      <c r="D34" s="23">
        <v>46082</v>
      </c>
      <c r="E34" s="24">
        <v>81830.100000000006</v>
      </c>
      <c r="F34" s="5" t="s">
        <v>321</v>
      </c>
    </row>
    <row r="35" spans="1:6">
      <c r="A35" s="4">
        <f t="shared" si="0"/>
        <v>34</v>
      </c>
      <c r="B35" s="4" t="s">
        <v>325</v>
      </c>
      <c r="C35" s="5" t="s">
        <v>308</v>
      </c>
      <c r="D35" s="23">
        <v>46082</v>
      </c>
      <c r="E35" s="24">
        <v>467149.15</v>
      </c>
      <c r="F35" s="5" t="s">
        <v>321</v>
      </c>
    </row>
    <row r="36" spans="1:6">
      <c r="A36" s="4">
        <f t="shared" si="0"/>
        <v>35</v>
      </c>
      <c r="B36" s="4" t="s">
        <v>325</v>
      </c>
      <c r="C36" s="5" t="s">
        <v>304</v>
      </c>
      <c r="D36" s="23">
        <v>46082</v>
      </c>
      <c r="E36" s="24">
        <v>79318.27</v>
      </c>
      <c r="F36" s="5" t="s">
        <v>321</v>
      </c>
    </row>
    <row r="37" spans="1:6">
      <c r="A37" s="4">
        <f t="shared" si="0"/>
        <v>36</v>
      </c>
      <c r="B37" s="4" t="s">
        <v>325</v>
      </c>
      <c r="C37" s="5" t="s">
        <v>300</v>
      </c>
      <c r="D37" s="23">
        <v>46082</v>
      </c>
      <c r="E37" s="24">
        <v>101419.19</v>
      </c>
      <c r="F37" s="5" t="s">
        <v>321</v>
      </c>
    </row>
    <row r="38" spans="1:6">
      <c r="A38" s="4">
        <f t="shared" si="0"/>
        <v>37</v>
      </c>
      <c r="B38" s="4" t="s">
        <v>325</v>
      </c>
      <c r="C38" s="5" t="s">
        <v>307</v>
      </c>
      <c r="D38" s="23">
        <v>46082</v>
      </c>
      <c r="E38" s="24">
        <v>59012</v>
      </c>
      <c r="F38" s="5" t="s">
        <v>321</v>
      </c>
    </row>
    <row r="39" spans="1:6">
      <c r="A39" s="4">
        <f t="shared" si="0"/>
        <v>38</v>
      </c>
      <c r="B39" s="4" t="s">
        <v>325</v>
      </c>
      <c r="C39" s="5" t="s">
        <v>301</v>
      </c>
      <c r="D39" s="23">
        <v>46082</v>
      </c>
      <c r="E39" s="24">
        <v>39306</v>
      </c>
      <c r="F39" s="5" t="s">
        <v>321</v>
      </c>
    </row>
    <row r="40" spans="1:6">
      <c r="A40" s="4">
        <f t="shared" si="0"/>
        <v>39</v>
      </c>
      <c r="B40" s="4" t="s">
        <v>325</v>
      </c>
      <c r="C40" s="5" t="s">
        <v>294</v>
      </c>
      <c r="D40" s="23">
        <v>46082</v>
      </c>
      <c r="E40" s="24">
        <v>21403.5</v>
      </c>
      <c r="F40" s="5" t="s">
        <v>321</v>
      </c>
    </row>
    <row r="41" spans="1:6">
      <c r="A41" s="4">
        <f t="shared" si="0"/>
        <v>40</v>
      </c>
      <c r="B41" s="4" t="s">
        <v>326</v>
      </c>
      <c r="C41" s="5" t="s">
        <v>302</v>
      </c>
      <c r="D41" s="23">
        <v>46082</v>
      </c>
      <c r="E41" s="24">
        <v>172</v>
      </c>
      <c r="F41" s="5" t="s">
        <v>321</v>
      </c>
    </row>
    <row r="42" spans="1:6">
      <c r="A42" s="4">
        <f t="shared" si="0"/>
        <v>41</v>
      </c>
      <c r="B42" s="4" t="s">
        <v>327</v>
      </c>
      <c r="C42" s="5" t="s">
        <v>303</v>
      </c>
      <c r="D42" s="23">
        <v>46082</v>
      </c>
      <c r="E42" s="5">
        <v>948000</v>
      </c>
      <c r="F42" s="5" t="s">
        <v>328</v>
      </c>
    </row>
    <row r="43" spans="1:6">
      <c r="A43" s="4">
        <f t="shared" si="0"/>
        <v>42</v>
      </c>
      <c r="B43" s="4" t="s">
        <v>327</v>
      </c>
      <c r="C43" s="5" t="s">
        <v>293</v>
      </c>
      <c r="D43" s="23">
        <v>46082</v>
      </c>
      <c r="E43" s="5">
        <v>38117976.47058823</v>
      </c>
      <c r="F43" s="5" t="s">
        <v>328</v>
      </c>
    </row>
    <row r="44" spans="1:6">
      <c r="A44" s="4">
        <f t="shared" si="0"/>
        <v>43</v>
      </c>
      <c r="B44" s="4" t="s">
        <v>327</v>
      </c>
      <c r="C44" s="5" t="s">
        <v>299</v>
      </c>
      <c r="D44" s="23">
        <v>46082</v>
      </c>
      <c r="E44" s="5">
        <v>97481029.411764726</v>
      </c>
      <c r="F44" s="5" t="s">
        <v>328</v>
      </c>
    </row>
    <row r="45" spans="1:6">
      <c r="A45" s="4">
        <f t="shared" si="0"/>
        <v>44</v>
      </c>
      <c r="B45" s="4" t="s">
        <v>322</v>
      </c>
      <c r="C45" s="5" t="s">
        <v>299</v>
      </c>
      <c r="D45" s="23">
        <v>46055</v>
      </c>
      <c r="E45" s="24">
        <v>7770</v>
      </c>
      <c r="F45" s="5" t="s">
        <v>321</v>
      </c>
    </row>
    <row r="46" spans="1:6">
      <c r="A46" s="4">
        <f t="shared" si="0"/>
        <v>45</v>
      </c>
      <c r="B46" s="4" t="s">
        <v>323</v>
      </c>
      <c r="C46" s="5" t="s">
        <v>295</v>
      </c>
      <c r="D46" s="23">
        <v>46054</v>
      </c>
      <c r="E46" s="24">
        <v>36836.85</v>
      </c>
      <c r="F46" s="5" t="s">
        <v>321</v>
      </c>
    </row>
    <row r="47" spans="1:6">
      <c r="A47" s="4">
        <f t="shared" si="0"/>
        <v>46</v>
      </c>
      <c r="B47" s="4" t="s">
        <v>324</v>
      </c>
      <c r="C47" s="5" t="s">
        <v>295</v>
      </c>
      <c r="D47" s="23">
        <v>46054</v>
      </c>
      <c r="E47" s="24">
        <v>466.5</v>
      </c>
      <c r="F47" s="5" t="s">
        <v>321</v>
      </c>
    </row>
    <row r="48" spans="1:6">
      <c r="A48" s="4">
        <f t="shared" si="0"/>
        <v>47</v>
      </c>
      <c r="B48" s="4" t="s">
        <v>324</v>
      </c>
      <c r="C48" s="5" t="s">
        <v>308</v>
      </c>
      <c r="D48" s="23">
        <v>46054</v>
      </c>
      <c r="E48" s="24">
        <v>816</v>
      </c>
      <c r="F48" s="5" t="s">
        <v>321</v>
      </c>
    </row>
    <row r="49" spans="1:6">
      <c r="A49" s="4">
        <f t="shared" si="0"/>
        <v>48</v>
      </c>
      <c r="B49" s="4" t="s">
        <v>324</v>
      </c>
      <c r="C49" s="5" t="s">
        <v>307</v>
      </c>
      <c r="D49" s="23">
        <v>46054</v>
      </c>
      <c r="E49" s="24">
        <v>12164</v>
      </c>
      <c r="F49" s="5" t="s">
        <v>321</v>
      </c>
    </row>
    <row r="50" spans="1:6">
      <c r="A50" s="4">
        <f t="shared" si="0"/>
        <v>49</v>
      </c>
      <c r="B50" s="4" t="s">
        <v>325</v>
      </c>
      <c r="C50" s="5" t="s">
        <v>299</v>
      </c>
      <c r="D50" s="23">
        <v>46054</v>
      </c>
      <c r="E50" s="24">
        <v>36961</v>
      </c>
      <c r="F50" s="5" t="s">
        <v>321</v>
      </c>
    </row>
    <row r="51" spans="1:6">
      <c r="A51" s="4">
        <f t="shared" si="0"/>
        <v>50</v>
      </c>
      <c r="B51" s="4" t="s">
        <v>325</v>
      </c>
      <c r="C51" s="5" t="s">
        <v>308</v>
      </c>
      <c r="D51" s="23">
        <v>46054</v>
      </c>
      <c r="E51" s="24">
        <v>277489.46999999997</v>
      </c>
      <c r="F51" s="5" t="s">
        <v>321</v>
      </c>
    </row>
    <row r="52" spans="1:6">
      <c r="A52" s="4">
        <f t="shared" si="0"/>
        <v>51</v>
      </c>
      <c r="B52" s="4" t="s">
        <v>325</v>
      </c>
      <c r="C52" s="5" t="s">
        <v>304</v>
      </c>
      <c r="D52" s="23">
        <v>46054</v>
      </c>
      <c r="E52" s="24">
        <v>30463.94</v>
      </c>
      <c r="F52" s="5" t="s">
        <v>321</v>
      </c>
    </row>
    <row r="53" spans="1:6">
      <c r="A53" s="4">
        <f t="shared" si="0"/>
        <v>52</v>
      </c>
      <c r="B53" s="4" t="s">
        <v>325</v>
      </c>
      <c r="C53" s="5" t="s">
        <v>300</v>
      </c>
      <c r="D53" s="23">
        <v>46054</v>
      </c>
      <c r="E53" s="24">
        <v>179930.55</v>
      </c>
      <c r="F53" s="5" t="s">
        <v>321</v>
      </c>
    </row>
    <row r="54" spans="1:6">
      <c r="A54" s="4">
        <f t="shared" si="0"/>
        <v>53</v>
      </c>
      <c r="B54" s="4" t="s">
        <v>325</v>
      </c>
      <c r="C54" s="5" t="s">
        <v>307</v>
      </c>
      <c r="D54" s="23">
        <v>46054</v>
      </c>
      <c r="E54" s="24">
        <v>64952</v>
      </c>
      <c r="F54" s="5" t="s">
        <v>321</v>
      </c>
    </row>
    <row r="55" spans="1:6">
      <c r="A55" s="4">
        <f t="shared" si="0"/>
        <v>54</v>
      </c>
      <c r="B55" s="4" t="s">
        <v>325</v>
      </c>
      <c r="C55" s="5" t="s">
        <v>309</v>
      </c>
      <c r="D55" s="23">
        <v>46054</v>
      </c>
      <c r="E55" s="24">
        <v>1459.74</v>
      </c>
      <c r="F55" s="5" t="s">
        <v>321</v>
      </c>
    </row>
    <row r="56" spans="1:6">
      <c r="A56" s="4">
        <f t="shared" si="0"/>
        <v>55</v>
      </c>
      <c r="B56" s="4" t="s">
        <v>325</v>
      </c>
      <c r="C56" s="5" t="s">
        <v>301</v>
      </c>
      <c r="D56" s="23">
        <v>46054</v>
      </c>
      <c r="E56" s="24">
        <v>56878</v>
      </c>
      <c r="F56" s="5" t="s">
        <v>321</v>
      </c>
    </row>
    <row r="57" spans="1:6">
      <c r="A57" s="4">
        <f t="shared" si="0"/>
        <v>56</v>
      </c>
      <c r="B57" s="4" t="s">
        <v>325</v>
      </c>
      <c r="C57" s="5" t="s">
        <v>294</v>
      </c>
      <c r="D57" s="23">
        <v>46054</v>
      </c>
      <c r="E57" s="24">
        <v>30420.400000000001</v>
      </c>
      <c r="F57" s="5" t="s">
        <v>321</v>
      </c>
    </row>
    <row r="58" spans="1:6">
      <c r="A58" s="4">
        <f t="shared" si="0"/>
        <v>57</v>
      </c>
      <c r="B58" s="4" t="s">
        <v>320</v>
      </c>
      <c r="C58" s="5" t="s">
        <v>295</v>
      </c>
      <c r="D58" s="23">
        <v>46054</v>
      </c>
      <c r="E58" s="24">
        <v>17589</v>
      </c>
      <c r="F58" s="5" t="s">
        <v>321</v>
      </c>
    </row>
    <row r="59" spans="1:6">
      <c r="A59" s="4">
        <f t="shared" si="0"/>
        <v>58</v>
      </c>
      <c r="B59" s="4" t="s">
        <v>320</v>
      </c>
      <c r="C59" s="5" t="s">
        <v>300</v>
      </c>
      <c r="D59" s="23">
        <v>46054</v>
      </c>
      <c r="E59" s="24">
        <v>107143.22</v>
      </c>
      <c r="F59" s="5" t="s">
        <v>321</v>
      </c>
    </row>
    <row r="60" spans="1:6">
      <c r="A60" s="4">
        <f t="shared" si="0"/>
        <v>59</v>
      </c>
      <c r="B60" s="4" t="s">
        <v>320</v>
      </c>
      <c r="C60" s="5" t="s">
        <v>299</v>
      </c>
      <c r="D60" s="23">
        <v>46054</v>
      </c>
      <c r="E60" s="24">
        <v>84873.94</v>
      </c>
      <c r="F60" s="5" t="s">
        <v>321</v>
      </c>
    </row>
    <row r="61" spans="1:6">
      <c r="A61" s="4">
        <f t="shared" si="0"/>
        <v>60</v>
      </c>
      <c r="B61" s="4" t="s">
        <v>320</v>
      </c>
      <c r="C61" s="5" t="s">
        <v>304</v>
      </c>
      <c r="D61" s="23">
        <v>46054</v>
      </c>
      <c r="E61" s="24">
        <v>5786.83</v>
      </c>
      <c r="F61" s="5" t="s">
        <v>321</v>
      </c>
    </row>
    <row r="62" spans="1:6">
      <c r="A62" s="4">
        <f t="shared" si="0"/>
        <v>61</v>
      </c>
      <c r="B62" s="4" t="s">
        <v>320</v>
      </c>
      <c r="C62" s="5" t="s">
        <v>308</v>
      </c>
      <c r="D62" s="23">
        <v>46054</v>
      </c>
      <c r="E62" s="24">
        <v>2554.8000000000002</v>
      </c>
      <c r="F62" s="5" t="s">
        <v>321</v>
      </c>
    </row>
    <row r="63" spans="1:6">
      <c r="A63" s="4">
        <f t="shared" si="0"/>
        <v>62</v>
      </c>
      <c r="B63" s="4" t="s">
        <v>320</v>
      </c>
      <c r="C63" s="5" t="s">
        <v>312</v>
      </c>
      <c r="D63" s="23">
        <v>46054</v>
      </c>
      <c r="E63" s="24">
        <v>70860</v>
      </c>
      <c r="F63" s="5" t="s">
        <v>321</v>
      </c>
    </row>
    <row r="64" spans="1:6">
      <c r="A64" s="4">
        <f t="shared" si="0"/>
        <v>63</v>
      </c>
      <c r="B64" s="4" t="s">
        <v>326</v>
      </c>
      <c r="C64" s="5" t="s">
        <v>302</v>
      </c>
      <c r="D64" s="23">
        <v>46054</v>
      </c>
      <c r="E64" s="24">
        <v>975</v>
      </c>
      <c r="F64" s="5" t="s">
        <v>321</v>
      </c>
    </row>
    <row r="65" spans="1:6">
      <c r="A65" s="4">
        <f t="shared" si="0"/>
        <v>64</v>
      </c>
      <c r="B65" s="4" t="s">
        <v>326</v>
      </c>
      <c r="C65" s="5" t="s">
        <v>298</v>
      </c>
      <c r="D65" s="23">
        <v>46054</v>
      </c>
      <c r="E65" s="24">
        <v>978</v>
      </c>
      <c r="F65" s="5" t="s">
        <v>321</v>
      </c>
    </row>
    <row r="66" spans="1:6">
      <c r="A66" s="4">
        <f t="shared" si="0"/>
        <v>65</v>
      </c>
      <c r="B66" s="4" t="s">
        <v>327</v>
      </c>
      <c r="C66" s="5" t="s">
        <v>303</v>
      </c>
      <c r="D66" s="23">
        <v>46054</v>
      </c>
      <c r="E66" s="5">
        <v>14023571.428571429</v>
      </c>
      <c r="F66" s="5" t="s">
        <v>328</v>
      </c>
    </row>
    <row r="67" spans="1:6">
      <c r="A67" s="4">
        <f t="shared" si="0"/>
        <v>66</v>
      </c>
      <c r="B67" s="4" t="s">
        <v>327</v>
      </c>
      <c r="C67" s="5" t="s">
        <v>293</v>
      </c>
      <c r="D67" s="23">
        <v>46054</v>
      </c>
      <c r="E67" s="5">
        <v>47164076.190476179</v>
      </c>
      <c r="F67" s="5" t="s">
        <v>328</v>
      </c>
    </row>
    <row r="68" spans="1:6">
      <c r="A68" s="4">
        <f t="shared" si="0"/>
        <v>67</v>
      </c>
      <c r="B68" s="4" t="s">
        <v>327</v>
      </c>
      <c r="C68" s="5" t="s">
        <v>299</v>
      </c>
      <c r="D68" s="23">
        <v>46054</v>
      </c>
      <c r="E68" s="5">
        <v>82184523.80952391</v>
      </c>
      <c r="F68" s="5" t="s">
        <v>328</v>
      </c>
    </row>
    <row r="69" spans="1:6">
      <c r="A69" s="4">
        <f t="shared" si="0"/>
        <v>68</v>
      </c>
      <c r="B69" s="4" t="s">
        <v>329</v>
      </c>
      <c r="C69" s="5" t="s">
        <v>296</v>
      </c>
      <c r="D69" s="25">
        <v>46024</v>
      </c>
      <c r="E69" s="24">
        <v>188</v>
      </c>
      <c r="F69" s="5" t="s">
        <v>321</v>
      </c>
    </row>
    <row r="70" spans="1:6">
      <c r="A70" s="4">
        <f t="shared" si="0"/>
        <v>69</v>
      </c>
      <c r="B70" s="4" t="s">
        <v>322</v>
      </c>
      <c r="C70" s="5" t="s">
        <v>299</v>
      </c>
      <c r="D70" s="23">
        <v>46024</v>
      </c>
      <c r="E70" s="24">
        <v>2200</v>
      </c>
      <c r="F70" s="5" t="s">
        <v>321</v>
      </c>
    </row>
    <row r="71" spans="1:6">
      <c r="A71" s="4">
        <f t="shared" si="0"/>
        <v>70</v>
      </c>
      <c r="B71" s="4" t="s">
        <v>323</v>
      </c>
      <c r="C71" s="5" t="s">
        <v>295</v>
      </c>
      <c r="D71" s="23">
        <v>46023</v>
      </c>
      <c r="E71" s="24">
        <v>16857.02</v>
      </c>
      <c r="F71" s="5" t="s">
        <v>321</v>
      </c>
    </row>
    <row r="72" spans="1:6">
      <c r="A72" s="4">
        <f t="shared" si="0"/>
        <v>71</v>
      </c>
      <c r="B72" s="4" t="s">
        <v>324</v>
      </c>
      <c r="C72" s="5" t="s">
        <v>304</v>
      </c>
      <c r="D72" s="23">
        <v>46023</v>
      </c>
      <c r="E72" s="24">
        <v>2984.82</v>
      </c>
      <c r="F72" s="5" t="s">
        <v>321</v>
      </c>
    </row>
    <row r="73" spans="1:6">
      <c r="A73" s="4">
        <f t="shared" si="0"/>
        <v>72</v>
      </c>
      <c r="B73" s="4" t="s">
        <v>324</v>
      </c>
      <c r="C73" s="5" t="s">
        <v>299</v>
      </c>
      <c r="D73" s="23">
        <v>46023</v>
      </c>
      <c r="E73" s="24">
        <v>545</v>
      </c>
      <c r="F73" s="5" t="s">
        <v>321</v>
      </c>
    </row>
    <row r="74" spans="1:6">
      <c r="A74" s="4">
        <f t="shared" si="0"/>
        <v>73</v>
      </c>
      <c r="B74" s="4" t="s">
        <v>324</v>
      </c>
      <c r="C74" s="5" t="s">
        <v>308</v>
      </c>
      <c r="D74" s="23">
        <v>46023</v>
      </c>
      <c r="E74" s="24">
        <v>2838</v>
      </c>
      <c r="F74" s="5" t="s">
        <v>321</v>
      </c>
    </row>
    <row r="75" spans="1:6">
      <c r="A75" s="4">
        <f t="shared" ref="A75:A138" si="1">ROW()-1</f>
        <v>74</v>
      </c>
      <c r="B75" s="4" t="s">
        <v>324</v>
      </c>
      <c r="C75" s="5" t="s">
        <v>300</v>
      </c>
      <c r="D75" s="23">
        <v>46023</v>
      </c>
      <c r="E75" s="24">
        <v>2757</v>
      </c>
      <c r="F75" s="5" t="s">
        <v>321</v>
      </c>
    </row>
    <row r="76" spans="1:6">
      <c r="A76" s="4">
        <f t="shared" si="1"/>
        <v>75</v>
      </c>
      <c r="B76" s="4" t="s">
        <v>325</v>
      </c>
      <c r="C76" s="5" t="s">
        <v>299</v>
      </c>
      <c r="D76" s="23">
        <v>46023</v>
      </c>
      <c r="E76" s="24">
        <v>56627.7</v>
      </c>
      <c r="F76" s="5" t="s">
        <v>321</v>
      </c>
    </row>
    <row r="77" spans="1:6">
      <c r="A77" s="4">
        <f t="shared" si="1"/>
        <v>76</v>
      </c>
      <c r="B77" s="4" t="s">
        <v>325</v>
      </c>
      <c r="C77" s="5" t="s">
        <v>308</v>
      </c>
      <c r="D77" s="23">
        <v>46023</v>
      </c>
      <c r="E77" s="24">
        <v>78834.649999999994</v>
      </c>
      <c r="F77" s="5" t="s">
        <v>321</v>
      </c>
    </row>
    <row r="78" spans="1:6">
      <c r="A78" s="4">
        <f t="shared" si="1"/>
        <v>77</v>
      </c>
      <c r="B78" s="4" t="s">
        <v>325</v>
      </c>
      <c r="C78" s="5" t="s">
        <v>304</v>
      </c>
      <c r="D78" s="23">
        <v>46023</v>
      </c>
      <c r="E78" s="24">
        <v>12499.8</v>
      </c>
      <c r="F78" s="5" t="s">
        <v>321</v>
      </c>
    </row>
    <row r="79" spans="1:6">
      <c r="A79" s="4">
        <f t="shared" si="1"/>
        <v>78</v>
      </c>
      <c r="B79" s="4" t="s">
        <v>325</v>
      </c>
      <c r="C79" s="5" t="s">
        <v>300</v>
      </c>
      <c r="D79" s="23">
        <v>46023</v>
      </c>
      <c r="E79" s="24">
        <v>158336.32000000001</v>
      </c>
      <c r="F79" s="5" t="s">
        <v>321</v>
      </c>
    </row>
    <row r="80" spans="1:6">
      <c r="A80" s="4">
        <f t="shared" si="1"/>
        <v>79</v>
      </c>
      <c r="B80" s="4" t="s">
        <v>325</v>
      </c>
      <c r="C80" s="5" t="s">
        <v>307</v>
      </c>
      <c r="D80" s="23">
        <v>46023</v>
      </c>
      <c r="E80" s="24">
        <v>126540</v>
      </c>
      <c r="F80" s="5" t="s">
        <v>321</v>
      </c>
    </row>
    <row r="81" spans="1:6">
      <c r="A81" s="4">
        <f t="shared" si="1"/>
        <v>80</v>
      </c>
      <c r="B81" s="4" t="s">
        <v>325</v>
      </c>
      <c r="C81" s="5" t="s">
        <v>301</v>
      </c>
      <c r="D81" s="23">
        <v>46023</v>
      </c>
      <c r="E81" s="24">
        <v>70682</v>
      </c>
      <c r="F81" s="5" t="s">
        <v>321</v>
      </c>
    </row>
    <row r="82" spans="1:6">
      <c r="A82" s="4">
        <f t="shared" si="1"/>
        <v>81</v>
      </c>
      <c r="B82" s="4" t="s">
        <v>325</v>
      </c>
      <c r="C82" s="5" t="s">
        <v>294</v>
      </c>
      <c r="D82" s="23">
        <v>46023</v>
      </c>
      <c r="E82" s="24">
        <v>51115.65</v>
      </c>
      <c r="F82" s="5" t="s">
        <v>321</v>
      </c>
    </row>
    <row r="83" spans="1:6">
      <c r="A83" s="4">
        <f t="shared" si="1"/>
        <v>82</v>
      </c>
      <c r="B83" s="4" t="s">
        <v>320</v>
      </c>
      <c r="C83" s="5" t="s">
        <v>300</v>
      </c>
      <c r="D83" s="23">
        <v>46023</v>
      </c>
      <c r="E83" s="24">
        <v>43161</v>
      </c>
      <c r="F83" s="5" t="s">
        <v>321</v>
      </c>
    </row>
    <row r="84" spans="1:6">
      <c r="A84" s="4">
        <f t="shared" si="1"/>
        <v>83</v>
      </c>
      <c r="B84" s="4" t="s">
        <v>320</v>
      </c>
      <c r="C84" s="5" t="s">
        <v>299</v>
      </c>
      <c r="D84" s="23">
        <v>46023</v>
      </c>
      <c r="E84" s="24">
        <v>28610.799999999999</v>
      </c>
      <c r="F84" s="5" t="s">
        <v>321</v>
      </c>
    </row>
    <row r="85" spans="1:6">
      <c r="A85" s="4">
        <f t="shared" si="1"/>
        <v>84</v>
      </c>
      <c r="B85" s="4" t="s">
        <v>320</v>
      </c>
      <c r="C85" s="5" t="s">
        <v>307</v>
      </c>
      <c r="D85" s="23">
        <v>46023</v>
      </c>
      <c r="E85" s="24">
        <v>5408</v>
      </c>
      <c r="F85" s="5" t="s">
        <v>321</v>
      </c>
    </row>
    <row r="86" spans="1:6">
      <c r="A86" s="4">
        <f t="shared" si="1"/>
        <v>85</v>
      </c>
      <c r="B86" s="4" t="s">
        <v>320</v>
      </c>
      <c r="C86" s="5" t="s">
        <v>312</v>
      </c>
      <c r="D86" s="23">
        <v>46023</v>
      </c>
      <c r="E86" s="24">
        <v>50757.5</v>
      </c>
      <c r="F86" s="5" t="s">
        <v>321</v>
      </c>
    </row>
    <row r="87" spans="1:6">
      <c r="A87" s="4">
        <f t="shared" si="1"/>
        <v>86</v>
      </c>
      <c r="B87" s="4" t="s">
        <v>327</v>
      </c>
      <c r="C87" s="5" t="s">
        <v>303</v>
      </c>
      <c r="D87" s="23">
        <v>46023</v>
      </c>
      <c r="E87" s="5">
        <v>22752000</v>
      </c>
      <c r="F87" s="5" t="s">
        <v>328</v>
      </c>
    </row>
    <row r="88" spans="1:6">
      <c r="A88" s="4">
        <f t="shared" si="1"/>
        <v>87</v>
      </c>
      <c r="B88" s="4" t="s">
        <v>327</v>
      </c>
      <c r="C88" s="5" t="s">
        <v>293</v>
      </c>
      <c r="D88" s="23">
        <v>46023</v>
      </c>
      <c r="E88" s="5">
        <v>49672127.272727266</v>
      </c>
      <c r="F88" s="5" t="s">
        <v>328</v>
      </c>
    </row>
    <row r="89" spans="1:6">
      <c r="A89" s="4">
        <f t="shared" si="1"/>
        <v>88</v>
      </c>
      <c r="B89" s="4" t="s">
        <v>327</v>
      </c>
      <c r="C89" s="5" t="s">
        <v>299</v>
      </c>
      <c r="D89" s="23">
        <v>46023</v>
      </c>
      <c r="E89" s="5">
        <v>63178636.363636307</v>
      </c>
      <c r="F89" s="5" t="s">
        <v>328</v>
      </c>
    </row>
    <row r="90" spans="1:6">
      <c r="A90" s="4">
        <f t="shared" si="1"/>
        <v>89</v>
      </c>
      <c r="B90" s="4" t="s">
        <v>329</v>
      </c>
      <c r="C90" s="5" t="s">
        <v>296</v>
      </c>
      <c r="D90" s="25">
        <v>45993</v>
      </c>
      <c r="E90" s="24">
        <v>690</v>
      </c>
      <c r="F90" s="5" t="s">
        <v>321</v>
      </c>
    </row>
    <row r="91" spans="1:6">
      <c r="A91" s="4">
        <f t="shared" si="1"/>
        <v>90</v>
      </c>
      <c r="B91" s="4" t="s">
        <v>322</v>
      </c>
      <c r="C91" s="5" t="s">
        <v>299</v>
      </c>
      <c r="D91" s="23">
        <v>45993</v>
      </c>
      <c r="E91" s="24">
        <v>2140</v>
      </c>
      <c r="F91" s="5" t="s">
        <v>321</v>
      </c>
    </row>
    <row r="92" spans="1:6">
      <c r="A92" s="4">
        <f t="shared" si="1"/>
        <v>91</v>
      </c>
      <c r="B92" s="4" t="s">
        <v>323</v>
      </c>
      <c r="C92" s="5" t="s">
        <v>295</v>
      </c>
      <c r="D92" s="23">
        <v>45992</v>
      </c>
      <c r="E92" s="24">
        <v>25819.119999999999</v>
      </c>
      <c r="F92" s="5" t="s">
        <v>321</v>
      </c>
    </row>
    <row r="93" spans="1:6">
      <c r="A93" s="4">
        <f t="shared" si="1"/>
        <v>92</v>
      </c>
      <c r="B93" s="4" t="s">
        <v>324</v>
      </c>
      <c r="C93" s="5" t="s">
        <v>300</v>
      </c>
      <c r="D93" s="23">
        <v>45992</v>
      </c>
      <c r="E93" s="24">
        <v>7008</v>
      </c>
      <c r="F93" s="5" t="s">
        <v>321</v>
      </c>
    </row>
    <row r="94" spans="1:6">
      <c r="A94" s="4">
        <f t="shared" si="1"/>
        <v>93</v>
      </c>
      <c r="B94" s="4" t="s">
        <v>324</v>
      </c>
      <c r="C94" s="5" t="s">
        <v>307</v>
      </c>
      <c r="D94" s="23">
        <v>45992</v>
      </c>
      <c r="E94" s="24">
        <v>7484</v>
      </c>
      <c r="F94" s="5" t="s">
        <v>321</v>
      </c>
    </row>
    <row r="95" spans="1:6">
      <c r="A95" s="4">
        <f t="shared" si="1"/>
        <v>94</v>
      </c>
      <c r="B95" s="4" t="s">
        <v>325</v>
      </c>
      <c r="C95" s="5" t="s">
        <v>299</v>
      </c>
      <c r="D95" s="23">
        <v>45992</v>
      </c>
      <c r="E95" s="24">
        <v>74622.319999999992</v>
      </c>
      <c r="F95" s="5" t="s">
        <v>321</v>
      </c>
    </row>
    <row r="96" spans="1:6">
      <c r="A96" s="4">
        <f t="shared" si="1"/>
        <v>95</v>
      </c>
      <c r="B96" s="4" t="s">
        <v>325</v>
      </c>
      <c r="C96" s="5" t="s">
        <v>308</v>
      </c>
      <c r="D96" s="23">
        <v>45992</v>
      </c>
      <c r="E96" s="24">
        <v>14040.56</v>
      </c>
      <c r="F96" s="5" t="s">
        <v>321</v>
      </c>
    </row>
    <row r="97" spans="1:6">
      <c r="A97" s="4">
        <f t="shared" si="1"/>
        <v>96</v>
      </c>
      <c r="B97" s="4" t="s">
        <v>325</v>
      </c>
      <c r="C97" s="5" t="s">
        <v>304</v>
      </c>
      <c r="D97" s="23">
        <v>45992</v>
      </c>
      <c r="E97" s="24">
        <v>12326.2</v>
      </c>
      <c r="F97" s="5" t="s">
        <v>321</v>
      </c>
    </row>
    <row r="98" spans="1:6">
      <c r="A98" s="4">
        <f t="shared" si="1"/>
        <v>97</v>
      </c>
      <c r="B98" s="4" t="s">
        <v>325</v>
      </c>
      <c r="C98" s="5" t="s">
        <v>300</v>
      </c>
      <c r="D98" s="23">
        <v>45992</v>
      </c>
      <c r="E98" s="24">
        <v>67955.61</v>
      </c>
      <c r="F98" s="5" t="s">
        <v>321</v>
      </c>
    </row>
    <row r="99" spans="1:6">
      <c r="A99" s="4">
        <f t="shared" si="1"/>
        <v>98</v>
      </c>
      <c r="B99" s="4" t="s">
        <v>325</v>
      </c>
      <c r="C99" s="5" t="s">
        <v>307</v>
      </c>
      <c r="D99" s="23">
        <v>45992</v>
      </c>
      <c r="E99" s="24">
        <v>34136</v>
      </c>
      <c r="F99" s="5" t="s">
        <v>321</v>
      </c>
    </row>
    <row r="100" spans="1:6">
      <c r="A100" s="4">
        <f t="shared" si="1"/>
        <v>99</v>
      </c>
      <c r="B100" s="4" t="s">
        <v>325</v>
      </c>
      <c r="C100" s="5" t="s">
        <v>309</v>
      </c>
      <c r="D100" s="23">
        <v>45992</v>
      </c>
      <c r="E100" s="24">
        <v>8139.59</v>
      </c>
      <c r="F100" s="5" t="s">
        <v>321</v>
      </c>
    </row>
    <row r="101" spans="1:6">
      <c r="A101" s="4">
        <f t="shared" si="1"/>
        <v>100</v>
      </c>
      <c r="B101" s="4" t="s">
        <v>325</v>
      </c>
      <c r="C101" s="5" t="s">
        <v>301</v>
      </c>
      <c r="D101" s="23">
        <v>45992</v>
      </c>
      <c r="E101" s="24">
        <v>47456</v>
      </c>
      <c r="F101" s="5" t="s">
        <v>321</v>
      </c>
    </row>
    <row r="102" spans="1:6">
      <c r="A102" s="4">
        <f t="shared" si="1"/>
        <v>101</v>
      </c>
      <c r="B102" s="4" t="s">
        <v>325</v>
      </c>
      <c r="C102" s="5" t="s">
        <v>294</v>
      </c>
      <c r="D102" s="23">
        <v>45992</v>
      </c>
      <c r="E102" s="24">
        <v>32592.5</v>
      </c>
      <c r="F102" s="5" t="s">
        <v>321</v>
      </c>
    </row>
    <row r="103" spans="1:6">
      <c r="A103" s="4">
        <f t="shared" si="1"/>
        <v>102</v>
      </c>
      <c r="B103" s="4" t="s">
        <v>320</v>
      </c>
      <c r="C103" s="5" t="s">
        <v>295</v>
      </c>
      <c r="D103" s="23">
        <v>45992</v>
      </c>
      <c r="E103" s="24">
        <v>1932</v>
      </c>
      <c r="F103" s="5" t="s">
        <v>321</v>
      </c>
    </row>
    <row r="104" spans="1:6">
      <c r="A104" s="4">
        <f t="shared" si="1"/>
        <v>103</v>
      </c>
      <c r="B104" s="4" t="s">
        <v>320</v>
      </c>
      <c r="C104" s="5" t="s">
        <v>300</v>
      </c>
      <c r="D104" s="23">
        <v>45992</v>
      </c>
      <c r="E104" s="24">
        <v>22435.95</v>
      </c>
      <c r="F104" s="5" t="s">
        <v>321</v>
      </c>
    </row>
    <row r="105" spans="1:6">
      <c r="A105" s="4">
        <f t="shared" si="1"/>
        <v>104</v>
      </c>
      <c r="B105" s="4" t="s">
        <v>320</v>
      </c>
      <c r="C105" s="5" t="s">
        <v>299</v>
      </c>
      <c r="D105" s="23">
        <v>45992</v>
      </c>
      <c r="E105" s="24">
        <v>71011.100000000006</v>
      </c>
      <c r="F105" s="5" t="s">
        <v>321</v>
      </c>
    </row>
    <row r="106" spans="1:6">
      <c r="A106" s="4">
        <f t="shared" si="1"/>
        <v>105</v>
      </c>
      <c r="B106" s="4" t="s">
        <v>320</v>
      </c>
      <c r="C106" s="5" t="s">
        <v>304</v>
      </c>
      <c r="D106" s="23">
        <v>45992</v>
      </c>
      <c r="E106" s="24">
        <v>608</v>
      </c>
      <c r="F106" s="5" t="s">
        <v>321</v>
      </c>
    </row>
    <row r="107" spans="1:6">
      <c r="A107" s="4">
        <f t="shared" si="1"/>
        <v>106</v>
      </c>
      <c r="B107" s="4" t="s">
        <v>320</v>
      </c>
      <c r="C107" s="5" t="s">
        <v>308</v>
      </c>
      <c r="D107" s="23">
        <v>45992</v>
      </c>
      <c r="E107" s="24">
        <v>26386</v>
      </c>
      <c r="F107" s="5" t="s">
        <v>321</v>
      </c>
    </row>
    <row r="108" spans="1:6">
      <c r="A108" s="4">
        <f t="shared" si="1"/>
        <v>107</v>
      </c>
      <c r="B108" s="4" t="s">
        <v>327</v>
      </c>
      <c r="C108" s="5" t="s">
        <v>303</v>
      </c>
      <c r="D108" s="23">
        <v>45992</v>
      </c>
      <c r="E108" s="5">
        <v>29003000</v>
      </c>
      <c r="F108" s="5" t="s">
        <v>328</v>
      </c>
    </row>
    <row r="109" spans="1:6">
      <c r="A109" s="4">
        <f t="shared" si="1"/>
        <v>108</v>
      </c>
      <c r="B109" s="4" t="s">
        <v>327</v>
      </c>
      <c r="C109" s="5" t="s">
        <v>293</v>
      </c>
      <c r="D109" s="23">
        <v>45992</v>
      </c>
      <c r="E109" s="5">
        <v>60475400</v>
      </c>
      <c r="F109" s="5" t="s">
        <v>328</v>
      </c>
    </row>
    <row r="110" spans="1:6">
      <c r="A110" s="4">
        <f t="shared" si="1"/>
        <v>109</v>
      </c>
      <c r="B110" s="4" t="s">
        <v>327</v>
      </c>
      <c r="C110" s="5" t="s">
        <v>299</v>
      </c>
      <c r="D110" s="23">
        <v>45992</v>
      </c>
      <c r="E110" s="5">
        <v>41405000</v>
      </c>
      <c r="F110" s="5" t="s">
        <v>328</v>
      </c>
    </row>
    <row r="111" spans="1:6">
      <c r="A111" s="4">
        <f t="shared" si="1"/>
        <v>110</v>
      </c>
      <c r="B111" s="4" t="s">
        <v>329</v>
      </c>
      <c r="C111" s="5" t="s">
        <v>296</v>
      </c>
      <c r="D111" s="25">
        <v>45963</v>
      </c>
      <c r="E111" s="24">
        <v>776</v>
      </c>
      <c r="F111" s="5" t="s">
        <v>321</v>
      </c>
    </row>
    <row r="112" spans="1:6">
      <c r="A112" s="4">
        <f t="shared" si="1"/>
        <v>111</v>
      </c>
      <c r="B112" s="4" t="s">
        <v>322</v>
      </c>
      <c r="C112" s="5" t="s">
        <v>299</v>
      </c>
      <c r="D112" s="23">
        <v>45963</v>
      </c>
      <c r="E112" s="24">
        <v>6238</v>
      </c>
      <c r="F112" s="5" t="s">
        <v>321</v>
      </c>
    </row>
    <row r="113" spans="1:6">
      <c r="A113" s="4">
        <f t="shared" si="1"/>
        <v>112</v>
      </c>
      <c r="B113" s="4" t="s">
        <v>323</v>
      </c>
      <c r="C113" s="5" t="s">
        <v>295</v>
      </c>
      <c r="D113" s="23">
        <v>45962</v>
      </c>
      <c r="E113" s="24">
        <v>31732.66</v>
      </c>
      <c r="F113" s="5" t="s">
        <v>321</v>
      </c>
    </row>
    <row r="114" spans="1:6">
      <c r="A114" s="4">
        <f t="shared" si="1"/>
        <v>113</v>
      </c>
      <c r="B114" s="4" t="s">
        <v>324</v>
      </c>
      <c r="C114" s="5" t="s">
        <v>304</v>
      </c>
      <c r="D114" s="23">
        <v>45962</v>
      </c>
      <c r="E114" s="24">
        <v>3043.78</v>
      </c>
      <c r="F114" s="5" t="s">
        <v>321</v>
      </c>
    </row>
    <row r="115" spans="1:6">
      <c r="A115" s="4">
        <f t="shared" si="1"/>
        <v>114</v>
      </c>
      <c r="B115" s="4" t="s">
        <v>324</v>
      </c>
      <c r="C115" s="5" t="s">
        <v>295</v>
      </c>
      <c r="D115" s="23">
        <v>45962</v>
      </c>
      <c r="E115" s="24">
        <v>3409.06</v>
      </c>
      <c r="F115" s="5" t="s">
        <v>321</v>
      </c>
    </row>
    <row r="116" spans="1:6">
      <c r="A116" s="4">
        <f t="shared" si="1"/>
        <v>115</v>
      </c>
      <c r="B116" s="4" t="s">
        <v>324</v>
      </c>
      <c r="C116" s="5" t="s">
        <v>300</v>
      </c>
      <c r="D116" s="23">
        <v>45962</v>
      </c>
      <c r="E116" s="24">
        <v>2832.58</v>
      </c>
      <c r="F116" s="5" t="s">
        <v>321</v>
      </c>
    </row>
    <row r="117" spans="1:6">
      <c r="A117" s="4">
        <f t="shared" si="1"/>
        <v>116</v>
      </c>
      <c r="B117" s="4" t="s">
        <v>325</v>
      </c>
      <c r="C117" s="5" t="s">
        <v>299</v>
      </c>
      <c r="D117" s="23">
        <v>45962</v>
      </c>
      <c r="E117" s="24">
        <v>54251.96</v>
      </c>
      <c r="F117" s="5" t="s">
        <v>321</v>
      </c>
    </row>
    <row r="118" spans="1:6">
      <c r="A118" s="4">
        <f t="shared" si="1"/>
        <v>117</v>
      </c>
      <c r="B118" s="4" t="s">
        <v>325</v>
      </c>
      <c r="C118" s="5" t="s">
        <v>308</v>
      </c>
      <c r="D118" s="23">
        <v>45962</v>
      </c>
      <c r="E118" s="24">
        <v>49687.85</v>
      </c>
      <c r="F118" s="5" t="s">
        <v>321</v>
      </c>
    </row>
    <row r="119" spans="1:6">
      <c r="A119" s="4">
        <f t="shared" si="1"/>
        <v>118</v>
      </c>
      <c r="B119" s="4" t="s">
        <v>325</v>
      </c>
      <c r="C119" s="5" t="s">
        <v>304</v>
      </c>
      <c r="D119" s="23">
        <v>45962</v>
      </c>
      <c r="E119" s="24">
        <v>21691.64</v>
      </c>
      <c r="F119" s="5" t="s">
        <v>321</v>
      </c>
    </row>
    <row r="120" spans="1:6">
      <c r="A120" s="4">
        <f t="shared" si="1"/>
        <v>119</v>
      </c>
      <c r="B120" s="4" t="s">
        <v>325</v>
      </c>
      <c r="C120" s="5" t="s">
        <v>300</v>
      </c>
      <c r="D120" s="23">
        <v>45962</v>
      </c>
      <c r="E120" s="24">
        <v>213129.05</v>
      </c>
      <c r="F120" s="5" t="s">
        <v>321</v>
      </c>
    </row>
    <row r="121" spans="1:6">
      <c r="A121" s="4">
        <f t="shared" si="1"/>
        <v>120</v>
      </c>
      <c r="B121" s="4" t="s">
        <v>325</v>
      </c>
      <c r="C121" s="5" t="s">
        <v>307</v>
      </c>
      <c r="D121" s="23">
        <v>45962</v>
      </c>
      <c r="E121" s="24">
        <v>113436</v>
      </c>
      <c r="F121" s="5" t="s">
        <v>321</v>
      </c>
    </row>
    <row r="122" spans="1:6">
      <c r="A122" s="4">
        <f t="shared" si="1"/>
        <v>121</v>
      </c>
      <c r="B122" s="4" t="s">
        <v>325</v>
      </c>
      <c r="C122" s="5" t="s">
        <v>309</v>
      </c>
      <c r="D122" s="23">
        <v>45962</v>
      </c>
      <c r="E122" s="24">
        <v>6468.24</v>
      </c>
      <c r="F122" s="5" t="s">
        <v>321</v>
      </c>
    </row>
    <row r="123" spans="1:6">
      <c r="A123" s="4">
        <f t="shared" si="1"/>
        <v>122</v>
      </c>
      <c r="B123" s="4" t="s">
        <v>325</v>
      </c>
      <c r="C123" s="5" t="s">
        <v>301</v>
      </c>
      <c r="D123" s="23">
        <v>45962</v>
      </c>
      <c r="E123" s="24">
        <v>38608</v>
      </c>
      <c r="F123" s="5" t="s">
        <v>321</v>
      </c>
    </row>
    <row r="124" spans="1:6">
      <c r="A124" s="4">
        <f t="shared" si="1"/>
        <v>123</v>
      </c>
      <c r="B124" s="4" t="s">
        <v>325</v>
      </c>
      <c r="C124" s="5" t="s">
        <v>294</v>
      </c>
      <c r="D124" s="23">
        <v>45962</v>
      </c>
      <c r="E124" s="24">
        <v>28264.65</v>
      </c>
      <c r="F124" s="5" t="s">
        <v>321</v>
      </c>
    </row>
    <row r="125" spans="1:6">
      <c r="A125" s="4">
        <f t="shared" si="1"/>
        <v>124</v>
      </c>
      <c r="B125" s="4" t="s">
        <v>320</v>
      </c>
      <c r="C125" s="5" t="s">
        <v>295</v>
      </c>
      <c r="D125" s="23">
        <v>45962</v>
      </c>
      <c r="E125" s="24">
        <v>2912</v>
      </c>
      <c r="F125" s="5" t="s">
        <v>321</v>
      </c>
    </row>
    <row r="126" spans="1:6">
      <c r="A126" s="4">
        <f t="shared" si="1"/>
        <v>125</v>
      </c>
      <c r="B126" s="4" t="s">
        <v>320</v>
      </c>
      <c r="C126" s="5" t="s">
        <v>300</v>
      </c>
      <c r="D126" s="23">
        <v>45962</v>
      </c>
      <c r="E126" s="24">
        <v>14470.62</v>
      </c>
      <c r="F126" s="5" t="s">
        <v>321</v>
      </c>
    </row>
    <row r="127" spans="1:6">
      <c r="A127" s="4">
        <f t="shared" si="1"/>
        <v>126</v>
      </c>
      <c r="B127" s="4" t="s">
        <v>320</v>
      </c>
      <c r="C127" s="5" t="s">
        <v>299</v>
      </c>
      <c r="D127" s="23">
        <v>45962</v>
      </c>
      <c r="E127" s="24">
        <v>47334.52</v>
      </c>
      <c r="F127" s="5" t="s">
        <v>321</v>
      </c>
    </row>
    <row r="128" spans="1:6">
      <c r="A128" s="4">
        <f t="shared" si="1"/>
        <v>127</v>
      </c>
      <c r="B128" s="4" t="s">
        <v>326</v>
      </c>
      <c r="C128" s="5" t="s">
        <v>302</v>
      </c>
      <c r="D128" s="23">
        <v>45962</v>
      </c>
      <c r="E128" s="24">
        <v>344</v>
      </c>
      <c r="F128" s="5" t="s">
        <v>321</v>
      </c>
    </row>
    <row r="129" spans="1:6">
      <c r="A129" s="4">
        <f t="shared" si="1"/>
        <v>128</v>
      </c>
      <c r="B129" s="4" t="s">
        <v>327</v>
      </c>
      <c r="C129" s="5" t="s">
        <v>303</v>
      </c>
      <c r="D129" s="23">
        <v>45962</v>
      </c>
      <c r="E129" s="5">
        <v>22262333.333333332</v>
      </c>
      <c r="F129" s="5" t="s">
        <v>328</v>
      </c>
    </row>
    <row r="130" spans="1:6">
      <c r="A130" s="4">
        <f t="shared" si="1"/>
        <v>129</v>
      </c>
      <c r="B130" s="4" t="s">
        <v>327</v>
      </c>
      <c r="C130" s="5" t="s">
        <v>293</v>
      </c>
      <c r="D130" s="23">
        <v>45962</v>
      </c>
      <c r="E130" s="5">
        <v>55842111.111111142</v>
      </c>
      <c r="F130" s="5" t="s">
        <v>328</v>
      </c>
    </row>
    <row r="131" spans="1:6">
      <c r="A131" s="4">
        <f t="shared" si="1"/>
        <v>130</v>
      </c>
      <c r="B131" s="4" t="s">
        <v>327</v>
      </c>
      <c r="C131" s="5" t="s">
        <v>299</v>
      </c>
      <c r="D131" s="23">
        <v>45962</v>
      </c>
      <c r="E131" s="5">
        <v>41901666.666666657</v>
      </c>
      <c r="F131" s="5" t="s">
        <v>328</v>
      </c>
    </row>
    <row r="132" spans="1:6">
      <c r="A132" s="4">
        <f t="shared" si="1"/>
        <v>131</v>
      </c>
      <c r="B132" s="4" t="s">
        <v>322</v>
      </c>
      <c r="C132" s="5" t="s">
        <v>299</v>
      </c>
      <c r="D132" s="23">
        <v>45932</v>
      </c>
      <c r="E132" s="24">
        <v>1815</v>
      </c>
      <c r="F132" s="5" t="s">
        <v>321</v>
      </c>
    </row>
    <row r="133" spans="1:6">
      <c r="A133" s="4">
        <f t="shared" si="1"/>
        <v>132</v>
      </c>
      <c r="B133" s="4" t="s">
        <v>323</v>
      </c>
      <c r="C133" s="5" t="s">
        <v>295</v>
      </c>
      <c r="D133" s="23">
        <v>45931</v>
      </c>
      <c r="E133" s="24">
        <v>25175.71</v>
      </c>
      <c r="F133" s="5" t="s">
        <v>321</v>
      </c>
    </row>
    <row r="134" spans="1:6">
      <c r="A134" s="4">
        <f t="shared" si="1"/>
        <v>133</v>
      </c>
      <c r="B134" s="4" t="s">
        <v>324</v>
      </c>
      <c r="C134" s="5" t="s">
        <v>298</v>
      </c>
      <c r="D134" s="23">
        <v>45931</v>
      </c>
      <c r="E134" s="24">
        <v>5437.8</v>
      </c>
      <c r="F134" s="5" t="s">
        <v>321</v>
      </c>
    </row>
    <row r="135" spans="1:6">
      <c r="A135" s="4">
        <f t="shared" si="1"/>
        <v>134</v>
      </c>
      <c r="B135" s="4" t="s">
        <v>324</v>
      </c>
      <c r="C135" s="5" t="s">
        <v>295</v>
      </c>
      <c r="D135" s="23">
        <v>45931</v>
      </c>
      <c r="E135" s="24">
        <v>15999.29</v>
      </c>
      <c r="F135" s="5" t="s">
        <v>321</v>
      </c>
    </row>
    <row r="136" spans="1:6">
      <c r="A136" s="4">
        <f t="shared" si="1"/>
        <v>135</v>
      </c>
      <c r="B136" s="4" t="s">
        <v>324</v>
      </c>
      <c r="C136" s="5" t="s">
        <v>308</v>
      </c>
      <c r="D136" s="23">
        <v>45931</v>
      </c>
      <c r="E136" s="24">
        <v>360</v>
      </c>
      <c r="F136" s="5" t="s">
        <v>321</v>
      </c>
    </row>
    <row r="137" spans="1:6">
      <c r="A137" s="4">
        <f t="shared" si="1"/>
        <v>136</v>
      </c>
      <c r="B137" s="4" t="s">
        <v>324</v>
      </c>
      <c r="C137" s="5" t="s">
        <v>300</v>
      </c>
      <c r="D137" s="23">
        <v>45931</v>
      </c>
      <c r="E137" s="24">
        <v>31532.09</v>
      </c>
      <c r="F137" s="5" t="s">
        <v>321</v>
      </c>
    </row>
    <row r="138" spans="1:6">
      <c r="A138" s="4">
        <f t="shared" si="1"/>
        <v>137</v>
      </c>
      <c r="B138" s="4" t="s">
        <v>324</v>
      </c>
      <c r="C138" s="5" t="s">
        <v>307</v>
      </c>
      <c r="D138" s="23">
        <v>45931</v>
      </c>
      <c r="E138" s="24">
        <v>18728</v>
      </c>
      <c r="F138" s="5" t="s">
        <v>321</v>
      </c>
    </row>
    <row r="139" spans="1:6">
      <c r="A139" s="4">
        <f t="shared" ref="A139:A202" si="2">ROW()-1</f>
        <v>138</v>
      </c>
      <c r="B139" s="4" t="s">
        <v>325</v>
      </c>
      <c r="C139" s="5" t="s">
        <v>299</v>
      </c>
      <c r="D139" s="23">
        <v>45931</v>
      </c>
      <c r="E139" s="24">
        <v>73161</v>
      </c>
      <c r="F139" s="5" t="s">
        <v>321</v>
      </c>
    </row>
    <row r="140" spans="1:6">
      <c r="A140" s="4">
        <f t="shared" si="2"/>
        <v>139</v>
      </c>
      <c r="B140" s="4" t="s">
        <v>325</v>
      </c>
      <c r="C140" s="5" t="s">
        <v>308</v>
      </c>
      <c r="D140" s="23">
        <v>45931</v>
      </c>
      <c r="E140" s="24">
        <v>71357.709999999992</v>
      </c>
      <c r="F140" s="5" t="s">
        <v>321</v>
      </c>
    </row>
    <row r="141" spans="1:6">
      <c r="A141" s="4">
        <f t="shared" si="2"/>
        <v>140</v>
      </c>
      <c r="B141" s="4" t="s">
        <v>325</v>
      </c>
      <c r="C141" s="5" t="s">
        <v>304</v>
      </c>
      <c r="D141" s="23">
        <v>45931</v>
      </c>
      <c r="E141" s="24">
        <v>18643.379999999997</v>
      </c>
      <c r="F141" s="5" t="s">
        <v>321</v>
      </c>
    </row>
    <row r="142" spans="1:6">
      <c r="A142" s="4">
        <f t="shared" si="2"/>
        <v>141</v>
      </c>
      <c r="B142" s="4" t="s">
        <v>325</v>
      </c>
      <c r="C142" s="5" t="s">
        <v>300</v>
      </c>
      <c r="D142" s="23">
        <v>45931</v>
      </c>
      <c r="E142" s="24">
        <v>153105.51</v>
      </c>
      <c r="F142" s="5" t="s">
        <v>321</v>
      </c>
    </row>
    <row r="143" spans="1:6">
      <c r="A143" s="4">
        <f t="shared" si="2"/>
        <v>142</v>
      </c>
      <c r="B143" s="4" t="s">
        <v>325</v>
      </c>
      <c r="C143" s="5" t="s">
        <v>307</v>
      </c>
      <c r="D143" s="23">
        <v>45931</v>
      </c>
      <c r="E143" s="24">
        <v>231340</v>
      </c>
      <c r="F143" s="5" t="s">
        <v>321</v>
      </c>
    </row>
    <row r="144" spans="1:6">
      <c r="A144" s="4">
        <f t="shared" si="2"/>
        <v>143</v>
      </c>
      <c r="B144" s="4" t="s">
        <v>325</v>
      </c>
      <c r="C144" s="5" t="s">
        <v>309</v>
      </c>
      <c r="D144" s="23">
        <v>45931</v>
      </c>
      <c r="E144" s="24">
        <v>3272</v>
      </c>
      <c r="F144" s="5" t="s">
        <v>321</v>
      </c>
    </row>
    <row r="145" spans="1:6">
      <c r="A145" s="4">
        <f t="shared" si="2"/>
        <v>144</v>
      </c>
      <c r="B145" s="4" t="s">
        <v>325</v>
      </c>
      <c r="C145" s="5" t="s">
        <v>301</v>
      </c>
      <c r="D145" s="23">
        <v>45931</v>
      </c>
      <c r="E145" s="24">
        <v>47106</v>
      </c>
      <c r="F145" s="5" t="s">
        <v>321</v>
      </c>
    </row>
    <row r="146" spans="1:6">
      <c r="A146" s="4">
        <f t="shared" si="2"/>
        <v>145</v>
      </c>
      <c r="B146" s="4" t="s">
        <v>325</v>
      </c>
      <c r="C146" s="5" t="s">
        <v>294</v>
      </c>
      <c r="D146" s="23">
        <v>45931</v>
      </c>
      <c r="E146" s="24">
        <v>11637.2</v>
      </c>
      <c r="F146" s="5" t="s">
        <v>321</v>
      </c>
    </row>
    <row r="147" spans="1:6">
      <c r="A147" s="4">
        <f t="shared" si="2"/>
        <v>146</v>
      </c>
      <c r="B147" s="4" t="s">
        <v>320</v>
      </c>
      <c r="C147" s="5" t="s">
        <v>295</v>
      </c>
      <c r="D147" s="23">
        <v>45931</v>
      </c>
      <c r="E147" s="24">
        <v>2702</v>
      </c>
      <c r="F147" s="5" t="s">
        <v>321</v>
      </c>
    </row>
    <row r="148" spans="1:6">
      <c r="A148" s="4">
        <f t="shared" si="2"/>
        <v>147</v>
      </c>
      <c r="B148" s="4" t="s">
        <v>320</v>
      </c>
      <c r="C148" s="5" t="s">
        <v>300</v>
      </c>
      <c r="D148" s="23">
        <v>45931</v>
      </c>
      <c r="E148" s="24">
        <v>42020.18</v>
      </c>
      <c r="F148" s="5" t="s">
        <v>321</v>
      </c>
    </row>
    <row r="149" spans="1:6">
      <c r="A149" s="4">
        <f t="shared" si="2"/>
        <v>148</v>
      </c>
      <c r="B149" s="4" t="s">
        <v>320</v>
      </c>
      <c r="C149" s="5" t="s">
        <v>299</v>
      </c>
      <c r="D149" s="23">
        <v>45931</v>
      </c>
      <c r="E149" s="24">
        <v>45456.04</v>
      </c>
      <c r="F149" s="5" t="s">
        <v>321</v>
      </c>
    </row>
    <row r="150" spans="1:6">
      <c r="A150" s="4">
        <f t="shared" si="2"/>
        <v>149</v>
      </c>
      <c r="B150" s="4" t="s">
        <v>320</v>
      </c>
      <c r="C150" s="5" t="s">
        <v>304</v>
      </c>
      <c r="D150" s="23">
        <v>45931</v>
      </c>
      <c r="E150" s="24">
        <v>5776</v>
      </c>
      <c r="F150" s="5" t="s">
        <v>321</v>
      </c>
    </row>
    <row r="151" spans="1:6">
      <c r="A151" s="4">
        <f t="shared" si="2"/>
        <v>150</v>
      </c>
      <c r="B151" s="4" t="s">
        <v>320</v>
      </c>
      <c r="C151" s="5" t="s">
        <v>308</v>
      </c>
      <c r="D151" s="23">
        <v>45931</v>
      </c>
      <c r="E151" s="24">
        <v>18837.400000000001</v>
      </c>
      <c r="F151" s="5" t="s">
        <v>321</v>
      </c>
    </row>
    <row r="152" spans="1:6">
      <c r="A152" s="4">
        <f t="shared" si="2"/>
        <v>151</v>
      </c>
      <c r="B152" s="4" t="s">
        <v>320</v>
      </c>
      <c r="C152" s="5" t="s">
        <v>312</v>
      </c>
      <c r="D152" s="23">
        <v>45931</v>
      </c>
      <c r="E152" s="24">
        <v>119110</v>
      </c>
      <c r="F152" s="5" t="s">
        <v>321</v>
      </c>
    </row>
    <row r="153" spans="1:6">
      <c r="A153" s="4">
        <f t="shared" si="2"/>
        <v>152</v>
      </c>
      <c r="B153" s="4" t="s">
        <v>327</v>
      </c>
      <c r="C153" s="5" t="s">
        <v>303</v>
      </c>
      <c r="D153" s="23">
        <v>45931</v>
      </c>
      <c r="E153" s="5">
        <v>19363000</v>
      </c>
      <c r="F153" s="5" t="s">
        <v>328</v>
      </c>
    </row>
    <row r="154" spans="1:6">
      <c r="A154" s="4">
        <f t="shared" si="2"/>
        <v>153</v>
      </c>
      <c r="B154" s="4" t="s">
        <v>327</v>
      </c>
      <c r="C154" s="5" t="s">
        <v>293</v>
      </c>
      <c r="D154" s="23">
        <v>45931</v>
      </c>
      <c r="E154" s="5">
        <v>87235164.999999955</v>
      </c>
      <c r="F154" s="5" t="s">
        <v>328</v>
      </c>
    </row>
    <row r="155" spans="1:6">
      <c r="A155" s="4">
        <f t="shared" si="2"/>
        <v>154</v>
      </c>
      <c r="B155" s="4" t="s">
        <v>327</v>
      </c>
      <c r="C155" s="5" t="s">
        <v>299</v>
      </c>
      <c r="D155" s="23">
        <v>45931</v>
      </c>
      <c r="E155" s="5">
        <v>36265000</v>
      </c>
      <c r="F155" s="5" t="s">
        <v>328</v>
      </c>
    </row>
    <row r="156" spans="1:6">
      <c r="A156" s="4">
        <f t="shared" si="2"/>
        <v>155</v>
      </c>
      <c r="B156" s="4" t="s">
        <v>329</v>
      </c>
      <c r="C156" s="5" t="s">
        <v>296</v>
      </c>
      <c r="D156" s="25">
        <v>45931</v>
      </c>
      <c r="E156" s="24">
        <v>564</v>
      </c>
      <c r="F156" s="5" t="s">
        <v>321</v>
      </c>
    </row>
    <row r="157" spans="1:6">
      <c r="A157" s="4">
        <f t="shared" si="2"/>
        <v>156</v>
      </c>
      <c r="B157" s="4" t="s">
        <v>323</v>
      </c>
      <c r="C157" s="5" t="s">
        <v>295</v>
      </c>
      <c r="D157" s="23">
        <v>45901</v>
      </c>
      <c r="E157" s="24">
        <v>15680.85</v>
      </c>
      <c r="F157" s="5" t="s">
        <v>321</v>
      </c>
    </row>
    <row r="158" spans="1:6">
      <c r="A158" s="4">
        <f t="shared" si="2"/>
        <v>157</v>
      </c>
      <c r="B158" s="4" t="s">
        <v>324</v>
      </c>
      <c r="C158" s="5" t="s">
        <v>298</v>
      </c>
      <c r="D158" s="23">
        <v>45901</v>
      </c>
      <c r="E158" s="24">
        <v>4176.3999999999996</v>
      </c>
      <c r="F158" s="5" t="s">
        <v>321</v>
      </c>
    </row>
    <row r="159" spans="1:6">
      <c r="A159" s="4">
        <f t="shared" si="2"/>
        <v>158</v>
      </c>
      <c r="B159" s="4" t="s">
        <v>324</v>
      </c>
      <c r="C159" s="5" t="s">
        <v>295</v>
      </c>
      <c r="D159" s="23">
        <v>45901</v>
      </c>
      <c r="E159" s="24">
        <v>30093.52</v>
      </c>
      <c r="F159" s="5" t="s">
        <v>321</v>
      </c>
    </row>
    <row r="160" spans="1:6">
      <c r="A160" s="4">
        <f t="shared" si="2"/>
        <v>159</v>
      </c>
      <c r="B160" s="4" t="s">
        <v>324</v>
      </c>
      <c r="C160" s="5" t="s">
        <v>300</v>
      </c>
      <c r="D160" s="23">
        <v>45901</v>
      </c>
      <c r="E160" s="24">
        <v>20852.599999999999</v>
      </c>
      <c r="F160" s="5" t="s">
        <v>321</v>
      </c>
    </row>
    <row r="161" spans="1:6">
      <c r="A161" s="4">
        <f t="shared" si="2"/>
        <v>160</v>
      </c>
      <c r="B161" s="4" t="s">
        <v>324</v>
      </c>
      <c r="C161" s="5" t="s">
        <v>307</v>
      </c>
      <c r="D161" s="23">
        <v>45901</v>
      </c>
      <c r="E161" s="24">
        <v>36840</v>
      </c>
      <c r="F161" s="5" t="s">
        <v>321</v>
      </c>
    </row>
    <row r="162" spans="1:6">
      <c r="A162" s="4">
        <f t="shared" si="2"/>
        <v>161</v>
      </c>
      <c r="B162" s="4" t="s">
        <v>324</v>
      </c>
      <c r="C162" s="5" t="s">
        <v>312</v>
      </c>
      <c r="D162" s="23">
        <v>45901</v>
      </c>
      <c r="E162" s="24">
        <v>6026</v>
      </c>
      <c r="F162" s="5" t="s">
        <v>321</v>
      </c>
    </row>
    <row r="163" spans="1:6">
      <c r="A163" s="4">
        <f t="shared" si="2"/>
        <v>162</v>
      </c>
      <c r="B163" s="4" t="s">
        <v>325</v>
      </c>
      <c r="C163" s="5" t="s">
        <v>299</v>
      </c>
      <c r="D163" s="23">
        <v>45901</v>
      </c>
      <c r="E163" s="24">
        <v>69729.98000000001</v>
      </c>
      <c r="F163" s="5" t="s">
        <v>321</v>
      </c>
    </row>
    <row r="164" spans="1:6">
      <c r="A164" s="4">
        <f t="shared" si="2"/>
        <v>163</v>
      </c>
      <c r="B164" s="4" t="s">
        <v>325</v>
      </c>
      <c r="C164" s="5" t="s">
        <v>304</v>
      </c>
      <c r="D164" s="23">
        <v>45901</v>
      </c>
      <c r="E164" s="24">
        <v>36154.29</v>
      </c>
      <c r="F164" s="5" t="s">
        <v>321</v>
      </c>
    </row>
    <row r="165" spans="1:6">
      <c r="A165" s="4">
        <f t="shared" si="2"/>
        <v>164</v>
      </c>
      <c r="B165" s="4" t="s">
        <v>325</v>
      </c>
      <c r="C165" s="5" t="s">
        <v>300</v>
      </c>
      <c r="D165" s="23">
        <v>45901</v>
      </c>
      <c r="E165" s="24">
        <v>162243.14000000001</v>
      </c>
      <c r="F165" s="5" t="s">
        <v>321</v>
      </c>
    </row>
    <row r="166" spans="1:6">
      <c r="A166" s="4">
        <f t="shared" si="2"/>
        <v>165</v>
      </c>
      <c r="B166" s="4" t="s">
        <v>325</v>
      </c>
      <c r="C166" s="5" t="s">
        <v>309</v>
      </c>
      <c r="D166" s="23">
        <v>45901</v>
      </c>
      <c r="E166" s="24">
        <v>8076.2</v>
      </c>
      <c r="F166" s="5" t="s">
        <v>321</v>
      </c>
    </row>
    <row r="167" spans="1:6">
      <c r="A167" s="4">
        <f t="shared" si="2"/>
        <v>166</v>
      </c>
      <c r="B167" s="4" t="s">
        <v>325</v>
      </c>
      <c r="C167" s="5" t="s">
        <v>301</v>
      </c>
      <c r="D167" s="23">
        <v>45901</v>
      </c>
      <c r="E167" s="24">
        <v>15178</v>
      </c>
      <c r="F167" s="5" t="s">
        <v>321</v>
      </c>
    </row>
    <row r="168" spans="1:6">
      <c r="A168" s="4">
        <f t="shared" si="2"/>
        <v>167</v>
      </c>
      <c r="B168" s="4" t="s">
        <v>325</v>
      </c>
      <c r="C168" s="5" t="s">
        <v>294</v>
      </c>
      <c r="D168" s="23">
        <v>45901</v>
      </c>
      <c r="E168" s="24">
        <v>14301.8</v>
      </c>
      <c r="F168" s="5" t="s">
        <v>321</v>
      </c>
    </row>
    <row r="169" spans="1:6">
      <c r="A169" s="4">
        <f t="shared" si="2"/>
        <v>168</v>
      </c>
      <c r="B169" s="4" t="s">
        <v>320</v>
      </c>
      <c r="C169" s="5" t="s">
        <v>295</v>
      </c>
      <c r="D169" s="23">
        <v>45901</v>
      </c>
      <c r="E169" s="24">
        <v>4592</v>
      </c>
      <c r="F169" s="5" t="s">
        <v>321</v>
      </c>
    </row>
    <row r="170" spans="1:6">
      <c r="A170" s="4">
        <f t="shared" si="2"/>
        <v>169</v>
      </c>
      <c r="B170" s="4" t="s">
        <v>320</v>
      </c>
      <c r="C170" s="5" t="s">
        <v>300</v>
      </c>
      <c r="D170" s="23">
        <v>45901</v>
      </c>
      <c r="E170" s="24">
        <v>43525.5</v>
      </c>
      <c r="F170" s="5" t="s">
        <v>321</v>
      </c>
    </row>
    <row r="171" spans="1:6">
      <c r="A171" s="4">
        <f t="shared" si="2"/>
        <v>170</v>
      </c>
      <c r="B171" s="4" t="s">
        <v>320</v>
      </c>
      <c r="C171" s="5" t="s">
        <v>299</v>
      </c>
      <c r="D171" s="23">
        <v>45901</v>
      </c>
      <c r="E171" s="24">
        <v>30998.78</v>
      </c>
      <c r="F171" s="5" t="s">
        <v>321</v>
      </c>
    </row>
    <row r="172" spans="1:6">
      <c r="A172" s="4">
        <f t="shared" si="2"/>
        <v>171</v>
      </c>
      <c r="B172" s="4" t="s">
        <v>320</v>
      </c>
      <c r="C172" s="5" t="s">
        <v>308</v>
      </c>
      <c r="D172" s="23">
        <v>45901</v>
      </c>
      <c r="E172" s="24">
        <v>22194.25</v>
      </c>
      <c r="F172" s="5" t="s">
        <v>321</v>
      </c>
    </row>
    <row r="173" spans="1:6">
      <c r="A173" s="4">
        <f t="shared" si="2"/>
        <v>172</v>
      </c>
      <c r="B173" s="4" t="s">
        <v>327</v>
      </c>
      <c r="C173" s="5" t="s">
        <v>303</v>
      </c>
      <c r="D173" s="23">
        <v>45901</v>
      </c>
      <c r="E173" s="5">
        <v>20074000</v>
      </c>
      <c r="F173" s="5" t="s">
        <v>328</v>
      </c>
    </row>
    <row r="174" spans="1:6">
      <c r="A174" s="4">
        <f t="shared" si="2"/>
        <v>173</v>
      </c>
      <c r="B174" s="4" t="s">
        <v>327</v>
      </c>
      <c r="C174" s="5" t="s">
        <v>293</v>
      </c>
      <c r="D174" s="23">
        <v>45901</v>
      </c>
      <c r="E174" s="5">
        <v>55536555</v>
      </c>
      <c r="F174" s="5" t="s">
        <v>328</v>
      </c>
    </row>
    <row r="175" spans="1:6">
      <c r="A175" s="4">
        <f t="shared" si="2"/>
        <v>174</v>
      </c>
      <c r="B175" s="4" t="s">
        <v>327</v>
      </c>
      <c r="C175" s="5" t="s">
        <v>299</v>
      </c>
      <c r="D175" s="23">
        <v>45901</v>
      </c>
      <c r="E175" s="5">
        <v>28190000</v>
      </c>
      <c r="F175" s="5" t="s">
        <v>328</v>
      </c>
    </row>
    <row r="176" spans="1:6">
      <c r="A176" s="4">
        <f t="shared" si="2"/>
        <v>175</v>
      </c>
      <c r="B176" s="4" t="s">
        <v>329</v>
      </c>
      <c r="C176" s="5" t="s">
        <v>296</v>
      </c>
      <c r="D176" s="25">
        <v>45901</v>
      </c>
      <c r="E176" s="24">
        <v>1540</v>
      </c>
      <c r="F176" s="5" t="s">
        <v>321</v>
      </c>
    </row>
    <row r="177" spans="1:6">
      <c r="A177" s="4">
        <f t="shared" si="2"/>
        <v>176</v>
      </c>
      <c r="B177" s="4" t="s">
        <v>322</v>
      </c>
      <c r="C177" s="5" t="s">
        <v>299</v>
      </c>
      <c r="D177" s="23">
        <v>45901</v>
      </c>
      <c r="E177" s="24">
        <v>1120</v>
      </c>
      <c r="F177" s="5" t="s">
        <v>321</v>
      </c>
    </row>
    <row r="178" spans="1:6">
      <c r="A178" s="4">
        <f t="shared" si="2"/>
        <v>177</v>
      </c>
      <c r="B178" s="4" t="s">
        <v>323</v>
      </c>
      <c r="C178" s="5" t="s">
        <v>295</v>
      </c>
      <c r="D178" s="23">
        <v>45870</v>
      </c>
      <c r="E178" s="24">
        <v>17595.52</v>
      </c>
      <c r="F178" s="5" t="s">
        <v>321</v>
      </c>
    </row>
    <row r="179" spans="1:6">
      <c r="A179" s="4">
        <f t="shared" si="2"/>
        <v>178</v>
      </c>
      <c r="B179" s="4" t="s">
        <v>324</v>
      </c>
      <c r="C179" s="5" t="s">
        <v>298</v>
      </c>
      <c r="D179" s="23">
        <v>45870</v>
      </c>
      <c r="E179" s="24">
        <v>1696</v>
      </c>
      <c r="F179" s="5" t="s">
        <v>321</v>
      </c>
    </row>
    <row r="180" spans="1:6">
      <c r="A180" s="4">
        <f t="shared" si="2"/>
        <v>179</v>
      </c>
      <c r="B180" s="4" t="s">
        <v>324</v>
      </c>
      <c r="C180" s="5" t="s">
        <v>295</v>
      </c>
      <c r="D180" s="23">
        <v>45870</v>
      </c>
      <c r="E180" s="24">
        <v>660.5</v>
      </c>
      <c r="F180" s="5" t="s">
        <v>321</v>
      </c>
    </row>
    <row r="181" spans="1:6">
      <c r="A181" s="4">
        <f t="shared" si="2"/>
        <v>180</v>
      </c>
      <c r="B181" s="4" t="s">
        <v>324</v>
      </c>
      <c r="C181" s="5" t="s">
        <v>300</v>
      </c>
      <c r="D181" s="23">
        <v>45870</v>
      </c>
      <c r="E181" s="24">
        <v>52674.76</v>
      </c>
      <c r="F181" s="5" t="s">
        <v>321</v>
      </c>
    </row>
    <row r="182" spans="1:6">
      <c r="A182" s="4">
        <f t="shared" si="2"/>
        <v>181</v>
      </c>
      <c r="B182" s="4" t="s">
        <v>324</v>
      </c>
      <c r="C182" s="5" t="s">
        <v>307</v>
      </c>
      <c r="D182" s="23">
        <v>45870</v>
      </c>
      <c r="E182" s="24">
        <v>21664</v>
      </c>
      <c r="F182" s="5" t="s">
        <v>321</v>
      </c>
    </row>
    <row r="183" spans="1:6">
      <c r="A183" s="4">
        <f t="shared" si="2"/>
        <v>182</v>
      </c>
      <c r="B183" s="4" t="s">
        <v>325</v>
      </c>
      <c r="C183" s="5" t="s">
        <v>299</v>
      </c>
      <c r="D183" s="23">
        <v>45870</v>
      </c>
      <c r="E183" s="24">
        <v>28944.769999999997</v>
      </c>
      <c r="F183" s="5" t="s">
        <v>321</v>
      </c>
    </row>
    <row r="184" spans="1:6">
      <c r="A184" s="4">
        <f t="shared" si="2"/>
        <v>183</v>
      </c>
      <c r="B184" s="4" t="s">
        <v>325</v>
      </c>
      <c r="C184" s="5" t="s">
        <v>304</v>
      </c>
      <c r="D184" s="23">
        <v>45870</v>
      </c>
      <c r="E184" s="24">
        <v>29279.42</v>
      </c>
      <c r="F184" s="5" t="s">
        <v>321</v>
      </c>
    </row>
    <row r="185" spans="1:6">
      <c r="A185" s="4">
        <f t="shared" si="2"/>
        <v>184</v>
      </c>
      <c r="B185" s="4" t="s">
        <v>325</v>
      </c>
      <c r="C185" s="5" t="s">
        <v>300</v>
      </c>
      <c r="D185" s="23">
        <v>45870</v>
      </c>
      <c r="E185" s="24">
        <v>85594.08</v>
      </c>
      <c r="F185" s="5" t="s">
        <v>321</v>
      </c>
    </row>
    <row r="186" spans="1:6">
      <c r="A186" s="4">
        <f t="shared" si="2"/>
        <v>185</v>
      </c>
      <c r="B186" s="4" t="s">
        <v>325</v>
      </c>
      <c r="C186" s="5" t="s">
        <v>307</v>
      </c>
      <c r="D186" s="23">
        <v>45870</v>
      </c>
      <c r="E186" s="24">
        <v>54452</v>
      </c>
      <c r="F186" s="5" t="s">
        <v>321</v>
      </c>
    </row>
    <row r="187" spans="1:6">
      <c r="A187" s="4">
        <f t="shared" si="2"/>
        <v>186</v>
      </c>
      <c r="B187" s="4" t="s">
        <v>325</v>
      </c>
      <c r="C187" s="5" t="s">
        <v>309</v>
      </c>
      <c r="D187" s="23">
        <v>45870</v>
      </c>
      <c r="E187" s="24">
        <v>36063.800000000003</v>
      </c>
      <c r="F187" s="5" t="s">
        <v>321</v>
      </c>
    </row>
    <row r="188" spans="1:6">
      <c r="A188" s="4">
        <f t="shared" si="2"/>
        <v>187</v>
      </c>
      <c r="B188" s="4" t="s">
        <v>325</v>
      </c>
      <c r="C188" s="5" t="s">
        <v>301</v>
      </c>
      <c r="D188" s="23">
        <v>45870</v>
      </c>
      <c r="E188" s="24">
        <v>34304</v>
      </c>
      <c r="F188" s="5" t="s">
        <v>321</v>
      </c>
    </row>
    <row r="189" spans="1:6">
      <c r="A189" s="4">
        <f t="shared" si="2"/>
        <v>188</v>
      </c>
      <c r="B189" s="4" t="s">
        <v>320</v>
      </c>
      <c r="C189" s="5" t="s">
        <v>295</v>
      </c>
      <c r="D189" s="23">
        <v>45870</v>
      </c>
      <c r="E189" s="24">
        <v>7168</v>
      </c>
      <c r="F189" s="5" t="s">
        <v>321</v>
      </c>
    </row>
    <row r="190" spans="1:6">
      <c r="A190" s="4">
        <f t="shared" si="2"/>
        <v>189</v>
      </c>
      <c r="B190" s="4" t="s">
        <v>320</v>
      </c>
      <c r="C190" s="5" t="s">
        <v>300</v>
      </c>
      <c r="D190" s="23">
        <v>45870</v>
      </c>
      <c r="E190" s="24">
        <v>39956.5</v>
      </c>
      <c r="F190" s="5" t="s">
        <v>321</v>
      </c>
    </row>
    <row r="191" spans="1:6">
      <c r="A191" s="4">
        <f t="shared" si="2"/>
        <v>190</v>
      </c>
      <c r="B191" s="4" t="s">
        <v>320</v>
      </c>
      <c r="C191" s="5" t="s">
        <v>299</v>
      </c>
      <c r="D191" s="23">
        <v>45870</v>
      </c>
      <c r="E191" s="24">
        <v>74288.460000000006</v>
      </c>
      <c r="F191" s="5" t="s">
        <v>321</v>
      </c>
    </row>
    <row r="192" spans="1:6">
      <c r="A192" s="4">
        <f t="shared" si="2"/>
        <v>191</v>
      </c>
      <c r="B192" s="4" t="s">
        <v>320</v>
      </c>
      <c r="C192" s="5" t="s">
        <v>304</v>
      </c>
      <c r="D192" s="23">
        <v>45870</v>
      </c>
      <c r="E192" s="24">
        <v>5347.06</v>
      </c>
      <c r="F192" s="5" t="s">
        <v>321</v>
      </c>
    </row>
    <row r="193" spans="1:6">
      <c r="A193" s="4">
        <f t="shared" si="2"/>
        <v>192</v>
      </c>
      <c r="B193" s="4" t="s">
        <v>320</v>
      </c>
      <c r="C193" s="5" t="s">
        <v>307</v>
      </c>
      <c r="D193" s="23">
        <v>45870</v>
      </c>
      <c r="E193" s="24">
        <v>3824</v>
      </c>
      <c r="F193" s="5" t="s">
        <v>321</v>
      </c>
    </row>
    <row r="194" spans="1:6">
      <c r="A194" s="4">
        <f t="shared" si="2"/>
        <v>193</v>
      </c>
      <c r="B194" s="4" t="s">
        <v>320</v>
      </c>
      <c r="C194" s="5" t="s">
        <v>312</v>
      </c>
      <c r="D194" s="23">
        <v>45870</v>
      </c>
      <c r="E194" s="24">
        <v>3112.5</v>
      </c>
      <c r="F194" s="5" t="s">
        <v>321</v>
      </c>
    </row>
    <row r="195" spans="1:6">
      <c r="A195" s="4">
        <f t="shared" si="2"/>
        <v>194</v>
      </c>
      <c r="B195" s="4" t="s">
        <v>327</v>
      </c>
      <c r="C195" s="5" t="s">
        <v>303</v>
      </c>
      <c r="D195" s="23">
        <v>45870</v>
      </c>
      <c r="E195" s="5">
        <v>29098304</v>
      </c>
      <c r="F195" s="5" t="s">
        <v>328</v>
      </c>
    </row>
    <row r="196" spans="1:6">
      <c r="A196" s="4">
        <f t="shared" si="2"/>
        <v>195</v>
      </c>
      <c r="B196" s="4" t="s">
        <v>327</v>
      </c>
      <c r="C196" s="5" t="s">
        <v>293</v>
      </c>
      <c r="D196" s="23">
        <v>45870</v>
      </c>
      <c r="E196" s="5">
        <v>63664536.95652172</v>
      </c>
      <c r="F196" s="5" t="s">
        <v>328</v>
      </c>
    </row>
    <row r="197" spans="1:6">
      <c r="A197" s="4">
        <f t="shared" si="2"/>
        <v>196</v>
      </c>
      <c r="B197" s="4" t="s">
        <v>327</v>
      </c>
      <c r="C197" s="5" t="s">
        <v>299</v>
      </c>
      <c r="D197" s="23">
        <v>45870</v>
      </c>
      <c r="E197" s="5">
        <v>29485434.782608692</v>
      </c>
      <c r="F197" s="5" t="s">
        <v>328</v>
      </c>
    </row>
    <row r="198" spans="1:6">
      <c r="A198" s="4">
        <f t="shared" si="2"/>
        <v>197</v>
      </c>
      <c r="B198" s="4" t="s">
        <v>329</v>
      </c>
      <c r="C198" s="5" t="s">
        <v>296</v>
      </c>
      <c r="D198" s="25">
        <v>45870</v>
      </c>
      <c r="E198" s="24">
        <v>1270</v>
      </c>
      <c r="F198" s="5" t="s">
        <v>321</v>
      </c>
    </row>
    <row r="199" spans="1:6">
      <c r="A199" s="4">
        <f t="shared" si="2"/>
        <v>198</v>
      </c>
      <c r="B199" s="4" t="s">
        <v>322</v>
      </c>
      <c r="C199" s="5" t="s">
        <v>299</v>
      </c>
      <c r="D199" s="23">
        <v>45870</v>
      </c>
      <c r="E199" s="24">
        <v>2850</v>
      </c>
      <c r="F199" s="5" t="s">
        <v>321</v>
      </c>
    </row>
    <row r="200" spans="1:6">
      <c r="A200" s="4">
        <f t="shared" si="2"/>
        <v>199</v>
      </c>
      <c r="B200" s="4" t="s">
        <v>323</v>
      </c>
      <c r="C200" s="5" t="s">
        <v>295</v>
      </c>
      <c r="D200" s="23">
        <v>45839</v>
      </c>
      <c r="E200" s="24">
        <v>15482.2</v>
      </c>
      <c r="F200" s="5" t="s">
        <v>321</v>
      </c>
    </row>
    <row r="201" spans="1:6">
      <c r="A201" s="4">
        <f t="shared" si="2"/>
        <v>200</v>
      </c>
      <c r="B201" s="4" t="s">
        <v>324</v>
      </c>
      <c r="C201" s="5" t="s">
        <v>298</v>
      </c>
      <c r="D201" s="23">
        <v>45839</v>
      </c>
      <c r="E201" s="24">
        <v>7363.6</v>
      </c>
      <c r="F201" s="5" t="s">
        <v>321</v>
      </c>
    </row>
    <row r="202" spans="1:6">
      <c r="A202" s="4">
        <f t="shared" si="2"/>
        <v>201</v>
      </c>
      <c r="B202" s="4" t="s">
        <v>324</v>
      </c>
      <c r="C202" s="5" t="s">
        <v>295</v>
      </c>
      <c r="D202" s="23">
        <v>45839</v>
      </c>
      <c r="E202" s="24">
        <v>30822.82</v>
      </c>
      <c r="F202" s="5" t="s">
        <v>321</v>
      </c>
    </row>
    <row r="203" spans="1:6">
      <c r="A203" s="4">
        <f t="shared" ref="A203:A266" si="3">ROW()-1</f>
        <v>202</v>
      </c>
      <c r="B203" s="4" t="s">
        <v>324</v>
      </c>
      <c r="C203" s="5" t="s">
        <v>300</v>
      </c>
      <c r="D203" s="23">
        <v>45839</v>
      </c>
      <c r="E203" s="24">
        <v>31744.46</v>
      </c>
      <c r="F203" s="5" t="s">
        <v>321</v>
      </c>
    </row>
    <row r="204" spans="1:6">
      <c r="A204" s="4">
        <f t="shared" si="3"/>
        <v>203</v>
      </c>
      <c r="B204" s="4" t="s">
        <v>325</v>
      </c>
      <c r="C204" s="5" t="s">
        <v>299</v>
      </c>
      <c r="D204" s="23">
        <v>45839</v>
      </c>
      <c r="E204" s="24">
        <v>73123.009999999995</v>
      </c>
      <c r="F204" s="5" t="s">
        <v>321</v>
      </c>
    </row>
    <row r="205" spans="1:6">
      <c r="A205" s="4">
        <f t="shared" si="3"/>
        <v>204</v>
      </c>
      <c r="B205" s="4" t="s">
        <v>325</v>
      </c>
      <c r="C205" s="5" t="s">
        <v>308</v>
      </c>
      <c r="D205" s="23">
        <v>45839</v>
      </c>
      <c r="E205" s="24">
        <v>30080.93</v>
      </c>
      <c r="F205" s="5" t="s">
        <v>321</v>
      </c>
    </row>
    <row r="206" spans="1:6">
      <c r="A206" s="4">
        <f t="shared" si="3"/>
        <v>205</v>
      </c>
      <c r="B206" s="4" t="s">
        <v>325</v>
      </c>
      <c r="C206" s="5" t="s">
        <v>304</v>
      </c>
      <c r="D206" s="23">
        <v>45839</v>
      </c>
      <c r="E206" s="24">
        <v>74142.600000000006</v>
      </c>
      <c r="F206" s="5" t="s">
        <v>321</v>
      </c>
    </row>
    <row r="207" spans="1:6">
      <c r="A207" s="4">
        <f t="shared" si="3"/>
        <v>206</v>
      </c>
      <c r="B207" s="4" t="s">
        <v>325</v>
      </c>
      <c r="C207" s="5" t="s">
        <v>300</v>
      </c>
      <c r="D207" s="23">
        <v>45839</v>
      </c>
      <c r="E207" s="24">
        <v>199819.41</v>
      </c>
      <c r="F207" s="5" t="s">
        <v>321</v>
      </c>
    </row>
    <row r="208" spans="1:6">
      <c r="A208" s="4">
        <f t="shared" si="3"/>
        <v>207</v>
      </c>
      <c r="B208" s="4" t="s">
        <v>325</v>
      </c>
      <c r="C208" s="5" t="s">
        <v>307</v>
      </c>
      <c r="D208" s="23">
        <v>45839</v>
      </c>
      <c r="E208" s="24">
        <v>67064</v>
      </c>
      <c r="F208" s="5" t="s">
        <v>321</v>
      </c>
    </row>
    <row r="209" spans="1:6">
      <c r="A209" s="4">
        <f t="shared" si="3"/>
        <v>208</v>
      </c>
      <c r="B209" s="4" t="s">
        <v>320</v>
      </c>
      <c r="C209" s="5" t="s">
        <v>295</v>
      </c>
      <c r="D209" s="23">
        <v>45839</v>
      </c>
      <c r="E209" s="24">
        <v>5544</v>
      </c>
      <c r="F209" s="5" t="s">
        <v>321</v>
      </c>
    </row>
    <row r="210" spans="1:6">
      <c r="A210" s="4">
        <f t="shared" si="3"/>
        <v>209</v>
      </c>
      <c r="B210" s="4" t="s">
        <v>320</v>
      </c>
      <c r="C210" s="5" t="s">
        <v>300</v>
      </c>
      <c r="D210" s="23">
        <v>45839</v>
      </c>
      <c r="E210" s="24">
        <v>38552</v>
      </c>
      <c r="F210" s="5" t="s">
        <v>321</v>
      </c>
    </row>
    <row r="211" spans="1:6">
      <c r="A211" s="4">
        <f t="shared" si="3"/>
        <v>210</v>
      </c>
      <c r="B211" s="4" t="s">
        <v>320</v>
      </c>
      <c r="C211" s="5" t="s">
        <v>299</v>
      </c>
      <c r="D211" s="23">
        <v>45839</v>
      </c>
      <c r="E211" s="24">
        <v>54230.46</v>
      </c>
      <c r="F211" s="5" t="s">
        <v>321</v>
      </c>
    </row>
    <row r="212" spans="1:6">
      <c r="A212" s="4">
        <f t="shared" si="3"/>
        <v>211</v>
      </c>
      <c r="B212" s="4" t="s">
        <v>320</v>
      </c>
      <c r="C212" s="5" t="s">
        <v>304</v>
      </c>
      <c r="D212" s="23">
        <v>45839</v>
      </c>
      <c r="E212" s="24">
        <v>3177.63</v>
      </c>
      <c r="F212" s="5" t="s">
        <v>321</v>
      </c>
    </row>
    <row r="213" spans="1:6">
      <c r="A213" s="4">
        <f t="shared" si="3"/>
        <v>212</v>
      </c>
      <c r="B213" s="4" t="s">
        <v>320</v>
      </c>
      <c r="C213" s="5" t="s">
        <v>308</v>
      </c>
      <c r="D213" s="23">
        <v>45839</v>
      </c>
      <c r="E213" s="24">
        <v>5150.3999999999996</v>
      </c>
      <c r="F213" s="5" t="s">
        <v>321</v>
      </c>
    </row>
    <row r="214" spans="1:6">
      <c r="A214" s="4">
        <f t="shared" si="3"/>
        <v>213</v>
      </c>
      <c r="B214" s="4" t="s">
        <v>327</v>
      </c>
      <c r="C214" s="5" t="s">
        <v>303</v>
      </c>
      <c r="D214" s="23">
        <v>45839</v>
      </c>
      <c r="E214" s="5">
        <v>29075946.999999996</v>
      </c>
      <c r="F214" s="5" t="s">
        <v>328</v>
      </c>
    </row>
    <row r="215" spans="1:6">
      <c r="A215" s="4">
        <f t="shared" si="3"/>
        <v>214</v>
      </c>
      <c r="B215" s="4" t="s">
        <v>327</v>
      </c>
      <c r="C215" s="5" t="s">
        <v>293</v>
      </c>
      <c r="D215" s="23">
        <v>45839</v>
      </c>
      <c r="E215" s="5">
        <v>63232088.210526302</v>
      </c>
      <c r="F215" s="5" t="s">
        <v>328</v>
      </c>
    </row>
    <row r="216" spans="1:6">
      <c r="A216" s="4">
        <f t="shared" si="3"/>
        <v>215</v>
      </c>
      <c r="B216" s="4" t="s">
        <v>327</v>
      </c>
      <c r="C216" s="5" t="s">
        <v>299</v>
      </c>
      <c r="D216" s="23">
        <v>45839</v>
      </c>
      <c r="E216" s="5">
        <v>30564999.999999996</v>
      </c>
      <c r="F216" s="5" t="s">
        <v>328</v>
      </c>
    </row>
    <row r="217" spans="1:6">
      <c r="A217" s="4">
        <f t="shared" si="3"/>
        <v>216</v>
      </c>
      <c r="B217" s="4" t="s">
        <v>327</v>
      </c>
      <c r="C217" s="5" t="s">
        <v>305</v>
      </c>
      <c r="D217" s="23">
        <v>45839</v>
      </c>
      <c r="E217" s="5">
        <v>1380000</v>
      </c>
      <c r="F217" s="5" t="s">
        <v>328</v>
      </c>
    </row>
    <row r="218" spans="1:6">
      <c r="A218" s="4">
        <f t="shared" si="3"/>
        <v>217</v>
      </c>
      <c r="B218" s="4" t="s">
        <v>329</v>
      </c>
      <c r="C218" s="5" t="s">
        <v>296</v>
      </c>
      <c r="D218" s="25">
        <v>45839</v>
      </c>
      <c r="E218" s="24">
        <v>1684</v>
      </c>
      <c r="F218" s="5" t="s">
        <v>321</v>
      </c>
    </row>
    <row r="219" spans="1:6">
      <c r="A219" s="4">
        <f t="shared" si="3"/>
        <v>218</v>
      </c>
      <c r="B219" s="4" t="s">
        <v>322</v>
      </c>
      <c r="C219" s="5" t="s">
        <v>299</v>
      </c>
      <c r="D219" s="23">
        <v>45839</v>
      </c>
      <c r="E219" s="24">
        <v>1320</v>
      </c>
      <c r="F219" s="5" t="s">
        <v>321</v>
      </c>
    </row>
    <row r="220" spans="1:6">
      <c r="A220" s="4">
        <f t="shared" si="3"/>
        <v>219</v>
      </c>
      <c r="B220" s="4" t="s">
        <v>323</v>
      </c>
      <c r="C220" s="5" t="s">
        <v>304</v>
      </c>
      <c r="D220" s="23">
        <v>45809</v>
      </c>
      <c r="E220" s="24">
        <v>920.8</v>
      </c>
      <c r="F220" s="5" t="s">
        <v>321</v>
      </c>
    </row>
    <row r="221" spans="1:6">
      <c r="A221" s="4">
        <f t="shared" si="3"/>
        <v>220</v>
      </c>
      <c r="B221" s="4" t="s">
        <v>323</v>
      </c>
      <c r="C221" s="5" t="s">
        <v>295</v>
      </c>
      <c r="D221" s="23">
        <v>45809</v>
      </c>
      <c r="E221" s="24">
        <v>17557.62</v>
      </c>
      <c r="F221" s="5" t="s">
        <v>321</v>
      </c>
    </row>
    <row r="222" spans="1:6">
      <c r="A222" s="4">
        <f t="shared" si="3"/>
        <v>221</v>
      </c>
      <c r="B222" s="4" t="s">
        <v>324</v>
      </c>
      <c r="C222" s="5" t="s">
        <v>298</v>
      </c>
      <c r="D222" s="23">
        <v>45809</v>
      </c>
      <c r="E222" s="24">
        <v>3523.6</v>
      </c>
      <c r="F222" s="5" t="s">
        <v>321</v>
      </c>
    </row>
    <row r="223" spans="1:6">
      <c r="A223" s="4">
        <f t="shared" si="3"/>
        <v>222</v>
      </c>
      <c r="B223" s="4" t="s">
        <v>324</v>
      </c>
      <c r="C223" s="5" t="s">
        <v>300</v>
      </c>
      <c r="D223" s="23">
        <v>45809</v>
      </c>
      <c r="E223" s="24">
        <v>44626.080000000002</v>
      </c>
      <c r="F223" s="5" t="s">
        <v>321</v>
      </c>
    </row>
    <row r="224" spans="1:6">
      <c r="A224" s="4">
        <f t="shared" si="3"/>
        <v>223</v>
      </c>
      <c r="B224" s="4" t="s">
        <v>324</v>
      </c>
      <c r="C224" s="5" t="s">
        <v>307</v>
      </c>
      <c r="D224" s="23">
        <v>45809</v>
      </c>
      <c r="E224" s="24">
        <v>640</v>
      </c>
      <c r="F224" s="5" t="s">
        <v>321</v>
      </c>
    </row>
    <row r="225" spans="1:6">
      <c r="A225" s="4">
        <f t="shared" si="3"/>
        <v>224</v>
      </c>
      <c r="B225" s="4" t="s">
        <v>324</v>
      </c>
      <c r="C225" s="5" t="s">
        <v>312</v>
      </c>
      <c r="D225" s="23">
        <v>45809</v>
      </c>
      <c r="E225" s="24">
        <v>4140</v>
      </c>
      <c r="F225" s="5" t="s">
        <v>321</v>
      </c>
    </row>
    <row r="226" spans="1:6">
      <c r="A226" s="4">
        <f t="shared" si="3"/>
        <v>225</v>
      </c>
      <c r="B226" s="4" t="s">
        <v>325</v>
      </c>
      <c r="C226" s="5" t="s">
        <v>299</v>
      </c>
      <c r="D226" s="23">
        <v>45809</v>
      </c>
      <c r="E226" s="24">
        <v>58182.33</v>
      </c>
      <c r="F226" s="5" t="s">
        <v>321</v>
      </c>
    </row>
    <row r="227" spans="1:6">
      <c r="A227" s="4">
        <f t="shared" si="3"/>
        <v>226</v>
      </c>
      <c r="B227" s="4" t="s">
        <v>325</v>
      </c>
      <c r="C227" s="5" t="s">
        <v>308</v>
      </c>
      <c r="D227" s="23">
        <v>45809</v>
      </c>
      <c r="E227" s="24">
        <v>75111.539999999994</v>
      </c>
      <c r="F227" s="5" t="s">
        <v>321</v>
      </c>
    </row>
    <row r="228" spans="1:6">
      <c r="A228" s="4">
        <f t="shared" si="3"/>
        <v>227</v>
      </c>
      <c r="B228" s="4" t="s">
        <v>325</v>
      </c>
      <c r="C228" s="5" t="s">
        <v>304</v>
      </c>
      <c r="D228" s="23">
        <v>45809</v>
      </c>
      <c r="E228" s="24">
        <v>45719.06</v>
      </c>
      <c r="F228" s="5" t="s">
        <v>321</v>
      </c>
    </row>
    <row r="229" spans="1:6">
      <c r="A229" s="4">
        <f t="shared" si="3"/>
        <v>228</v>
      </c>
      <c r="B229" s="4" t="s">
        <v>325</v>
      </c>
      <c r="C229" s="5" t="s">
        <v>300</v>
      </c>
      <c r="D229" s="23">
        <v>45809</v>
      </c>
      <c r="E229" s="24">
        <v>106009.25</v>
      </c>
      <c r="F229" s="5" t="s">
        <v>321</v>
      </c>
    </row>
    <row r="230" spans="1:6">
      <c r="A230" s="4">
        <f t="shared" si="3"/>
        <v>229</v>
      </c>
      <c r="B230" s="4" t="s">
        <v>325</v>
      </c>
      <c r="C230" s="5" t="s">
        <v>307</v>
      </c>
      <c r="D230" s="23">
        <v>45809</v>
      </c>
      <c r="E230" s="24">
        <v>53912</v>
      </c>
      <c r="F230" s="5" t="s">
        <v>321</v>
      </c>
    </row>
    <row r="231" spans="1:6">
      <c r="A231" s="4">
        <f t="shared" si="3"/>
        <v>230</v>
      </c>
      <c r="B231" s="4" t="s">
        <v>320</v>
      </c>
      <c r="C231" s="5" t="s">
        <v>295</v>
      </c>
      <c r="D231" s="23">
        <v>45809</v>
      </c>
      <c r="E231" s="24">
        <v>6583.5</v>
      </c>
      <c r="F231" s="5" t="s">
        <v>321</v>
      </c>
    </row>
    <row r="232" spans="1:6">
      <c r="A232" s="4">
        <f t="shared" si="3"/>
        <v>231</v>
      </c>
      <c r="B232" s="4" t="s">
        <v>320</v>
      </c>
      <c r="C232" s="5" t="s">
        <v>300</v>
      </c>
      <c r="D232" s="23">
        <v>45809</v>
      </c>
      <c r="E232" s="24">
        <v>29938.5</v>
      </c>
      <c r="F232" s="5" t="s">
        <v>321</v>
      </c>
    </row>
    <row r="233" spans="1:6">
      <c r="A233" s="4">
        <f t="shared" si="3"/>
        <v>232</v>
      </c>
      <c r="B233" s="4" t="s">
        <v>320</v>
      </c>
      <c r="C233" s="5" t="s">
        <v>299</v>
      </c>
      <c r="D233" s="23">
        <v>45809</v>
      </c>
      <c r="E233" s="24">
        <v>49547.88</v>
      </c>
      <c r="F233" s="5" t="s">
        <v>321</v>
      </c>
    </row>
    <row r="234" spans="1:6">
      <c r="A234" s="4">
        <f t="shared" si="3"/>
        <v>233</v>
      </c>
      <c r="B234" s="4" t="s">
        <v>320</v>
      </c>
      <c r="C234" s="5" t="s">
        <v>304</v>
      </c>
      <c r="D234" s="23">
        <v>45809</v>
      </c>
      <c r="E234" s="24">
        <v>2960.24</v>
      </c>
      <c r="F234" s="5" t="s">
        <v>321</v>
      </c>
    </row>
    <row r="235" spans="1:6">
      <c r="A235" s="4">
        <f t="shared" si="3"/>
        <v>234</v>
      </c>
      <c r="B235" s="4" t="s">
        <v>320</v>
      </c>
      <c r="C235" s="5" t="s">
        <v>308</v>
      </c>
      <c r="D235" s="23">
        <v>45809</v>
      </c>
      <c r="E235" s="24">
        <v>18803.2</v>
      </c>
      <c r="F235" s="5" t="s">
        <v>321</v>
      </c>
    </row>
    <row r="236" spans="1:6">
      <c r="A236" s="4">
        <f t="shared" si="3"/>
        <v>235</v>
      </c>
      <c r="B236" s="4" t="s">
        <v>326</v>
      </c>
      <c r="C236" s="5" t="s">
        <v>302</v>
      </c>
      <c r="D236" s="23">
        <v>45809</v>
      </c>
      <c r="E236" s="24">
        <v>459</v>
      </c>
      <c r="F236" s="5" t="s">
        <v>321</v>
      </c>
    </row>
    <row r="237" spans="1:6">
      <c r="A237" s="4">
        <f t="shared" si="3"/>
        <v>236</v>
      </c>
      <c r="B237" s="4" t="s">
        <v>327</v>
      </c>
      <c r="C237" s="5" t="s">
        <v>303</v>
      </c>
      <c r="D237" s="23">
        <v>45809</v>
      </c>
      <c r="E237" s="5">
        <v>25658735.999999996</v>
      </c>
      <c r="F237" s="5" t="s">
        <v>328</v>
      </c>
    </row>
    <row r="238" spans="1:6">
      <c r="A238" s="4">
        <f t="shared" si="3"/>
        <v>237</v>
      </c>
      <c r="B238" s="4" t="s">
        <v>327</v>
      </c>
      <c r="C238" s="5" t="s">
        <v>293</v>
      </c>
      <c r="D238" s="23">
        <v>45809</v>
      </c>
      <c r="E238" s="5">
        <v>53933379</v>
      </c>
      <c r="F238" s="5" t="s">
        <v>328</v>
      </c>
    </row>
    <row r="239" spans="1:6">
      <c r="A239" s="4">
        <f t="shared" si="3"/>
        <v>238</v>
      </c>
      <c r="B239" s="4" t="s">
        <v>327</v>
      </c>
      <c r="C239" s="5" t="s">
        <v>299</v>
      </c>
      <c r="D239" s="23">
        <v>45809</v>
      </c>
      <c r="E239" s="5">
        <v>24286842.105263159</v>
      </c>
      <c r="F239" s="5" t="s">
        <v>328</v>
      </c>
    </row>
    <row r="240" spans="1:6">
      <c r="A240" s="4">
        <f t="shared" si="3"/>
        <v>239</v>
      </c>
      <c r="B240" s="4" t="s">
        <v>327</v>
      </c>
      <c r="C240" s="5" t="s">
        <v>305</v>
      </c>
      <c r="D240" s="23">
        <v>45809</v>
      </c>
      <c r="E240" s="5">
        <v>3450000</v>
      </c>
      <c r="F240" s="5" t="s">
        <v>328</v>
      </c>
    </row>
    <row r="241" spans="1:6">
      <c r="A241" s="4">
        <f t="shared" si="3"/>
        <v>240</v>
      </c>
      <c r="B241" s="4" t="s">
        <v>329</v>
      </c>
      <c r="C241" s="5" t="s">
        <v>296</v>
      </c>
      <c r="D241" s="25">
        <v>45809</v>
      </c>
      <c r="E241" s="24">
        <v>490</v>
      </c>
      <c r="F241" s="5" t="s">
        <v>321</v>
      </c>
    </row>
    <row r="242" spans="1:6">
      <c r="A242" s="4">
        <f t="shared" si="3"/>
        <v>241</v>
      </c>
      <c r="B242" s="4" t="s">
        <v>322</v>
      </c>
      <c r="C242" s="5" t="s">
        <v>299</v>
      </c>
      <c r="D242" s="23">
        <v>45809</v>
      </c>
      <c r="E242" s="24">
        <v>1320</v>
      </c>
      <c r="F242" s="5" t="s">
        <v>321</v>
      </c>
    </row>
    <row r="243" spans="1:6">
      <c r="A243" s="4">
        <f t="shared" si="3"/>
        <v>242</v>
      </c>
      <c r="B243" s="4" t="s">
        <v>323</v>
      </c>
      <c r="C243" s="5" t="s">
        <v>299</v>
      </c>
      <c r="D243" s="23">
        <v>45778</v>
      </c>
      <c r="E243" s="24">
        <v>46098.59</v>
      </c>
      <c r="F243" s="5" t="s">
        <v>321</v>
      </c>
    </row>
    <row r="244" spans="1:6">
      <c r="A244" s="4">
        <f t="shared" si="3"/>
        <v>243</v>
      </c>
      <c r="B244" s="4" t="s">
        <v>323</v>
      </c>
      <c r="C244" s="5" t="s">
        <v>295</v>
      </c>
      <c r="D244" s="23">
        <v>45778</v>
      </c>
      <c r="E244" s="24">
        <v>14797.119999999999</v>
      </c>
      <c r="F244" s="5" t="s">
        <v>321</v>
      </c>
    </row>
    <row r="245" spans="1:6">
      <c r="A245" s="4">
        <f t="shared" si="3"/>
        <v>244</v>
      </c>
      <c r="B245" s="4" t="s">
        <v>324</v>
      </c>
      <c r="C245" s="5" t="s">
        <v>299</v>
      </c>
      <c r="D245" s="23">
        <v>45778</v>
      </c>
      <c r="E245" s="24">
        <v>6968</v>
      </c>
      <c r="F245" s="5" t="s">
        <v>321</v>
      </c>
    </row>
    <row r="246" spans="1:6">
      <c r="A246" s="4">
        <f t="shared" si="3"/>
        <v>245</v>
      </c>
      <c r="B246" s="4" t="s">
        <v>324</v>
      </c>
      <c r="C246" s="5" t="s">
        <v>298</v>
      </c>
      <c r="D246" s="23">
        <v>45778</v>
      </c>
      <c r="E246" s="24">
        <v>7327.78</v>
      </c>
      <c r="F246" s="5" t="s">
        <v>321</v>
      </c>
    </row>
    <row r="247" spans="1:6">
      <c r="A247" s="4">
        <f t="shared" si="3"/>
        <v>246</v>
      </c>
      <c r="B247" s="4" t="s">
        <v>324</v>
      </c>
      <c r="C247" s="5" t="s">
        <v>295</v>
      </c>
      <c r="D247" s="23">
        <v>45778</v>
      </c>
      <c r="E247" s="24">
        <v>10420.120000000001</v>
      </c>
      <c r="F247" s="5" t="s">
        <v>321</v>
      </c>
    </row>
    <row r="248" spans="1:6">
      <c r="A248" s="4">
        <f t="shared" si="3"/>
        <v>247</v>
      </c>
      <c r="B248" s="4" t="s">
        <v>324</v>
      </c>
      <c r="C248" s="5" t="s">
        <v>300</v>
      </c>
      <c r="D248" s="23">
        <v>45778</v>
      </c>
      <c r="E248" s="24">
        <v>64994.48</v>
      </c>
      <c r="F248" s="5" t="s">
        <v>321</v>
      </c>
    </row>
    <row r="249" spans="1:6">
      <c r="A249" s="4">
        <f t="shared" si="3"/>
        <v>248</v>
      </c>
      <c r="B249" s="4" t="s">
        <v>324</v>
      </c>
      <c r="C249" s="5" t="s">
        <v>307</v>
      </c>
      <c r="D249" s="23">
        <v>45778</v>
      </c>
      <c r="E249" s="24">
        <v>34912</v>
      </c>
      <c r="F249" s="5" t="s">
        <v>321</v>
      </c>
    </row>
    <row r="250" spans="1:6">
      <c r="A250" s="4">
        <f t="shared" si="3"/>
        <v>249</v>
      </c>
      <c r="B250" s="4" t="s">
        <v>324</v>
      </c>
      <c r="C250" s="5" t="s">
        <v>312</v>
      </c>
      <c r="D250" s="23">
        <v>45778</v>
      </c>
      <c r="E250" s="24">
        <v>10580</v>
      </c>
      <c r="F250" s="5" t="s">
        <v>321</v>
      </c>
    </row>
    <row r="251" spans="1:6">
      <c r="A251" s="4">
        <f t="shared" si="3"/>
        <v>250</v>
      </c>
      <c r="B251" s="4" t="s">
        <v>325</v>
      </c>
      <c r="C251" s="5" t="s">
        <v>299</v>
      </c>
      <c r="D251" s="23">
        <v>45778</v>
      </c>
      <c r="E251" s="24">
        <v>34051.660000000003</v>
      </c>
      <c r="F251" s="5" t="s">
        <v>321</v>
      </c>
    </row>
    <row r="252" spans="1:6">
      <c r="A252" s="4">
        <f t="shared" si="3"/>
        <v>251</v>
      </c>
      <c r="B252" s="4" t="s">
        <v>325</v>
      </c>
      <c r="C252" s="5" t="s">
        <v>308</v>
      </c>
      <c r="D252" s="23">
        <v>45778</v>
      </c>
      <c r="E252" s="24">
        <v>14331.45</v>
      </c>
      <c r="F252" s="5" t="s">
        <v>321</v>
      </c>
    </row>
    <row r="253" spans="1:6">
      <c r="A253" s="4">
        <f t="shared" si="3"/>
        <v>252</v>
      </c>
      <c r="B253" s="4" t="s">
        <v>325</v>
      </c>
      <c r="C253" s="5" t="s">
        <v>304</v>
      </c>
      <c r="D253" s="23">
        <v>45778</v>
      </c>
      <c r="E253" s="24">
        <v>77770.25</v>
      </c>
      <c r="F253" s="5" t="s">
        <v>321</v>
      </c>
    </row>
    <row r="254" spans="1:6">
      <c r="A254" s="4">
        <f t="shared" si="3"/>
        <v>253</v>
      </c>
      <c r="B254" s="4" t="s">
        <v>325</v>
      </c>
      <c r="C254" s="5" t="s">
        <v>300</v>
      </c>
      <c r="D254" s="23">
        <v>45778</v>
      </c>
      <c r="E254" s="24">
        <v>82548.179999999993</v>
      </c>
      <c r="F254" s="5" t="s">
        <v>321</v>
      </c>
    </row>
    <row r="255" spans="1:6">
      <c r="A255" s="4">
        <f t="shared" si="3"/>
        <v>254</v>
      </c>
      <c r="B255" s="4" t="s">
        <v>325</v>
      </c>
      <c r="C255" s="5" t="s">
        <v>307</v>
      </c>
      <c r="D255" s="23">
        <v>45778</v>
      </c>
      <c r="E255" s="24">
        <v>24536</v>
      </c>
      <c r="F255" s="5" t="s">
        <v>321</v>
      </c>
    </row>
    <row r="256" spans="1:6">
      <c r="A256" s="4">
        <f t="shared" si="3"/>
        <v>255</v>
      </c>
      <c r="B256" s="4" t="s">
        <v>320</v>
      </c>
      <c r="C256" s="5" t="s">
        <v>295</v>
      </c>
      <c r="D256" s="23">
        <v>45778</v>
      </c>
      <c r="E256" s="24">
        <v>3542</v>
      </c>
      <c r="F256" s="5" t="s">
        <v>321</v>
      </c>
    </row>
    <row r="257" spans="1:6">
      <c r="A257" s="4">
        <f t="shared" si="3"/>
        <v>256</v>
      </c>
      <c r="B257" s="4" t="s">
        <v>320</v>
      </c>
      <c r="C257" s="5" t="s">
        <v>300</v>
      </c>
      <c r="D257" s="23">
        <v>45778</v>
      </c>
      <c r="E257" s="24">
        <v>37710.269999999997</v>
      </c>
      <c r="F257" s="5" t="s">
        <v>321</v>
      </c>
    </row>
    <row r="258" spans="1:6">
      <c r="A258" s="4">
        <f t="shared" si="3"/>
        <v>257</v>
      </c>
      <c r="B258" s="4" t="s">
        <v>320</v>
      </c>
      <c r="C258" s="5" t="s">
        <v>299</v>
      </c>
      <c r="D258" s="23">
        <v>45778</v>
      </c>
      <c r="E258" s="24">
        <v>153551.26</v>
      </c>
      <c r="F258" s="5" t="s">
        <v>321</v>
      </c>
    </row>
    <row r="259" spans="1:6">
      <c r="A259" s="4">
        <f t="shared" si="3"/>
        <v>258</v>
      </c>
      <c r="B259" s="4" t="s">
        <v>320</v>
      </c>
      <c r="C259" s="5" t="s">
        <v>304</v>
      </c>
      <c r="D259" s="23">
        <v>45778</v>
      </c>
      <c r="E259" s="24">
        <v>6514.31</v>
      </c>
      <c r="F259" s="5" t="s">
        <v>321</v>
      </c>
    </row>
    <row r="260" spans="1:6">
      <c r="A260" s="4">
        <f t="shared" si="3"/>
        <v>259</v>
      </c>
      <c r="B260" s="4" t="s">
        <v>320</v>
      </c>
      <c r="C260" s="5" t="s">
        <v>308</v>
      </c>
      <c r="D260" s="23">
        <v>45778</v>
      </c>
      <c r="E260" s="24">
        <v>9462.7999999999993</v>
      </c>
      <c r="F260" s="5" t="s">
        <v>321</v>
      </c>
    </row>
    <row r="261" spans="1:6">
      <c r="A261" s="4">
        <f t="shared" si="3"/>
        <v>260</v>
      </c>
      <c r="B261" s="4" t="s">
        <v>327</v>
      </c>
      <c r="C261" s="5" t="s">
        <v>303</v>
      </c>
      <c r="D261" s="23">
        <v>45778</v>
      </c>
      <c r="E261" s="5">
        <v>24534000.000000004</v>
      </c>
      <c r="F261" s="5" t="s">
        <v>328</v>
      </c>
    </row>
    <row r="262" spans="1:6">
      <c r="A262" s="4">
        <f t="shared" si="3"/>
        <v>261</v>
      </c>
      <c r="B262" s="4" t="s">
        <v>327</v>
      </c>
      <c r="C262" s="5" t="s">
        <v>293</v>
      </c>
      <c r="D262" s="23">
        <v>45778</v>
      </c>
      <c r="E262" s="5">
        <v>56605893</v>
      </c>
      <c r="F262" s="5" t="s">
        <v>328</v>
      </c>
    </row>
    <row r="263" spans="1:6">
      <c r="A263" s="4">
        <f t="shared" si="3"/>
        <v>262</v>
      </c>
      <c r="B263" s="4" t="s">
        <v>327</v>
      </c>
      <c r="C263" s="5" t="s">
        <v>299</v>
      </c>
      <c r="D263" s="23">
        <v>45778</v>
      </c>
      <c r="E263" s="5">
        <v>16627272.727272728</v>
      </c>
      <c r="F263" s="5" t="s">
        <v>328</v>
      </c>
    </row>
    <row r="264" spans="1:6">
      <c r="A264" s="4">
        <f t="shared" si="3"/>
        <v>263</v>
      </c>
      <c r="B264" s="4" t="s">
        <v>327</v>
      </c>
      <c r="C264" s="5" t="s">
        <v>305</v>
      </c>
      <c r="D264" s="23">
        <v>45778</v>
      </c>
      <c r="E264" s="5">
        <v>8285713</v>
      </c>
      <c r="F264" s="5" t="s">
        <v>328</v>
      </c>
    </row>
    <row r="265" spans="1:6">
      <c r="A265" s="4">
        <f t="shared" si="3"/>
        <v>264</v>
      </c>
      <c r="B265" s="4" t="s">
        <v>329</v>
      </c>
      <c r="C265" s="5" t="s">
        <v>296</v>
      </c>
      <c r="D265" s="25">
        <v>45778</v>
      </c>
      <c r="E265" s="24">
        <v>5283</v>
      </c>
      <c r="F265" s="5" t="s">
        <v>321</v>
      </c>
    </row>
    <row r="266" spans="1:6">
      <c r="A266" s="4">
        <f t="shared" si="3"/>
        <v>265</v>
      </c>
      <c r="B266" s="4" t="s">
        <v>323</v>
      </c>
      <c r="C266" s="5" t="s">
        <v>295</v>
      </c>
      <c r="D266" s="23">
        <v>45748</v>
      </c>
      <c r="E266" s="24">
        <v>8588.7099999999991</v>
      </c>
      <c r="F266" s="5" t="s">
        <v>321</v>
      </c>
    </row>
    <row r="267" spans="1:6">
      <c r="A267" s="4">
        <f t="shared" ref="A267:A330" si="4">ROW()-1</f>
        <v>266</v>
      </c>
      <c r="B267" s="4" t="s">
        <v>323</v>
      </c>
      <c r="C267" s="5" t="s">
        <v>300</v>
      </c>
      <c r="D267" s="23">
        <v>45748</v>
      </c>
      <c r="E267" s="24">
        <v>1753.38</v>
      </c>
      <c r="F267" s="5" t="s">
        <v>321</v>
      </c>
    </row>
    <row r="268" spans="1:6">
      <c r="A268" s="4">
        <f t="shared" si="4"/>
        <v>267</v>
      </c>
      <c r="B268" s="4" t="s">
        <v>324</v>
      </c>
      <c r="C268" s="5" t="s">
        <v>299</v>
      </c>
      <c r="D268" s="23">
        <v>45748</v>
      </c>
      <c r="E268" s="24">
        <v>1683.45</v>
      </c>
      <c r="F268" s="5" t="s">
        <v>321</v>
      </c>
    </row>
    <row r="269" spans="1:6">
      <c r="A269" s="4">
        <f t="shared" si="4"/>
        <v>268</v>
      </c>
      <c r="B269" s="4" t="s">
        <v>324</v>
      </c>
      <c r="C269" s="5" t="s">
        <v>298</v>
      </c>
      <c r="D269" s="23">
        <v>45748</v>
      </c>
      <c r="E269" s="24">
        <v>1696</v>
      </c>
      <c r="F269" s="5" t="s">
        <v>321</v>
      </c>
    </row>
    <row r="270" spans="1:6">
      <c r="A270" s="4">
        <f t="shared" si="4"/>
        <v>269</v>
      </c>
      <c r="B270" s="4" t="s">
        <v>324</v>
      </c>
      <c r="C270" s="5" t="s">
        <v>295</v>
      </c>
      <c r="D270" s="23">
        <v>45748</v>
      </c>
      <c r="E270" s="24">
        <v>14986.71</v>
      </c>
      <c r="F270" s="5" t="s">
        <v>321</v>
      </c>
    </row>
    <row r="271" spans="1:6">
      <c r="A271" s="4">
        <f t="shared" si="4"/>
        <v>270</v>
      </c>
      <c r="B271" s="4" t="s">
        <v>324</v>
      </c>
      <c r="C271" s="5" t="s">
        <v>308</v>
      </c>
      <c r="D271" s="23">
        <v>45748</v>
      </c>
      <c r="E271" s="24">
        <v>3930.1</v>
      </c>
      <c r="F271" s="5" t="s">
        <v>321</v>
      </c>
    </row>
    <row r="272" spans="1:6">
      <c r="A272" s="4">
        <f t="shared" si="4"/>
        <v>271</v>
      </c>
      <c r="B272" s="4" t="s">
        <v>324</v>
      </c>
      <c r="C272" s="5" t="s">
        <v>300</v>
      </c>
      <c r="D272" s="23">
        <v>45748</v>
      </c>
      <c r="E272" s="24">
        <v>40859.64</v>
      </c>
      <c r="F272" s="5" t="s">
        <v>321</v>
      </c>
    </row>
    <row r="273" spans="1:6">
      <c r="A273" s="4">
        <f t="shared" si="4"/>
        <v>272</v>
      </c>
      <c r="B273" s="4" t="s">
        <v>324</v>
      </c>
      <c r="C273" s="5" t="s">
        <v>307</v>
      </c>
      <c r="D273" s="23">
        <v>45748</v>
      </c>
      <c r="E273" s="24">
        <v>17532</v>
      </c>
      <c r="F273" s="5" t="s">
        <v>321</v>
      </c>
    </row>
    <row r="274" spans="1:6">
      <c r="A274" s="4">
        <f t="shared" si="4"/>
        <v>273</v>
      </c>
      <c r="B274" s="4" t="s">
        <v>324</v>
      </c>
      <c r="C274" s="5" t="s">
        <v>309</v>
      </c>
      <c r="D274" s="23">
        <v>45748</v>
      </c>
      <c r="E274" s="24">
        <v>9300.1</v>
      </c>
      <c r="F274" s="5" t="s">
        <v>321</v>
      </c>
    </row>
    <row r="275" spans="1:6">
      <c r="A275" s="4">
        <f t="shared" si="4"/>
        <v>274</v>
      </c>
      <c r="B275" s="4" t="s">
        <v>325</v>
      </c>
      <c r="C275" s="5" t="s">
        <v>299</v>
      </c>
      <c r="D275" s="23">
        <v>45748</v>
      </c>
      <c r="E275" s="24">
        <v>54222.96</v>
      </c>
      <c r="F275" s="5" t="s">
        <v>321</v>
      </c>
    </row>
    <row r="276" spans="1:6">
      <c r="A276" s="4">
        <f t="shared" si="4"/>
        <v>275</v>
      </c>
      <c r="B276" s="4" t="s">
        <v>325</v>
      </c>
      <c r="C276" s="5" t="s">
        <v>308</v>
      </c>
      <c r="D276" s="23">
        <v>45748</v>
      </c>
      <c r="E276" s="24">
        <v>31956.27</v>
      </c>
      <c r="F276" s="5" t="s">
        <v>321</v>
      </c>
    </row>
    <row r="277" spans="1:6">
      <c r="A277" s="4">
        <f t="shared" si="4"/>
        <v>276</v>
      </c>
      <c r="B277" s="4" t="s">
        <v>325</v>
      </c>
      <c r="C277" s="5" t="s">
        <v>304</v>
      </c>
      <c r="D277" s="23">
        <v>45748</v>
      </c>
      <c r="E277" s="24">
        <v>26322.379999999997</v>
      </c>
      <c r="F277" s="5" t="s">
        <v>321</v>
      </c>
    </row>
    <row r="278" spans="1:6">
      <c r="A278" s="4">
        <f t="shared" si="4"/>
        <v>277</v>
      </c>
      <c r="B278" s="4" t="s">
        <v>325</v>
      </c>
      <c r="C278" s="5" t="s">
        <v>300</v>
      </c>
      <c r="D278" s="23">
        <v>45748</v>
      </c>
      <c r="E278" s="24">
        <v>114979.11</v>
      </c>
      <c r="F278" s="5" t="s">
        <v>321</v>
      </c>
    </row>
    <row r="279" spans="1:6">
      <c r="A279" s="4">
        <f t="shared" si="4"/>
        <v>278</v>
      </c>
      <c r="B279" s="4" t="s">
        <v>325</v>
      </c>
      <c r="C279" s="5" t="s">
        <v>307</v>
      </c>
      <c r="D279" s="23">
        <v>45748</v>
      </c>
      <c r="E279" s="24">
        <v>35584</v>
      </c>
      <c r="F279" s="5" t="s">
        <v>321</v>
      </c>
    </row>
    <row r="280" spans="1:6">
      <c r="A280" s="4">
        <f t="shared" si="4"/>
        <v>279</v>
      </c>
      <c r="B280" s="4" t="s">
        <v>325</v>
      </c>
      <c r="C280" s="5" t="s">
        <v>309</v>
      </c>
      <c r="D280" s="23">
        <v>45748</v>
      </c>
      <c r="E280" s="24">
        <v>3106</v>
      </c>
      <c r="F280" s="5" t="s">
        <v>321</v>
      </c>
    </row>
    <row r="281" spans="1:6">
      <c r="A281" s="4">
        <f t="shared" si="4"/>
        <v>280</v>
      </c>
      <c r="B281" s="4" t="s">
        <v>320</v>
      </c>
      <c r="C281" s="5" t="s">
        <v>295</v>
      </c>
      <c r="D281" s="23">
        <v>45748</v>
      </c>
      <c r="E281" s="24">
        <v>6860</v>
      </c>
      <c r="F281" s="5" t="s">
        <v>321</v>
      </c>
    </row>
    <row r="282" spans="1:6">
      <c r="A282" s="4">
        <f t="shared" si="4"/>
        <v>281</v>
      </c>
      <c r="B282" s="4" t="s">
        <v>320</v>
      </c>
      <c r="C282" s="5" t="s">
        <v>300</v>
      </c>
      <c r="D282" s="23">
        <v>45748</v>
      </c>
      <c r="E282" s="24">
        <v>31955.200000000001</v>
      </c>
      <c r="F282" s="5" t="s">
        <v>321</v>
      </c>
    </row>
    <row r="283" spans="1:6">
      <c r="A283" s="4">
        <f t="shared" si="4"/>
        <v>282</v>
      </c>
      <c r="B283" s="4" t="s">
        <v>320</v>
      </c>
      <c r="C283" s="5" t="s">
        <v>299</v>
      </c>
      <c r="D283" s="23">
        <v>45748</v>
      </c>
      <c r="E283" s="24">
        <v>61184.98</v>
      </c>
      <c r="F283" s="5" t="s">
        <v>321</v>
      </c>
    </row>
    <row r="284" spans="1:6">
      <c r="A284" s="4">
        <f t="shared" si="4"/>
        <v>283</v>
      </c>
      <c r="B284" s="4" t="s">
        <v>320</v>
      </c>
      <c r="C284" s="5" t="s">
        <v>304</v>
      </c>
      <c r="D284" s="23">
        <v>45748</v>
      </c>
      <c r="E284" s="24">
        <v>5545.46</v>
      </c>
      <c r="F284" s="5" t="s">
        <v>321</v>
      </c>
    </row>
    <row r="285" spans="1:6">
      <c r="A285" s="4">
        <f t="shared" si="4"/>
        <v>284</v>
      </c>
      <c r="B285" s="4" t="s">
        <v>320</v>
      </c>
      <c r="C285" s="5" t="s">
        <v>308</v>
      </c>
      <c r="D285" s="23">
        <v>45748</v>
      </c>
      <c r="E285" s="24">
        <v>15356.85</v>
      </c>
      <c r="F285" s="5" t="s">
        <v>321</v>
      </c>
    </row>
    <row r="286" spans="1:6">
      <c r="A286" s="4">
        <f t="shared" si="4"/>
        <v>285</v>
      </c>
      <c r="B286" s="4" t="s">
        <v>320</v>
      </c>
      <c r="C286" s="5" t="s">
        <v>307</v>
      </c>
      <c r="D286" s="23">
        <v>45748</v>
      </c>
      <c r="E286" s="24">
        <v>8360</v>
      </c>
      <c r="F286" s="5" t="s">
        <v>321</v>
      </c>
    </row>
    <row r="287" spans="1:6">
      <c r="A287" s="4">
        <f t="shared" si="4"/>
        <v>286</v>
      </c>
      <c r="B287" s="4" t="s">
        <v>326</v>
      </c>
      <c r="C287" s="5" t="s">
        <v>302</v>
      </c>
      <c r="D287" s="23">
        <v>45748</v>
      </c>
      <c r="E287" s="24">
        <v>1416</v>
      </c>
      <c r="F287" s="5" t="s">
        <v>321</v>
      </c>
    </row>
    <row r="288" spans="1:6">
      <c r="A288" s="4">
        <f t="shared" si="4"/>
        <v>287</v>
      </c>
      <c r="B288" s="4" t="s">
        <v>327</v>
      </c>
      <c r="C288" s="5" t="s">
        <v>303</v>
      </c>
      <c r="D288" s="23">
        <v>45748</v>
      </c>
      <c r="E288" s="5">
        <v>25468000</v>
      </c>
      <c r="F288" s="5" t="s">
        <v>328</v>
      </c>
    </row>
    <row r="289" spans="1:6">
      <c r="A289" s="4">
        <f t="shared" si="4"/>
        <v>288</v>
      </c>
      <c r="B289" s="4" t="s">
        <v>327</v>
      </c>
      <c r="C289" s="5" t="s">
        <v>293</v>
      </c>
      <c r="D289" s="23">
        <v>45748</v>
      </c>
      <c r="E289" s="5">
        <v>42693865</v>
      </c>
      <c r="F289" s="5" t="s">
        <v>328</v>
      </c>
    </row>
    <row r="290" spans="1:6">
      <c r="A290" s="4">
        <f t="shared" si="4"/>
        <v>289</v>
      </c>
      <c r="B290" s="4" t="s">
        <v>327</v>
      </c>
      <c r="C290" s="5" t="s">
        <v>299</v>
      </c>
      <c r="D290" s="23">
        <v>45748</v>
      </c>
      <c r="E290" s="5">
        <v>10000000</v>
      </c>
      <c r="F290" s="5" t="s">
        <v>328</v>
      </c>
    </row>
    <row r="291" spans="1:6">
      <c r="A291" s="4">
        <f t="shared" si="4"/>
        <v>290</v>
      </c>
      <c r="B291" s="4" t="s">
        <v>327</v>
      </c>
      <c r="C291" s="5" t="s">
        <v>305</v>
      </c>
      <c r="D291" s="23">
        <v>45748</v>
      </c>
      <c r="E291" s="5">
        <v>27568571</v>
      </c>
      <c r="F291" s="5" t="s">
        <v>328</v>
      </c>
    </row>
    <row r="292" spans="1:6">
      <c r="A292" s="4">
        <f t="shared" si="4"/>
        <v>291</v>
      </c>
      <c r="B292" s="4" t="s">
        <v>329</v>
      </c>
      <c r="C292" s="5" t="s">
        <v>296</v>
      </c>
      <c r="D292" s="25">
        <v>45748</v>
      </c>
      <c r="E292" s="24">
        <v>6235</v>
      </c>
      <c r="F292" s="5" t="s">
        <v>321</v>
      </c>
    </row>
    <row r="293" spans="1:6">
      <c r="A293" s="4">
        <f t="shared" si="4"/>
        <v>292</v>
      </c>
      <c r="B293" s="4" t="s">
        <v>323</v>
      </c>
      <c r="C293" s="5" t="s">
        <v>295</v>
      </c>
      <c r="D293" s="23">
        <v>45717</v>
      </c>
      <c r="E293" s="24">
        <v>7752</v>
      </c>
      <c r="F293" s="5" t="s">
        <v>321</v>
      </c>
    </row>
    <row r="294" spans="1:6">
      <c r="A294" s="4">
        <f t="shared" si="4"/>
        <v>293</v>
      </c>
      <c r="B294" s="4" t="s">
        <v>323</v>
      </c>
      <c r="C294" s="5" t="s">
        <v>300</v>
      </c>
      <c r="D294" s="23">
        <v>45717</v>
      </c>
      <c r="E294" s="24">
        <v>1290.69</v>
      </c>
      <c r="F294" s="5" t="s">
        <v>321</v>
      </c>
    </row>
    <row r="295" spans="1:6">
      <c r="A295" s="4">
        <f t="shared" si="4"/>
        <v>294</v>
      </c>
      <c r="B295" s="4" t="s">
        <v>324</v>
      </c>
      <c r="C295" s="5" t="s">
        <v>304</v>
      </c>
      <c r="D295" s="23">
        <v>45717</v>
      </c>
      <c r="E295" s="24">
        <v>664</v>
      </c>
      <c r="F295" s="5" t="s">
        <v>321</v>
      </c>
    </row>
    <row r="296" spans="1:6">
      <c r="A296" s="4">
        <f t="shared" si="4"/>
        <v>295</v>
      </c>
      <c r="B296" s="4" t="s">
        <v>324</v>
      </c>
      <c r="C296" s="5" t="s">
        <v>299</v>
      </c>
      <c r="D296" s="23">
        <v>45717</v>
      </c>
      <c r="E296" s="24">
        <v>13618.11</v>
      </c>
      <c r="F296" s="5" t="s">
        <v>321</v>
      </c>
    </row>
    <row r="297" spans="1:6">
      <c r="A297" s="4">
        <f t="shared" si="4"/>
        <v>296</v>
      </c>
      <c r="B297" s="4" t="s">
        <v>324</v>
      </c>
      <c r="C297" s="5" t="s">
        <v>298</v>
      </c>
      <c r="D297" s="23">
        <v>45717</v>
      </c>
      <c r="E297" s="24">
        <v>6884.86</v>
      </c>
      <c r="F297" s="5" t="s">
        <v>321</v>
      </c>
    </row>
    <row r="298" spans="1:6">
      <c r="A298" s="4">
        <f t="shared" si="4"/>
        <v>297</v>
      </c>
      <c r="B298" s="4" t="s">
        <v>324</v>
      </c>
      <c r="C298" s="5" t="s">
        <v>295</v>
      </c>
      <c r="D298" s="23">
        <v>45717</v>
      </c>
      <c r="E298" s="24">
        <v>15628.28</v>
      </c>
      <c r="F298" s="5" t="s">
        <v>321</v>
      </c>
    </row>
    <row r="299" spans="1:6">
      <c r="A299" s="4">
        <f t="shared" si="4"/>
        <v>298</v>
      </c>
      <c r="B299" s="4" t="s">
        <v>324</v>
      </c>
      <c r="C299" s="5" t="s">
        <v>308</v>
      </c>
      <c r="D299" s="23">
        <v>45717</v>
      </c>
      <c r="E299" s="24">
        <v>7339.6</v>
      </c>
      <c r="F299" s="5" t="s">
        <v>321</v>
      </c>
    </row>
    <row r="300" spans="1:6">
      <c r="A300" s="4">
        <f t="shared" si="4"/>
        <v>299</v>
      </c>
      <c r="B300" s="4" t="s">
        <v>324</v>
      </c>
      <c r="C300" s="5" t="s">
        <v>300</v>
      </c>
      <c r="D300" s="23">
        <v>45717</v>
      </c>
      <c r="E300" s="24">
        <v>83634.909999999989</v>
      </c>
      <c r="F300" s="5" t="s">
        <v>321</v>
      </c>
    </row>
    <row r="301" spans="1:6">
      <c r="A301" s="4">
        <f t="shared" si="4"/>
        <v>300</v>
      </c>
      <c r="B301" s="4" t="s">
        <v>324</v>
      </c>
      <c r="C301" s="5" t="s">
        <v>307</v>
      </c>
      <c r="D301" s="23">
        <v>45717</v>
      </c>
      <c r="E301" s="24">
        <v>30768</v>
      </c>
      <c r="F301" s="5" t="s">
        <v>321</v>
      </c>
    </row>
    <row r="302" spans="1:6">
      <c r="A302" s="4">
        <f t="shared" si="4"/>
        <v>301</v>
      </c>
      <c r="B302" s="4" t="s">
        <v>324</v>
      </c>
      <c r="C302" s="5" t="s">
        <v>309</v>
      </c>
      <c r="D302" s="23">
        <v>45717</v>
      </c>
      <c r="E302" s="24">
        <v>2508</v>
      </c>
      <c r="F302" s="5" t="s">
        <v>321</v>
      </c>
    </row>
    <row r="303" spans="1:6">
      <c r="A303" s="4">
        <f t="shared" si="4"/>
        <v>302</v>
      </c>
      <c r="B303" s="4" t="s">
        <v>325</v>
      </c>
      <c r="C303" s="5" t="s">
        <v>299</v>
      </c>
      <c r="D303" s="23">
        <v>45717</v>
      </c>
      <c r="E303" s="24">
        <v>65294.26</v>
      </c>
      <c r="F303" s="5" t="s">
        <v>321</v>
      </c>
    </row>
    <row r="304" spans="1:6">
      <c r="A304" s="4">
        <f t="shared" si="4"/>
        <v>303</v>
      </c>
      <c r="B304" s="4" t="s">
        <v>325</v>
      </c>
      <c r="C304" s="5" t="s">
        <v>308</v>
      </c>
      <c r="D304" s="23">
        <v>45717</v>
      </c>
      <c r="E304" s="24">
        <v>21557.95</v>
      </c>
      <c r="F304" s="5" t="s">
        <v>321</v>
      </c>
    </row>
    <row r="305" spans="1:6">
      <c r="A305" s="4">
        <f t="shared" si="4"/>
        <v>304</v>
      </c>
      <c r="B305" s="4" t="s">
        <v>325</v>
      </c>
      <c r="C305" s="5" t="s">
        <v>304</v>
      </c>
      <c r="D305" s="23">
        <v>45717</v>
      </c>
      <c r="E305" s="24">
        <v>7582</v>
      </c>
      <c r="F305" s="5" t="s">
        <v>321</v>
      </c>
    </row>
    <row r="306" spans="1:6">
      <c r="A306" s="4">
        <f t="shared" si="4"/>
        <v>305</v>
      </c>
      <c r="B306" s="4" t="s">
        <v>325</v>
      </c>
      <c r="C306" s="5" t="s">
        <v>300</v>
      </c>
      <c r="D306" s="23">
        <v>45717</v>
      </c>
      <c r="E306" s="24">
        <v>76191.600000000006</v>
      </c>
      <c r="F306" s="5" t="s">
        <v>321</v>
      </c>
    </row>
    <row r="307" spans="1:6">
      <c r="A307" s="4">
        <f t="shared" si="4"/>
        <v>306</v>
      </c>
      <c r="B307" s="4" t="s">
        <v>325</v>
      </c>
      <c r="C307" s="5" t="s">
        <v>307</v>
      </c>
      <c r="D307" s="23">
        <v>45717</v>
      </c>
      <c r="E307" s="24">
        <v>46784</v>
      </c>
      <c r="F307" s="5" t="s">
        <v>321</v>
      </c>
    </row>
    <row r="308" spans="1:6">
      <c r="A308" s="4">
        <f t="shared" si="4"/>
        <v>307</v>
      </c>
      <c r="B308" s="4" t="s">
        <v>325</v>
      </c>
      <c r="C308" s="5" t="s">
        <v>309</v>
      </c>
      <c r="D308" s="23">
        <v>45717</v>
      </c>
      <c r="E308" s="24">
        <v>2256</v>
      </c>
      <c r="F308" s="5" t="s">
        <v>321</v>
      </c>
    </row>
    <row r="309" spans="1:6">
      <c r="A309" s="4">
        <f t="shared" si="4"/>
        <v>308</v>
      </c>
      <c r="B309" s="4" t="s">
        <v>320</v>
      </c>
      <c r="C309" s="5" t="s">
        <v>295</v>
      </c>
      <c r="D309" s="23">
        <v>45717</v>
      </c>
      <c r="E309" s="24">
        <v>3125</v>
      </c>
      <c r="F309" s="5" t="s">
        <v>321</v>
      </c>
    </row>
    <row r="310" spans="1:6">
      <c r="A310" s="4">
        <f t="shared" si="4"/>
        <v>309</v>
      </c>
      <c r="B310" s="4" t="s">
        <v>320</v>
      </c>
      <c r="C310" s="5" t="s">
        <v>300</v>
      </c>
      <c r="D310" s="23">
        <v>45717</v>
      </c>
      <c r="E310" s="24">
        <v>42195.5</v>
      </c>
      <c r="F310" s="5" t="s">
        <v>321</v>
      </c>
    </row>
    <row r="311" spans="1:6">
      <c r="A311" s="4">
        <f t="shared" si="4"/>
        <v>310</v>
      </c>
      <c r="B311" s="4" t="s">
        <v>320</v>
      </c>
      <c r="C311" s="5" t="s">
        <v>299</v>
      </c>
      <c r="D311" s="23">
        <v>45717</v>
      </c>
      <c r="E311" s="24">
        <v>51987.32</v>
      </c>
      <c r="F311" s="5" t="s">
        <v>321</v>
      </c>
    </row>
    <row r="312" spans="1:6">
      <c r="A312" s="4">
        <f t="shared" si="4"/>
        <v>311</v>
      </c>
      <c r="B312" s="4" t="s">
        <v>320</v>
      </c>
      <c r="C312" s="5" t="s">
        <v>304</v>
      </c>
      <c r="D312" s="23">
        <v>45717</v>
      </c>
      <c r="E312" s="24">
        <v>6602.51</v>
      </c>
      <c r="F312" s="5" t="s">
        <v>321</v>
      </c>
    </row>
    <row r="313" spans="1:6">
      <c r="A313" s="4">
        <f t="shared" si="4"/>
        <v>312</v>
      </c>
      <c r="B313" s="4" t="s">
        <v>320</v>
      </c>
      <c r="C313" s="5" t="s">
        <v>308</v>
      </c>
      <c r="D313" s="23">
        <v>45717</v>
      </c>
      <c r="E313" s="24">
        <v>5569.4</v>
      </c>
      <c r="F313" s="5" t="s">
        <v>321</v>
      </c>
    </row>
    <row r="314" spans="1:6">
      <c r="A314" s="4">
        <f t="shared" si="4"/>
        <v>313</v>
      </c>
      <c r="B314" s="4" t="s">
        <v>326</v>
      </c>
      <c r="C314" s="5" t="s">
        <v>302</v>
      </c>
      <c r="D314" s="23">
        <v>45717</v>
      </c>
      <c r="E314" s="24">
        <v>395</v>
      </c>
      <c r="F314" s="5" t="s">
        <v>321</v>
      </c>
    </row>
    <row r="315" spans="1:6">
      <c r="A315" s="4">
        <f t="shared" si="4"/>
        <v>314</v>
      </c>
      <c r="B315" s="4" t="s">
        <v>327</v>
      </c>
      <c r="C315" s="5" t="s">
        <v>303</v>
      </c>
      <c r="D315" s="23">
        <v>45717</v>
      </c>
      <c r="E315" s="5">
        <v>33318000</v>
      </c>
      <c r="F315" s="5" t="s">
        <v>328</v>
      </c>
    </row>
    <row r="316" spans="1:6">
      <c r="A316" s="4">
        <f t="shared" si="4"/>
        <v>315</v>
      </c>
      <c r="B316" s="4" t="s">
        <v>327</v>
      </c>
      <c r="C316" s="5" t="s">
        <v>293</v>
      </c>
      <c r="D316" s="23">
        <v>45717</v>
      </c>
      <c r="E316" s="5">
        <v>32312000</v>
      </c>
      <c r="F316" s="5" t="s">
        <v>328</v>
      </c>
    </row>
    <row r="317" spans="1:6">
      <c r="A317" s="4">
        <f t="shared" si="4"/>
        <v>316</v>
      </c>
      <c r="B317" s="4" t="s">
        <v>327</v>
      </c>
      <c r="C317" s="5" t="s">
        <v>299</v>
      </c>
      <c r="D317" s="23">
        <v>45717</v>
      </c>
      <c r="E317" s="5">
        <v>10220000</v>
      </c>
      <c r="F317" s="5" t="s">
        <v>328</v>
      </c>
    </row>
    <row r="318" spans="1:6">
      <c r="A318" s="4">
        <f t="shared" si="4"/>
        <v>317</v>
      </c>
      <c r="B318" s="4" t="s">
        <v>327</v>
      </c>
      <c r="C318" s="5" t="s">
        <v>305</v>
      </c>
      <c r="D318" s="23">
        <v>45717</v>
      </c>
      <c r="E318" s="5">
        <v>11565000</v>
      </c>
      <c r="F318" s="5" t="s">
        <v>328</v>
      </c>
    </row>
    <row r="319" spans="1:6">
      <c r="A319" s="4">
        <f t="shared" si="4"/>
        <v>318</v>
      </c>
      <c r="B319" s="4" t="s">
        <v>329</v>
      </c>
      <c r="C319" s="5" t="s">
        <v>296</v>
      </c>
      <c r="D319" s="25">
        <v>45717</v>
      </c>
      <c r="E319" s="24">
        <v>6122.5</v>
      </c>
      <c r="F319" s="5" t="s">
        <v>321</v>
      </c>
    </row>
    <row r="320" spans="1:6">
      <c r="A320" s="4">
        <f t="shared" si="4"/>
        <v>319</v>
      </c>
      <c r="B320" s="4" t="s">
        <v>322</v>
      </c>
      <c r="C320" s="5" t="s">
        <v>299</v>
      </c>
      <c r="D320" s="23">
        <v>45717</v>
      </c>
      <c r="E320" s="24">
        <v>2000</v>
      </c>
      <c r="F320" s="5" t="s">
        <v>321</v>
      </c>
    </row>
    <row r="321" spans="1:6">
      <c r="A321" s="4">
        <f t="shared" si="4"/>
        <v>320</v>
      </c>
      <c r="B321" s="4" t="s">
        <v>329</v>
      </c>
      <c r="C321" s="5" t="s">
        <v>296</v>
      </c>
      <c r="D321" s="25">
        <v>45690</v>
      </c>
      <c r="E321" s="24">
        <v>10874.5</v>
      </c>
      <c r="F321" s="5" t="s">
        <v>321</v>
      </c>
    </row>
    <row r="322" spans="1:6">
      <c r="A322" s="4">
        <f t="shared" si="4"/>
        <v>321</v>
      </c>
      <c r="B322" s="4" t="s">
        <v>323</v>
      </c>
      <c r="C322" s="5" t="s">
        <v>295</v>
      </c>
      <c r="D322" s="23">
        <v>45689</v>
      </c>
      <c r="E322" s="24">
        <v>6079.28</v>
      </c>
      <c r="F322" s="5" t="s">
        <v>321</v>
      </c>
    </row>
    <row r="323" spans="1:6">
      <c r="A323" s="4">
        <f t="shared" si="4"/>
        <v>322</v>
      </c>
      <c r="B323" s="4" t="s">
        <v>324</v>
      </c>
      <c r="C323" s="5" t="s">
        <v>304</v>
      </c>
      <c r="D323" s="23">
        <v>45689</v>
      </c>
      <c r="E323" s="24">
        <v>920.8</v>
      </c>
      <c r="F323" s="5" t="s">
        <v>321</v>
      </c>
    </row>
    <row r="324" spans="1:6">
      <c r="A324" s="4">
        <f t="shared" si="4"/>
        <v>323</v>
      </c>
      <c r="B324" s="4" t="s">
        <v>324</v>
      </c>
      <c r="C324" s="5" t="s">
        <v>299</v>
      </c>
      <c r="D324" s="23">
        <v>45689</v>
      </c>
      <c r="E324" s="24">
        <v>1474</v>
      </c>
      <c r="F324" s="5" t="s">
        <v>321</v>
      </c>
    </row>
    <row r="325" spans="1:6">
      <c r="A325" s="4">
        <f t="shared" si="4"/>
        <v>324</v>
      </c>
      <c r="B325" s="4" t="s">
        <v>324</v>
      </c>
      <c r="C325" s="5" t="s">
        <v>298</v>
      </c>
      <c r="D325" s="23">
        <v>45689</v>
      </c>
      <c r="E325" s="24">
        <v>3009.5</v>
      </c>
      <c r="F325" s="5" t="s">
        <v>321</v>
      </c>
    </row>
    <row r="326" spans="1:6">
      <c r="A326" s="4">
        <f t="shared" si="4"/>
        <v>325</v>
      </c>
      <c r="B326" s="4" t="s">
        <v>324</v>
      </c>
      <c r="C326" s="5" t="s">
        <v>295</v>
      </c>
      <c r="D326" s="23">
        <v>45689</v>
      </c>
      <c r="E326" s="24">
        <v>2786.5</v>
      </c>
      <c r="F326" s="5" t="s">
        <v>321</v>
      </c>
    </row>
    <row r="327" spans="1:6">
      <c r="A327" s="4">
        <f t="shared" si="4"/>
        <v>326</v>
      </c>
      <c r="B327" s="4" t="s">
        <v>324</v>
      </c>
      <c r="C327" s="5" t="s">
        <v>308</v>
      </c>
      <c r="D327" s="23">
        <v>45689</v>
      </c>
      <c r="E327" s="24">
        <v>563</v>
      </c>
      <c r="F327" s="5" t="s">
        <v>321</v>
      </c>
    </row>
    <row r="328" spans="1:6">
      <c r="A328" s="4">
        <f t="shared" si="4"/>
        <v>327</v>
      </c>
      <c r="B328" s="4" t="s">
        <v>324</v>
      </c>
      <c r="C328" s="5" t="s">
        <v>300</v>
      </c>
      <c r="D328" s="23">
        <v>45689</v>
      </c>
      <c r="E328" s="24">
        <v>15775.18</v>
      </c>
      <c r="F328" s="5" t="s">
        <v>321</v>
      </c>
    </row>
    <row r="329" spans="1:6">
      <c r="A329" s="4">
        <f t="shared" si="4"/>
        <v>328</v>
      </c>
      <c r="B329" s="4" t="s">
        <v>324</v>
      </c>
      <c r="C329" s="5" t="s">
        <v>307</v>
      </c>
      <c r="D329" s="23">
        <v>45689</v>
      </c>
      <c r="E329" s="24">
        <v>34792</v>
      </c>
      <c r="F329" s="5" t="s">
        <v>321</v>
      </c>
    </row>
    <row r="330" spans="1:6">
      <c r="A330" s="4">
        <f t="shared" si="4"/>
        <v>329</v>
      </c>
      <c r="B330" s="4" t="s">
        <v>324</v>
      </c>
      <c r="C330" s="5" t="s">
        <v>312</v>
      </c>
      <c r="D330" s="23">
        <v>45689</v>
      </c>
      <c r="E330" s="24">
        <v>460</v>
      </c>
      <c r="F330" s="5" t="s">
        <v>321</v>
      </c>
    </row>
    <row r="331" spans="1:6">
      <c r="A331" s="4">
        <f t="shared" ref="A331:A394" si="5">ROW()-1</f>
        <v>330</v>
      </c>
      <c r="B331" s="4" t="s">
        <v>325</v>
      </c>
      <c r="C331" s="5" t="s">
        <v>299</v>
      </c>
      <c r="D331" s="23">
        <v>45689</v>
      </c>
      <c r="E331" s="24">
        <v>46826.6</v>
      </c>
      <c r="F331" s="5" t="s">
        <v>321</v>
      </c>
    </row>
    <row r="332" spans="1:6">
      <c r="A332" s="4">
        <f t="shared" si="5"/>
        <v>331</v>
      </c>
      <c r="B332" s="4" t="s">
        <v>325</v>
      </c>
      <c r="C332" s="5" t="s">
        <v>308</v>
      </c>
      <c r="D332" s="23">
        <v>45689</v>
      </c>
      <c r="E332" s="24">
        <v>13399.71</v>
      </c>
      <c r="F332" s="5" t="s">
        <v>321</v>
      </c>
    </row>
    <row r="333" spans="1:6">
      <c r="A333" s="4">
        <f t="shared" si="5"/>
        <v>332</v>
      </c>
      <c r="B333" s="4" t="s">
        <v>325</v>
      </c>
      <c r="C333" s="5" t="s">
        <v>304</v>
      </c>
      <c r="D333" s="23">
        <v>45689</v>
      </c>
      <c r="E333" s="24">
        <v>27811.14</v>
      </c>
      <c r="F333" s="5" t="s">
        <v>321</v>
      </c>
    </row>
    <row r="334" spans="1:6">
      <c r="A334" s="4">
        <f t="shared" si="5"/>
        <v>333</v>
      </c>
      <c r="B334" s="4" t="s">
        <v>325</v>
      </c>
      <c r="C334" s="5" t="s">
        <v>300</v>
      </c>
      <c r="D334" s="23">
        <v>45689</v>
      </c>
      <c r="E334" s="24">
        <v>38298.400000000001</v>
      </c>
      <c r="F334" s="5" t="s">
        <v>321</v>
      </c>
    </row>
    <row r="335" spans="1:6">
      <c r="A335" s="4">
        <f t="shared" si="5"/>
        <v>334</v>
      </c>
      <c r="B335" s="4" t="s">
        <v>325</v>
      </c>
      <c r="C335" s="5" t="s">
        <v>307</v>
      </c>
      <c r="D335" s="23">
        <v>45689</v>
      </c>
      <c r="E335" s="24">
        <v>7088</v>
      </c>
      <c r="F335" s="5" t="s">
        <v>321</v>
      </c>
    </row>
    <row r="336" spans="1:6">
      <c r="A336" s="4">
        <f t="shared" si="5"/>
        <v>335</v>
      </c>
      <c r="B336" s="4" t="s">
        <v>320</v>
      </c>
      <c r="C336" s="5" t="s">
        <v>295</v>
      </c>
      <c r="D336" s="23">
        <v>45689</v>
      </c>
      <c r="E336" s="24">
        <v>13104</v>
      </c>
      <c r="F336" s="5" t="s">
        <v>321</v>
      </c>
    </row>
    <row r="337" spans="1:6">
      <c r="A337" s="4">
        <f t="shared" si="5"/>
        <v>336</v>
      </c>
      <c r="B337" s="4" t="s">
        <v>320</v>
      </c>
      <c r="C337" s="5" t="s">
        <v>300</v>
      </c>
      <c r="D337" s="23">
        <v>45689</v>
      </c>
      <c r="E337" s="24">
        <v>66897.399999999994</v>
      </c>
      <c r="F337" s="5" t="s">
        <v>321</v>
      </c>
    </row>
    <row r="338" spans="1:6">
      <c r="A338" s="4">
        <f t="shared" si="5"/>
        <v>337</v>
      </c>
      <c r="B338" s="4" t="s">
        <v>320</v>
      </c>
      <c r="C338" s="5" t="s">
        <v>299</v>
      </c>
      <c r="D338" s="23">
        <v>45689</v>
      </c>
      <c r="E338" s="24">
        <v>115039.56</v>
      </c>
      <c r="F338" s="5" t="s">
        <v>321</v>
      </c>
    </row>
    <row r="339" spans="1:6">
      <c r="A339" s="4">
        <f t="shared" si="5"/>
        <v>338</v>
      </c>
      <c r="B339" s="4" t="s">
        <v>320</v>
      </c>
      <c r="C339" s="5" t="s">
        <v>304</v>
      </c>
      <c r="D339" s="23">
        <v>45689</v>
      </c>
      <c r="E339" s="24">
        <v>1120</v>
      </c>
      <c r="F339" s="5" t="s">
        <v>321</v>
      </c>
    </row>
    <row r="340" spans="1:6">
      <c r="A340" s="4">
        <f t="shared" si="5"/>
        <v>339</v>
      </c>
      <c r="B340" s="4" t="s">
        <v>320</v>
      </c>
      <c r="C340" s="5" t="s">
        <v>308</v>
      </c>
      <c r="D340" s="23">
        <v>45689</v>
      </c>
      <c r="E340" s="24">
        <v>26007.8</v>
      </c>
      <c r="F340" s="5" t="s">
        <v>321</v>
      </c>
    </row>
    <row r="341" spans="1:6">
      <c r="A341" s="4">
        <f t="shared" si="5"/>
        <v>340</v>
      </c>
      <c r="B341" s="4" t="s">
        <v>326</v>
      </c>
      <c r="C341" s="5" t="s">
        <v>302</v>
      </c>
      <c r="D341" s="23">
        <v>45689</v>
      </c>
      <c r="E341" s="24">
        <v>631</v>
      </c>
      <c r="F341" s="5" t="s">
        <v>321</v>
      </c>
    </row>
    <row r="342" spans="1:6">
      <c r="A342" s="4">
        <f t="shared" si="5"/>
        <v>341</v>
      </c>
      <c r="B342" s="4" t="s">
        <v>327</v>
      </c>
      <c r="C342" s="5" t="s">
        <v>303</v>
      </c>
      <c r="D342" s="23">
        <v>45689</v>
      </c>
      <c r="E342" s="5">
        <v>32509554.999999996</v>
      </c>
      <c r="F342" s="5" t="s">
        <v>328</v>
      </c>
    </row>
    <row r="343" spans="1:6">
      <c r="A343" s="4">
        <f t="shared" si="5"/>
        <v>342</v>
      </c>
      <c r="B343" s="4" t="s">
        <v>327</v>
      </c>
      <c r="C343" s="5" t="s">
        <v>293</v>
      </c>
      <c r="D343" s="23">
        <v>45689</v>
      </c>
      <c r="E343" s="5">
        <v>28269260</v>
      </c>
      <c r="F343" s="5" t="s">
        <v>328</v>
      </c>
    </row>
    <row r="344" spans="1:6">
      <c r="A344" s="4">
        <f t="shared" si="5"/>
        <v>343</v>
      </c>
      <c r="B344" s="4" t="s">
        <v>327</v>
      </c>
      <c r="C344" s="5" t="s">
        <v>299</v>
      </c>
      <c r="D344" s="23">
        <v>45689</v>
      </c>
      <c r="E344" s="5">
        <v>10220000.000000002</v>
      </c>
      <c r="F344" s="5" t="s">
        <v>328</v>
      </c>
    </row>
    <row r="345" spans="1:6">
      <c r="A345" s="4">
        <f t="shared" si="5"/>
        <v>344</v>
      </c>
      <c r="B345" s="4" t="s">
        <v>327</v>
      </c>
      <c r="C345" s="5" t="s">
        <v>305</v>
      </c>
      <c r="D345" s="23">
        <v>45689</v>
      </c>
      <c r="E345" s="5">
        <v>15870000</v>
      </c>
      <c r="F345" s="5" t="s">
        <v>328</v>
      </c>
    </row>
    <row r="346" spans="1:6">
      <c r="A346" s="4">
        <f t="shared" si="5"/>
        <v>345</v>
      </c>
      <c r="B346" s="4" t="s">
        <v>322</v>
      </c>
      <c r="C346" s="5" t="s">
        <v>299</v>
      </c>
      <c r="D346" s="23">
        <v>45689</v>
      </c>
      <c r="E346" s="24">
        <v>1600</v>
      </c>
      <c r="F346" s="5" t="s">
        <v>321</v>
      </c>
    </row>
    <row r="347" spans="1:6">
      <c r="A347" s="4">
        <f t="shared" si="5"/>
        <v>346</v>
      </c>
      <c r="B347" s="4" t="s">
        <v>329</v>
      </c>
      <c r="C347" s="5" t="s">
        <v>296</v>
      </c>
      <c r="D347" s="26">
        <v>45658</v>
      </c>
      <c r="E347" s="24">
        <v>9429</v>
      </c>
      <c r="F347" s="5" t="s">
        <v>321</v>
      </c>
    </row>
    <row r="348" spans="1:6">
      <c r="A348" s="4">
        <f t="shared" si="5"/>
        <v>347</v>
      </c>
      <c r="B348" s="4" t="s">
        <v>323</v>
      </c>
      <c r="C348" s="5" t="s">
        <v>299</v>
      </c>
      <c r="D348" s="23">
        <v>45658</v>
      </c>
      <c r="E348" s="24">
        <v>31133</v>
      </c>
      <c r="F348" s="5" t="s">
        <v>321</v>
      </c>
    </row>
    <row r="349" spans="1:6">
      <c r="A349" s="4">
        <f t="shared" si="5"/>
        <v>348</v>
      </c>
      <c r="B349" s="4" t="s">
        <v>323</v>
      </c>
      <c r="C349" s="5" t="s">
        <v>295</v>
      </c>
      <c r="D349" s="23">
        <v>45658</v>
      </c>
      <c r="E349" s="24">
        <v>9455.630000000001</v>
      </c>
      <c r="F349" s="5" t="s">
        <v>321</v>
      </c>
    </row>
    <row r="350" spans="1:6">
      <c r="A350" s="4">
        <f t="shared" si="5"/>
        <v>349</v>
      </c>
      <c r="B350" s="4" t="s">
        <v>323</v>
      </c>
      <c r="C350" s="5" t="s">
        <v>308</v>
      </c>
      <c r="D350" s="23">
        <v>45658</v>
      </c>
      <c r="E350" s="24">
        <v>675</v>
      </c>
      <c r="F350" s="5" t="s">
        <v>321</v>
      </c>
    </row>
    <row r="351" spans="1:6">
      <c r="A351" s="4">
        <f t="shared" si="5"/>
        <v>350</v>
      </c>
      <c r="B351" s="4" t="s">
        <v>323</v>
      </c>
      <c r="C351" s="5" t="s">
        <v>300</v>
      </c>
      <c r="D351" s="23">
        <v>45658</v>
      </c>
      <c r="E351" s="24">
        <v>2999.7200000000003</v>
      </c>
      <c r="F351" s="5" t="s">
        <v>321</v>
      </c>
    </row>
    <row r="352" spans="1:6">
      <c r="A352" s="4">
        <f t="shared" si="5"/>
        <v>351</v>
      </c>
      <c r="B352" s="4" t="s">
        <v>323</v>
      </c>
      <c r="C352" s="5" t="s">
        <v>307</v>
      </c>
      <c r="D352" s="23">
        <v>45658</v>
      </c>
      <c r="E352" s="24">
        <v>69170</v>
      </c>
      <c r="F352" s="5" t="s">
        <v>321</v>
      </c>
    </row>
    <row r="353" spans="1:6">
      <c r="A353" s="4">
        <f t="shared" si="5"/>
        <v>352</v>
      </c>
      <c r="B353" s="4" t="s">
        <v>323</v>
      </c>
      <c r="C353" s="5" t="s">
        <v>310</v>
      </c>
      <c r="D353" s="23">
        <v>45658</v>
      </c>
      <c r="E353" s="24">
        <v>6224.8</v>
      </c>
      <c r="F353" s="5" t="s">
        <v>321</v>
      </c>
    </row>
    <row r="354" spans="1:6">
      <c r="A354" s="4">
        <f t="shared" si="5"/>
        <v>353</v>
      </c>
      <c r="B354" s="4" t="s">
        <v>323</v>
      </c>
      <c r="C354" s="5" t="s">
        <v>312</v>
      </c>
      <c r="D354" s="23">
        <v>45658</v>
      </c>
      <c r="E354" s="24">
        <v>9269</v>
      </c>
      <c r="F354" s="5" t="s">
        <v>321</v>
      </c>
    </row>
    <row r="355" spans="1:6">
      <c r="A355" s="4">
        <f t="shared" si="5"/>
        <v>354</v>
      </c>
      <c r="B355" s="4" t="s">
        <v>323</v>
      </c>
      <c r="C355" s="5" t="s">
        <v>306</v>
      </c>
      <c r="D355" s="23">
        <v>45658</v>
      </c>
      <c r="E355" s="24">
        <v>6360</v>
      </c>
      <c r="F355" s="5" t="s">
        <v>321</v>
      </c>
    </row>
    <row r="356" spans="1:6">
      <c r="A356" s="4">
        <f t="shared" si="5"/>
        <v>355</v>
      </c>
      <c r="B356" s="4" t="s">
        <v>324</v>
      </c>
      <c r="C356" s="5" t="s">
        <v>304</v>
      </c>
      <c r="D356" s="23">
        <v>45658</v>
      </c>
      <c r="E356" s="24">
        <v>1200.8</v>
      </c>
      <c r="F356" s="5" t="s">
        <v>321</v>
      </c>
    </row>
    <row r="357" spans="1:6">
      <c r="A357" s="4">
        <f t="shared" si="5"/>
        <v>356</v>
      </c>
      <c r="B357" s="4" t="s">
        <v>324</v>
      </c>
      <c r="C357" s="5" t="s">
        <v>298</v>
      </c>
      <c r="D357" s="23">
        <v>45658</v>
      </c>
      <c r="E357" s="24">
        <v>8041.5</v>
      </c>
      <c r="F357" s="5" t="s">
        <v>321</v>
      </c>
    </row>
    <row r="358" spans="1:6">
      <c r="A358" s="4">
        <f t="shared" si="5"/>
        <v>357</v>
      </c>
      <c r="B358" s="4" t="s">
        <v>324</v>
      </c>
      <c r="C358" s="5" t="s">
        <v>295</v>
      </c>
      <c r="D358" s="23">
        <v>45658</v>
      </c>
      <c r="E358" s="24">
        <v>19170.82</v>
      </c>
      <c r="F358" s="5" t="s">
        <v>321</v>
      </c>
    </row>
    <row r="359" spans="1:6">
      <c r="A359" s="4">
        <f t="shared" si="5"/>
        <v>358</v>
      </c>
      <c r="B359" s="4" t="s">
        <v>324</v>
      </c>
      <c r="C359" s="5" t="s">
        <v>296</v>
      </c>
      <c r="D359" s="23">
        <v>45658</v>
      </c>
      <c r="E359" s="24">
        <v>4574.16</v>
      </c>
      <c r="F359" s="5" t="s">
        <v>321</v>
      </c>
    </row>
    <row r="360" spans="1:6">
      <c r="A360" s="4">
        <f t="shared" si="5"/>
        <v>359</v>
      </c>
      <c r="B360" s="4" t="s">
        <v>324</v>
      </c>
      <c r="C360" s="5" t="s">
        <v>308</v>
      </c>
      <c r="D360" s="23">
        <v>45658</v>
      </c>
      <c r="E360" s="24">
        <v>3429.9</v>
      </c>
      <c r="F360" s="5" t="s">
        <v>321</v>
      </c>
    </row>
    <row r="361" spans="1:6">
      <c r="A361" s="4">
        <f t="shared" si="5"/>
        <v>360</v>
      </c>
      <c r="B361" s="4" t="s">
        <v>324</v>
      </c>
      <c r="C361" s="5" t="s">
        <v>300</v>
      </c>
      <c r="D361" s="23">
        <v>45658</v>
      </c>
      <c r="E361" s="24">
        <v>77949.27</v>
      </c>
      <c r="F361" s="5" t="s">
        <v>321</v>
      </c>
    </row>
    <row r="362" spans="1:6">
      <c r="A362" s="4">
        <f t="shared" si="5"/>
        <v>361</v>
      </c>
      <c r="B362" s="4" t="s">
        <v>324</v>
      </c>
      <c r="C362" s="5" t="s">
        <v>307</v>
      </c>
      <c r="D362" s="23">
        <v>45658</v>
      </c>
      <c r="E362" s="24">
        <v>27328</v>
      </c>
      <c r="F362" s="5" t="s">
        <v>321</v>
      </c>
    </row>
    <row r="363" spans="1:6">
      <c r="A363" s="4">
        <f t="shared" si="5"/>
        <v>362</v>
      </c>
      <c r="B363" s="4" t="s">
        <v>324</v>
      </c>
      <c r="C363" s="5" t="s">
        <v>311</v>
      </c>
      <c r="D363" s="23">
        <v>45658</v>
      </c>
      <c r="E363" s="24">
        <v>18285.3</v>
      </c>
      <c r="F363" s="5" t="s">
        <v>321</v>
      </c>
    </row>
    <row r="364" spans="1:6">
      <c r="A364" s="4">
        <f t="shared" si="5"/>
        <v>363</v>
      </c>
      <c r="B364" s="4" t="s">
        <v>324</v>
      </c>
      <c r="C364" s="5" t="s">
        <v>312</v>
      </c>
      <c r="D364" s="23">
        <v>45658</v>
      </c>
      <c r="E364" s="24">
        <v>460</v>
      </c>
      <c r="F364" s="5" t="s">
        <v>321</v>
      </c>
    </row>
    <row r="365" spans="1:6">
      <c r="A365" s="4">
        <f t="shared" si="5"/>
        <v>364</v>
      </c>
      <c r="B365" s="4" t="s">
        <v>324</v>
      </c>
      <c r="C365" s="5" t="s">
        <v>309</v>
      </c>
      <c r="D365" s="23">
        <v>45658</v>
      </c>
      <c r="E365" s="24">
        <v>14478.45</v>
      </c>
      <c r="F365" s="5" t="s">
        <v>321</v>
      </c>
    </row>
    <row r="366" spans="1:6">
      <c r="A366" s="4">
        <f t="shared" si="5"/>
        <v>365</v>
      </c>
      <c r="B366" s="4" t="s">
        <v>324</v>
      </c>
      <c r="C366" s="5" t="s">
        <v>306</v>
      </c>
      <c r="D366" s="23">
        <v>45658</v>
      </c>
      <c r="E366" s="24">
        <v>344</v>
      </c>
      <c r="F366" s="5" t="s">
        <v>321</v>
      </c>
    </row>
    <row r="367" spans="1:6">
      <c r="A367" s="4">
        <f t="shared" si="5"/>
        <v>366</v>
      </c>
      <c r="B367" s="4" t="s">
        <v>325</v>
      </c>
      <c r="C367" s="5" t="s">
        <v>299</v>
      </c>
      <c r="D367" s="23">
        <v>45658</v>
      </c>
      <c r="E367" s="24">
        <v>75578.66</v>
      </c>
      <c r="F367" s="5" t="s">
        <v>321</v>
      </c>
    </row>
    <row r="368" spans="1:6">
      <c r="A368" s="4">
        <f t="shared" si="5"/>
        <v>367</v>
      </c>
      <c r="B368" s="4" t="s">
        <v>325</v>
      </c>
      <c r="C368" s="5" t="s">
        <v>308</v>
      </c>
      <c r="D368" s="23">
        <v>45658</v>
      </c>
      <c r="E368" s="24">
        <v>12680.51</v>
      </c>
      <c r="F368" s="5" t="s">
        <v>321</v>
      </c>
    </row>
    <row r="369" spans="1:6">
      <c r="A369" s="4">
        <f t="shared" si="5"/>
        <v>368</v>
      </c>
      <c r="B369" s="4" t="s">
        <v>325</v>
      </c>
      <c r="C369" s="5" t="s">
        <v>304</v>
      </c>
      <c r="D369" s="23">
        <v>45658</v>
      </c>
      <c r="E369" s="24">
        <v>8174.1100000000006</v>
      </c>
      <c r="F369" s="5" t="s">
        <v>321</v>
      </c>
    </row>
    <row r="370" spans="1:6">
      <c r="A370" s="4">
        <f t="shared" si="5"/>
        <v>369</v>
      </c>
      <c r="B370" s="4" t="s">
        <v>325</v>
      </c>
      <c r="C370" s="5" t="s">
        <v>300</v>
      </c>
      <c r="D370" s="23">
        <v>45658</v>
      </c>
      <c r="E370" s="24">
        <v>52391.1</v>
      </c>
      <c r="F370" s="5" t="s">
        <v>321</v>
      </c>
    </row>
    <row r="371" spans="1:6">
      <c r="A371" s="4">
        <f t="shared" si="5"/>
        <v>370</v>
      </c>
      <c r="B371" s="4" t="s">
        <v>325</v>
      </c>
      <c r="C371" s="5" t="s">
        <v>307</v>
      </c>
      <c r="D371" s="23">
        <v>45658</v>
      </c>
      <c r="E371" s="24">
        <v>15896</v>
      </c>
      <c r="F371" s="5" t="s">
        <v>321</v>
      </c>
    </row>
    <row r="372" spans="1:6">
      <c r="A372" s="4">
        <f t="shared" si="5"/>
        <v>371</v>
      </c>
      <c r="B372" s="4" t="s">
        <v>326</v>
      </c>
      <c r="C372" s="5" t="s">
        <v>302</v>
      </c>
      <c r="D372" s="23">
        <v>45658</v>
      </c>
      <c r="E372" s="24">
        <v>3142</v>
      </c>
      <c r="F372" s="5" t="s">
        <v>321</v>
      </c>
    </row>
    <row r="373" spans="1:6">
      <c r="A373" s="4">
        <f t="shared" si="5"/>
        <v>372</v>
      </c>
      <c r="B373" s="4" t="s">
        <v>327</v>
      </c>
      <c r="C373" s="5" t="s">
        <v>303</v>
      </c>
      <c r="D373" s="23">
        <v>45658</v>
      </c>
      <c r="E373" s="5">
        <v>31226380.952380948</v>
      </c>
      <c r="F373" s="5" t="s">
        <v>328</v>
      </c>
    </row>
    <row r="374" spans="1:6">
      <c r="A374" s="4">
        <f t="shared" si="5"/>
        <v>373</v>
      </c>
      <c r="B374" s="4" t="s">
        <v>327</v>
      </c>
      <c r="C374" s="5" t="s">
        <v>293</v>
      </c>
      <c r="D374" s="23">
        <v>45658</v>
      </c>
      <c r="E374" s="5">
        <v>26225055</v>
      </c>
      <c r="F374" s="5" t="s">
        <v>328</v>
      </c>
    </row>
    <row r="375" spans="1:6">
      <c r="A375" s="4">
        <f t="shared" si="5"/>
        <v>374</v>
      </c>
      <c r="B375" s="4" t="s">
        <v>327</v>
      </c>
      <c r="C375" s="5" t="s">
        <v>299</v>
      </c>
      <c r="D375" s="23">
        <v>45658</v>
      </c>
      <c r="E375" s="5">
        <v>9999999.9999999981</v>
      </c>
      <c r="F375" s="5" t="s">
        <v>328</v>
      </c>
    </row>
    <row r="376" spans="1:6">
      <c r="A376" s="4">
        <f t="shared" si="5"/>
        <v>375</v>
      </c>
      <c r="B376" s="4" t="s">
        <v>327</v>
      </c>
      <c r="C376" s="5" t="s">
        <v>305</v>
      </c>
      <c r="D376" s="23">
        <v>45658</v>
      </c>
      <c r="E376" s="5">
        <v>10350000</v>
      </c>
      <c r="F376" s="5" t="s">
        <v>328</v>
      </c>
    </row>
    <row r="377" spans="1:6">
      <c r="A377" s="4">
        <f t="shared" si="5"/>
        <v>376</v>
      </c>
      <c r="B377" s="4" t="s">
        <v>322</v>
      </c>
      <c r="C377" s="5" t="s">
        <v>299</v>
      </c>
      <c r="D377" s="23">
        <v>45658</v>
      </c>
      <c r="E377" s="24">
        <v>1400</v>
      </c>
      <c r="F377" s="5" t="s">
        <v>321</v>
      </c>
    </row>
    <row r="378" spans="1:6">
      <c r="A378" s="4">
        <f t="shared" si="5"/>
        <v>377</v>
      </c>
      <c r="B378" s="4" t="s">
        <v>329</v>
      </c>
      <c r="C378" s="5" t="s">
        <v>296</v>
      </c>
      <c r="D378" s="26">
        <v>45627</v>
      </c>
      <c r="E378" s="24">
        <v>21952.5</v>
      </c>
      <c r="F378" s="5" t="s">
        <v>321</v>
      </c>
    </row>
    <row r="379" spans="1:6">
      <c r="A379" s="4">
        <f t="shared" si="5"/>
        <v>378</v>
      </c>
      <c r="B379" s="4" t="s">
        <v>323</v>
      </c>
      <c r="C379" s="5" t="s">
        <v>304</v>
      </c>
      <c r="D379" s="23">
        <v>45627</v>
      </c>
      <c r="E379" s="24">
        <v>2333.7800000000002</v>
      </c>
      <c r="F379" s="5" t="s">
        <v>321</v>
      </c>
    </row>
    <row r="380" spans="1:6">
      <c r="A380" s="4">
        <f t="shared" si="5"/>
        <v>379</v>
      </c>
      <c r="B380" s="4" t="s">
        <v>323</v>
      </c>
      <c r="C380" s="5" t="s">
        <v>299</v>
      </c>
      <c r="D380" s="23">
        <v>45627</v>
      </c>
      <c r="E380" s="24">
        <v>28285</v>
      </c>
      <c r="F380" s="5" t="s">
        <v>321</v>
      </c>
    </row>
    <row r="381" spans="1:6">
      <c r="A381" s="4">
        <f t="shared" si="5"/>
        <v>380</v>
      </c>
      <c r="B381" s="4" t="s">
        <v>323</v>
      </c>
      <c r="C381" s="5" t="s">
        <v>295</v>
      </c>
      <c r="D381" s="23">
        <v>45627</v>
      </c>
      <c r="E381" s="24">
        <v>39847.57</v>
      </c>
      <c r="F381" s="5" t="s">
        <v>321</v>
      </c>
    </row>
    <row r="382" spans="1:6">
      <c r="A382" s="4">
        <f t="shared" si="5"/>
        <v>381</v>
      </c>
      <c r="B382" s="4" t="s">
        <v>323</v>
      </c>
      <c r="C382" s="5" t="s">
        <v>308</v>
      </c>
      <c r="D382" s="23">
        <v>45627</v>
      </c>
      <c r="E382" s="24">
        <v>1499.2</v>
      </c>
      <c r="F382" s="5" t="s">
        <v>321</v>
      </c>
    </row>
    <row r="383" spans="1:6">
      <c r="A383" s="4">
        <f t="shared" si="5"/>
        <v>382</v>
      </c>
      <c r="B383" s="4" t="s">
        <v>323</v>
      </c>
      <c r="C383" s="5" t="s">
        <v>300</v>
      </c>
      <c r="D383" s="23">
        <v>45627</v>
      </c>
      <c r="E383" s="24">
        <v>15182.049999999997</v>
      </c>
      <c r="F383" s="5" t="s">
        <v>321</v>
      </c>
    </row>
    <row r="384" spans="1:6">
      <c r="A384" s="4">
        <f t="shared" si="5"/>
        <v>383</v>
      </c>
      <c r="B384" s="4" t="s">
        <v>323</v>
      </c>
      <c r="C384" s="5" t="s">
        <v>307</v>
      </c>
      <c r="D384" s="23">
        <v>45627</v>
      </c>
      <c r="E384" s="24">
        <v>68744</v>
      </c>
      <c r="F384" s="5" t="s">
        <v>321</v>
      </c>
    </row>
    <row r="385" spans="1:6">
      <c r="A385" s="4">
        <f t="shared" si="5"/>
        <v>384</v>
      </c>
      <c r="B385" s="4" t="s">
        <v>323</v>
      </c>
      <c r="C385" s="5" t="s">
        <v>312</v>
      </c>
      <c r="D385" s="23">
        <v>45627</v>
      </c>
      <c r="E385" s="24">
        <v>460</v>
      </c>
      <c r="F385" s="5" t="s">
        <v>321</v>
      </c>
    </row>
    <row r="386" spans="1:6">
      <c r="A386" s="4">
        <f t="shared" si="5"/>
        <v>385</v>
      </c>
      <c r="B386" s="4" t="s">
        <v>323</v>
      </c>
      <c r="C386" s="5" t="s">
        <v>306</v>
      </c>
      <c r="D386" s="23">
        <v>45627</v>
      </c>
      <c r="E386" s="24">
        <v>5936</v>
      </c>
      <c r="F386" s="5" t="s">
        <v>321</v>
      </c>
    </row>
    <row r="387" spans="1:6">
      <c r="A387" s="4">
        <f t="shared" si="5"/>
        <v>386</v>
      </c>
      <c r="B387" s="4" t="s">
        <v>324</v>
      </c>
      <c r="C387" s="5" t="s">
        <v>304</v>
      </c>
      <c r="D387" s="23">
        <v>45627</v>
      </c>
      <c r="E387" s="24">
        <v>2569.6</v>
      </c>
      <c r="F387" s="5" t="s">
        <v>321</v>
      </c>
    </row>
    <row r="388" spans="1:6">
      <c r="A388" s="4">
        <f t="shared" si="5"/>
        <v>387</v>
      </c>
      <c r="B388" s="4" t="s">
        <v>324</v>
      </c>
      <c r="C388" s="5" t="s">
        <v>298</v>
      </c>
      <c r="D388" s="23">
        <v>45627</v>
      </c>
      <c r="E388" s="24">
        <v>4051.3</v>
      </c>
      <c r="F388" s="5" t="s">
        <v>321</v>
      </c>
    </row>
    <row r="389" spans="1:6">
      <c r="A389" s="4">
        <f t="shared" si="5"/>
        <v>388</v>
      </c>
      <c r="B389" s="4" t="s">
        <v>324</v>
      </c>
      <c r="C389" s="5" t="s">
        <v>295</v>
      </c>
      <c r="D389" s="23">
        <v>45627</v>
      </c>
      <c r="E389" s="24">
        <v>2993</v>
      </c>
      <c r="F389" s="5" t="s">
        <v>321</v>
      </c>
    </row>
    <row r="390" spans="1:6">
      <c r="A390" s="4">
        <f t="shared" si="5"/>
        <v>389</v>
      </c>
      <c r="B390" s="4" t="s">
        <v>324</v>
      </c>
      <c r="C390" s="5" t="s">
        <v>308</v>
      </c>
      <c r="D390" s="23">
        <v>45627</v>
      </c>
      <c r="E390" s="24">
        <v>4560.3599999999997</v>
      </c>
      <c r="F390" s="5" t="s">
        <v>321</v>
      </c>
    </row>
    <row r="391" spans="1:6">
      <c r="A391" s="4">
        <f t="shared" si="5"/>
        <v>390</v>
      </c>
      <c r="B391" s="4" t="s">
        <v>324</v>
      </c>
      <c r="C391" s="5" t="s">
        <v>300</v>
      </c>
      <c r="D391" s="23">
        <v>45627</v>
      </c>
      <c r="E391" s="24">
        <v>41751.730000000003</v>
      </c>
      <c r="F391" s="5" t="s">
        <v>321</v>
      </c>
    </row>
    <row r="392" spans="1:6">
      <c r="A392" s="4">
        <f t="shared" si="5"/>
        <v>391</v>
      </c>
      <c r="B392" s="4" t="s">
        <v>324</v>
      </c>
      <c r="C392" s="5" t="s">
        <v>307</v>
      </c>
      <c r="D392" s="23">
        <v>45627</v>
      </c>
      <c r="E392" s="24">
        <v>47028</v>
      </c>
      <c r="F392" s="5" t="s">
        <v>321</v>
      </c>
    </row>
    <row r="393" spans="1:6">
      <c r="A393" s="4">
        <f t="shared" si="5"/>
        <v>392</v>
      </c>
      <c r="B393" s="4" t="s">
        <v>324</v>
      </c>
      <c r="C393" s="5" t="s">
        <v>312</v>
      </c>
      <c r="D393" s="23">
        <v>45627</v>
      </c>
      <c r="E393" s="24">
        <v>2208</v>
      </c>
      <c r="F393" s="5" t="s">
        <v>321</v>
      </c>
    </row>
    <row r="394" spans="1:6">
      <c r="A394" s="4">
        <f t="shared" si="5"/>
        <v>393</v>
      </c>
      <c r="B394" s="4" t="s">
        <v>324</v>
      </c>
      <c r="C394" s="5" t="s">
        <v>309</v>
      </c>
      <c r="D394" s="23">
        <v>45627</v>
      </c>
      <c r="E394" s="24">
        <v>83471.62</v>
      </c>
      <c r="F394" s="5" t="s">
        <v>321</v>
      </c>
    </row>
    <row r="395" spans="1:6">
      <c r="A395" s="4">
        <f t="shared" ref="A395:A458" si="6">ROW()-1</f>
        <v>394</v>
      </c>
      <c r="B395" s="4" t="s">
        <v>324</v>
      </c>
      <c r="C395" s="5" t="s">
        <v>306</v>
      </c>
      <c r="D395" s="23">
        <v>45627</v>
      </c>
      <c r="E395" s="24">
        <v>1904</v>
      </c>
      <c r="F395" s="5" t="s">
        <v>321</v>
      </c>
    </row>
    <row r="396" spans="1:6">
      <c r="A396" s="4">
        <f t="shared" si="6"/>
        <v>395</v>
      </c>
      <c r="B396" s="4" t="s">
        <v>325</v>
      </c>
      <c r="C396" s="5" t="s">
        <v>299</v>
      </c>
      <c r="D396" s="23">
        <v>45627</v>
      </c>
      <c r="E396" s="24">
        <v>42179.6</v>
      </c>
      <c r="F396" s="5" t="s">
        <v>321</v>
      </c>
    </row>
    <row r="397" spans="1:6">
      <c r="A397" s="4">
        <f t="shared" si="6"/>
        <v>396</v>
      </c>
      <c r="B397" s="4" t="s">
        <v>325</v>
      </c>
      <c r="C397" s="5" t="s">
        <v>308</v>
      </c>
      <c r="D397" s="23">
        <v>45627</v>
      </c>
      <c r="E397" s="24">
        <v>12612.15</v>
      </c>
      <c r="F397" s="5" t="s">
        <v>321</v>
      </c>
    </row>
    <row r="398" spans="1:6">
      <c r="A398" s="4">
        <f t="shared" si="6"/>
        <v>397</v>
      </c>
      <c r="B398" s="4" t="s">
        <v>325</v>
      </c>
      <c r="C398" s="5" t="s">
        <v>304</v>
      </c>
      <c r="D398" s="23">
        <v>45627</v>
      </c>
      <c r="E398" s="24">
        <v>6882.84</v>
      </c>
      <c r="F398" s="5" t="s">
        <v>321</v>
      </c>
    </row>
    <row r="399" spans="1:6">
      <c r="A399" s="4">
        <f t="shared" si="6"/>
        <v>398</v>
      </c>
      <c r="B399" s="4" t="s">
        <v>325</v>
      </c>
      <c r="C399" s="5" t="s">
        <v>300</v>
      </c>
      <c r="D399" s="23">
        <v>45627</v>
      </c>
      <c r="E399" s="24">
        <v>51418</v>
      </c>
      <c r="F399" s="5" t="s">
        <v>321</v>
      </c>
    </row>
    <row r="400" spans="1:6">
      <c r="A400" s="4">
        <f t="shared" si="6"/>
        <v>399</v>
      </c>
      <c r="B400" s="4" t="s">
        <v>325</v>
      </c>
      <c r="C400" s="5" t="s">
        <v>307</v>
      </c>
      <c r="D400" s="23">
        <v>45627</v>
      </c>
      <c r="E400" s="24">
        <v>17984</v>
      </c>
      <c r="F400" s="5" t="s">
        <v>321</v>
      </c>
    </row>
    <row r="401" spans="1:6">
      <c r="A401" s="4">
        <f t="shared" si="6"/>
        <v>400</v>
      </c>
      <c r="B401" s="4" t="s">
        <v>327</v>
      </c>
      <c r="C401" s="5" t="s">
        <v>303</v>
      </c>
      <c r="D401" s="23">
        <v>45627</v>
      </c>
      <c r="E401" s="5">
        <v>31210000</v>
      </c>
      <c r="F401" s="5" t="s">
        <v>328</v>
      </c>
    </row>
    <row r="402" spans="1:6">
      <c r="A402" s="4">
        <f t="shared" si="6"/>
        <v>401</v>
      </c>
      <c r="B402" s="4" t="s">
        <v>327</v>
      </c>
      <c r="C402" s="5" t="s">
        <v>293</v>
      </c>
      <c r="D402" s="23">
        <v>45627</v>
      </c>
      <c r="E402" s="5">
        <v>23007200</v>
      </c>
      <c r="F402" s="5" t="s">
        <v>328</v>
      </c>
    </row>
    <row r="403" spans="1:6">
      <c r="A403" s="4">
        <f t="shared" si="6"/>
        <v>402</v>
      </c>
      <c r="B403" s="4" t="s">
        <v>327</v>
      </c>
      <c r="C403" s="5" t="s">
        <v>299</v>
      </c>
      <c r="D403" s="23">
        <v>45627</v>
      </c>
      <c r="E403" s="5">
        <v>10220000</v>
      </c>
      <c r="F403" s="5" t="s">
        <v>328</v>
      </c>
    </row>
    <row r="404" spans="1:6">
      <c r="A404" s="4">
        <f t="shared" si="6"/>
        <v>403</v>
      </c>
      <c r="B404" s="4" t="s">
        <v>327</v>
      </c>
      <c r="C404" s="5" t="s">
        <v>305</v>
      </c>
      <c r="D404" s="23">
        <v>45627</v>
      </c>
      <c r="E404" s="5">
        <v>18480000</v>
      </c>
      <c r="F404" s="5" t="s">
        <v>328</v>
      </c>
    </row>
    <row r="405" spans="1:6">
      <c r="A405" s="4">
        <f t="shared" si="6"/>
        <v>404</v>
      </c>
      <c r="B405" s="4" t="s">
        <v>322</v>
      </c>
      <c r="C405" s="5" t="s">
        <v>299</v>
      </c>
      <c r="D405" s="23">
        <v>45627</v>
      </c>
      <c r="E405" s="24">
        <v>800</v>
      </c>
      <c r="F405" s="5" t="s">
        <v>321</v>
      </c>
    </row>
    <row r="406" spans="1:6">
      <c r="A406" s="4">
        <f t="shared" si="6"/>
        <v>405</v>
      </c>
      <c r="B406" s="4" t="s">
        <v>329</v>
      </c>
      <c r="C406" s="5" t="s">
        <v>296</v>
      </c>
      <c r="D406" s="26">
        <v>45597</v>
      </c>
      <c r="E406" s="24">
        <v>18045</v>
      </c>
      <c r="F406" s="5" t="s">
        <v>321</v>
      </c>
    </row>
    <row r="407" spans="1:6">
      <c r="A407" s="4">
        <f t="shared" si="6"/>
        <v>406</v>
      </c>
      <c r="B407" s="4" t="s">
        <v>323</v>
      </c>
      <c r="C407" s="5" t="s">
        <v>299</v>
      </c>
      <c r="D407" s="23">
        <v>45597</v>
      </c>
      <c r="E407" s="24">
        <v>3848</v>
      </c>
      <c r="F407" s="5" t="s">
        <v>321</v>
      </c>
    </row>
    <row r="408" spans="1:6">
      <c r="A408" s="4">
        <f t="shared" si="6"/>
        <v>407</v>
      </c>
      <c r="B408" s="4" t="s">
        <v>323</v>
      </c>
      <c r="C408" s="5" t="s">
        <v>295</v>
      </c>
      <c r="D408" s="23">
        <v>45597</v>
      </c>
      <c r="E408" s="24">
        <v>768</v>
      </c>
      <c r="F408" s="5" t="s">
        <v>321</v>
      </c>
    </row>
    <row r="409" spans="1:6">
      <c r="A409" s="4">
        <f t="shared" si="6"/>
        <v>408</v>
      </c>
      <c r="B409" s="4" t="s">
        <v>323</v>
      </c>
      <c r="C409" s="5" t="s">
        <v>300</v>
      </c>
      <c r="D409" s="23">
        <v>45597</v>
      </c>
      <c r="E409" s="24">
        <v>10573.640000000003</v>
      </c>
      <c r="F409" s="5" t="s">
        <v>321</v>
      </c>
    </row>
    <row r="410" spans="1:6">
      <c r="A410" s="4">
        <f t="shared" si="6"/>
        <v>409</v>
      </c>
      <c r="B410" s="4" t="s">
        <v>323</v>
      </c>
      <c r="C410" s="5" t="s">
        <v>312</v>
      </c>
      <c r="D410" s="23">
        <v>45597</v>
      </c>
      <c r="E410" s="24">
        <v>2208</v>
      </c>
      <c r="F410" s="5" t="s">
        <v>321</v>
      </c>
    </row>
    <row r="411" spans="1:6">
      <c r="A411" s="4">
        <f t="shared" si="6"/>
        <v>410</v>
      </c>
      <c r="B411" s="4" t="s">
        <v>324</v>
      </c>
      <c r="C411" s="5" t="s">
        <v>304</v>
      </c>
      <c r="D411" s="23">
        <v>45597</v>
      </c>
      <c r="E411" s="24">
        <v>1414</v>
      </c>
      <c r="F411" s="5" t="s">
        <v>321</v>
      </c>
    </row>
    <row r="412" spans="1:6">
      <c r="A412" s="4">
        <f t="shared" si="6"/>
        <v>411</v>
      </c>
      <c r="B412" s="4" t="s">
        <v>324</v>
      </c>
      <c r="C412" s="5" t="s">
        <v>299</v>
      </c>
      <c r="D412" s="23">
        <v>45597</v>
      </c>
      <c r="E412" s="24">
        <v>4059</v>
      </c>
      <c r="F412" s="5" t="s">
        <v>321</v>
      </c>
    </row>
    <row r="413" spans="1:6">
      <c r="A413" s="4">
        <f t="shared" si="6"/>
        <v>412</v>
      </c>
      <c r="B413" s="4" t="s">
        <v>324</v>
      </c>
      <c r="C413" s="5" t="s">
        <v>298</v>
      </c>
      <c r="D413" s="23">
        <v>45597</v>
      </c>
      <c r="E413" s="24">
        <v>1685.4</v>
      </c>
      <c r="F413" s="5" t="s">
        <v>321</v>
      </c>
    </row>
    <row r="414" spans="1:6">
      <c r="A414" s="4">
        <f t="shared" si="6"/>
        <v>413</v>
      </c>
      <c r="B414" s="4" t="s">
        <v>324</v>
      </c>
      <c r="C414" s="5" t="s">
        <v>295</v>
      </c>
      <c r="D414" s="23">
        <v>45597</v>
      </c>
      <c r="E414" s="24">
        <v>1981.5</v>
      </c>
      <c r="F414" s="5" t="s">
        <v>321</v>
      </c>
    </row>
    <row r="415" spans="1:6">
      <c r="A415" s="4">
        <f t="shared" si="6"/>
        <v>414</v>
      </c>
      <c r="B415" s="4" t="s">
        <v>324</v>
      </c>
      <c r="C415" s="5" t="s">
        <v>308</v>
      </c>
      <c r="D415" s="23">
        <v>45597</v>
      </c>
      <c r="E415" s="24">
        <v>12855</v>
      </c>
      <c r="F415" s="5" t="s">
        <v>321</v>
      </c>
    </row>
    <row r="416" spans="1:6">
      <c r="A416" s="4">
        <f t="shared" si="6"/>
        <v>415</v>
      </c>
      <c r="B416" s="4" t="s">
        <v>324</v>
      </c>
      <c r="C416" s="5" t="s">
        <v>300</v>
      </c>
      <c r="D416" s="23">
        <v>45597</v>
      </c>
      <c r="E416" s="24">
        <v>73215.22</v>
      </c>
      <c r="F416" s="5" t="s">
        <v>321</v>
      </c>
    </row>
    <row r="417" spans="1:6">
      <c r="A417" s="4">
        <f t="shared" si="6"/>
        <v>416</v>
      </c>
      <c r="B417" s="4" t="s">
        <v>324</v>
      </c>
      <c r="C417" s="5" t="s">
        <v>312</v>
      </c>
      <c r="D417" s="23">
        <v>45597</v>
      </c>
      <c r="E417" s="24">
        <v>2944</v>
      </c>
      <c r="F417" s="5" t="s">
        <v>321</v>
      </c>
    </row>
    <row r="418" spans="1:6">
      <c r="A418" s="4">
        <f t="shared" si="6"/>
        <v>417</v>
      </c>
      <c r="B418" s="4" t="s">
        <v>324</v>
      </c>
      <c r="C418" s="5" t="s">
        <v>309</v>
      </c>
      <c r="D418" s="23">
        <v>45597</v>
      </c>
      <c r="E418" s="24">
        <v>3183.72</v>
      </c>
      <c r="F418" s="5" t="s">
        <v>321</v>
      </c>
    </row>
    <row r="419" spans="1:6">
      <c r="A419" s="4">
        <f t="shared" si="6"/>
        <v>418</v>
      </c>
      <c r="B419" s="4" t="s">
        <v>325</v>
      </c>
      <c r="C419" s="5" t="s">
        <v>299</v>
      </c>
      <c r="D419" s="23">
        <v>45597</v>
      </c>
      <c r="E419" s="24">
        <v>23087.7</v>
      </c>
      <c r="F419" s="5" t="s">
        <v>321</v>
      </c>
    </row>
    <row r="420" spans="1:6">
      <c r="A420" s="4">
        <f t="shared" si="6"/>
        <v>419</v>
      </c>
      <c r="B420" s="4" t="s">
        <v>325</v>
      </c>
      <c r="C420" s="5" t="s">
        <v>308</v>
      </c>
      <c r="D420" s="23">
        <v>45597</v>
      </c>
      <c r="E420" s="24">
        <v>4352.08</v>
      </c>
      <c r="F420" s="5" t="s">
        <v>321</v>
      </c>
    </row>
    <row r="421" spans="1:6">
      <c r="A421" s="4">
        <f t="shared" si="6"/>
        <v>420</v>
      </c>
      <c r="B421" s="4" t="s">
        <v>325</v>
      </c>
      <c r="C421" s="5" t="s">
        <v>304</v>
      </c>
      <c r="D421" s="23">
        <v>45597</v>
      </c>
      <c r="E421" s="24">
        <v>6246.12</v>
      </c>
      <c r="F421" s="5" t="s">
        <v>321</v>
      </c>
    </row>
    <row r="422" spans="1:6">
      <c r="A422" s="4">
        <f t="shared" si="6"/>
        <v>421</v>
      </c>
      <c r="B422" s="4" t="s">
        <v>325</v>
      </c>
      <c r="C422" s="5" t="s">
        <v>300</v>
      </c>
      <c r="D422" s="23">
        <v>45597</v>
      </c>
      <c r="E422" s="24">
        <v>55250.44</v>
      </c>
      <c r="F422" s="5" t="s">
        <v>321</v>
      </c>
    </row>
    <row r="423" spans="1:6">
      <c r="A423" s="4">
        <f t="shared" si="6"/>
        <v>422</v>
      </c>
      <c r="B423" s="4" t="s">
        <v>325</v>
      </c>
      <c r="C423" s="5" t="s">
        <v>307</v>
      </c>
      <c r="D423" s="23">
        <v>45597</v>
      </c>
      <c r="E423" s="24">
        <v>26148</v>
      </c>
      <c r="F423" s="5" t="s">
        <v>321</v>
      </c>
    </row>
    <row r="424" spans="1:6">
      <c r="A424" s="4">
        <f t="shared" si="6"/>
        <v>423</v>
      </c>
      <c r="B424" s="4" t="s">
        <v>326</v>
      </c>
      <c r="C424" s="5" t="s">
        <v>302</v>
      </c>
      <c r="D424" s="23">
        <v>45597</v>
      </c>
      <c r="E424" s="24">
        <v>3042</v>
      </c>
      <c r="F424" s="5" t="s">
        <v>321</v>
      </c>
    </row>
    <row r="425" spans="1:6">
      <c r="A425" s="4">
        <f t="shared" si="6"/>
        <v>424</v>
      </c>
      <c r="B425" s="4" t="s">
        <v>327</v>
      </c>
      <c r="C425" s="5" t="s">
        <v>303</v>
      </c>
      <c r="D425" s="23">
        <v>45597</v>
      </c>
      <c r="E425" s="5">
        <v>36367333.333333336</v>
      </c>
      <c r="F425" s="5" t="s">
        <v>328</v>
      </c>
    </row>
    <row r="426" spans="1:6">
      <c r="A426" s="4">
        <f t="shared" si="6"/>
        <v>425</v>
      </c>
      <c r="B426" s="4" t="s">
        <v>327</v>
      </c>
      <c r="C426" s="5" t="s">
        <v>293</v>
      </c>
      <c r="D426" s="23">
        <v>45597</v>
      </c>
      <c r="E426" s="5">
        <v>19695200</v>
      </c>
      <c r="F426" s="5" t="s">
        <v>328</v>
      </c>
    </row>
    <row r="427" spans="1:6">
      <c r="A427" s="4">
        <f t="shared" si="6"/>
        <v>426</v>
      </c>
      <c r="B427" s="4" t="s">
        <v>327</v>
      </c>
      <c r="C427" s="5" t="s">
        <v>299</v>
      </c>
      <c r="D427" s="23">
        <v>45597</v>
      </c>
      <c r="E427" s="5">
        <v>4220000</v>
      </c>
      <c r="F427" s="5" t="s">
        <v>328</v>
      </c>
    </row>
    <row r="428" spans="1:6">
      <c r="A428" s="4">
        <f t="shared" si="6"/>
        <v>427</v>
      </c>
      <c r="B428" s="4" t="s">
        <v>327</v>
      </c>
      <c r="C428" s="5" t="s">
        <v>305</v>
      </c>
      <c r="D428" s="23">
        <v>45597</v>
      </c>
      <c r="E428" s="5">
        <v>22810000</v>
      </c>
      <c r="F428" s="5" t="s">
        <v>328</v>
      </c>
    </row>
    <row r="429" spans="1:6">
      <c r="A429" s="4">
        <f t="shared" si="6"/>
        <v>428</v>
      </c>
      <c r="B429" s="4" t="s">
        <v>322</v>
      </c>
      <c r="C429" s="5" t="s">
        <v>299</v>
      </c>
      <c r="D429" s="23">
        <v>45597</v>
      </c>
      <c r="E429" s="24">
        <v>6460</v>
      </c>
      <c r="F429" s="5" t="s">
        <v>321</v>
      </c>
    </row>
    <row r="430" spans="1:6">
      <c r="A430" s="4">
        <f t="shared" si="6"/>
        <v>429</v>
      </c>
      <c r="B430" s="4" t="s">
        <v>329</v>
      </c>
      <c r="C430" s="5" t="s">
        <v>296</v>
      </c>
      <c r="D430" s="26">
        <v>45566</v>
      </c>
      <c r="E430" s="24">
        <v>16570.260000000002</v>
      </c>
      <c r="F430" s="5" t="s">
        <v>321</v>
      </c>
    </row>
    <row r="431" spans="1:6">
      <c r="A431" s="4">
        <f t="shared" si="6"/>
        <v>430</v>
      </c>
      <c r="B431" s="4" t="s">
        <v>323</v>
      </c>
      <c r="C431" s="5" t="s">
        <v>304</v>
      </c>
      <c r="D431" s="23">
        <v>45566</v>
      </c>
      <c r="E431" s="24">
        <v>7201.35</v>
      </c>
      <c r="F431" s="5" t="s">
        <v>321</v>
      </c>
    </row>
    <row r="432" spans="1:6">
      <c r="A432" s="4">
        <f t="shared" si="6"/>
        <v>431</v>
      </c>
      <c r="B432" s="4" t="s">
        <v>323</v>
      </c>
      <c r="C432" s="5" t="s">
        <v>299</v>
      </c>
      <c r="D432" s="23">
        <v>45566</v>
      </c>
      <c r="E432" s="24">
        <v>89005.5</v>
      </c>
      <c r="F432" s="5" t="s">
        <v>321</v>
      </c>
    </row>
    <row r="433" spans="1:6">
      <c r="A433" s="4">
        <f t="shared" si="6"/>
        <v>432</v>
      </c>
      <c r="B433" s="4" t="s">
        <v>323</v>
      </c>
      <c r="C433" s="5" t="s">
        <v>295</v>
      </c>
      <c r="D433" s="23">
        <v>45566</v>
      </c>
      <c r="E433" s="24">
        <v>24437.32</v>
      </c>
      <c r="F433" s="5" t="s">
        <v>321</v>
      </c>
    </row>
    <row r="434" spans="1:6">
      <c r="A434" s="4">
        <f t="shared" si="6"/>
        <v>433</v>
      </c>
      <c r="B434" s="4" t="s">
        <v>323</v>
      </c>
      <c r="C434" s="5" t="s">
        <v>300</v>
      </c>
      <c r="D434" s="23">
        <v>45566</v>
      </c>
      <c r="E434" s="24">
        <v>10213.33</v>
      </c>
      <c r="F434" s="5" t="s">
        <v>321</v>
      </c>
    </row>
    <row r="435" spans="1:6">
      <c r="A435" s="4">
        <f t="shared" si="6"/>
        <v>434</v>
      </c>
      <c r="B435" s="4" t="s">
        <v>323</v>
      </c>
      <c r="C435" s="5" t="s">
        <v>307</v>
      </c>
      <c r="D435" s="23">
        <v>45566</v>
      </c>
      <c r="E435" s="24">
        <v>47512</v>
      </c>
      <c r="F435" s="5" t="s">
        <v>321</v>
      </c>
    </row>
    <row r="436" spans="1:6">
      <c r="A436" s="4">
        <f t="shared" si="6"/>
        <v>435</v>
      </c>
      <c r="B436" s="4" t="s">
        <v>323</v>
      </c>
      <c r="C436" s="5" t="s">
        <v>310</v>
      </c>
      <c r="D436" s="23">
        <v>45566</v>
      </c>
      <c r="E436" s="24">
        <v>3461</v>
      </c>
      <c r="F436" s="5" t="s">
        <v>321</v>
      </c>
    </row>
    <row r="437" spans="1:6">
      <c r="A437" s="4">
        <f t="shared" si="6"/>
        <v>436</v>
      </c>
      <c r="B437" s="4" t="s">
        <v>323</v>
      </c>
      <c r="C437" s="5" t="s">
        <v>312</v>
      </c>
      <c r="D437" s="23">
        <v>45566</v>
      </c>
      <c r="E437" s="24">
        <v>30676.71</v>
      </c>
      <c r="F437" s="5" t="s">
        <v>321</v>
      </c>
    </row>
    <row r="438" spans="1:6">
      <c r="A438" s="4">
        <f t="shared" si="6"/>
        <v>437</v>
      </c>
      <c r="B438" s="4" t="s">
        <v>324</v>
      </c>
      <c r="C438" s="5" t="s">
        <v>299</v>
      </c>
      <c r="D438" s="23">
        <v>45566</v>
      </c>
      <c r="E438" s="24">
        <v>9527.5</v>
      </c>
      <c r="F438" s="5" t="s">
        <v>321</v>
      </c>
    </row>
    <row r="439" spans="1:6">
      <c r="A439" s="4">
        <f t="shared" si="6"/>
        <v>438</v>
      </c>
      <c r="B439" s="4" t="s">
        <v>324</v>
      </c>
      <c r="C439" s="5" t="s">
        <v>295</v>
      </c>
      <c r="D439" s="23">
        <v>45566</v>
      </c>
      <c r="E439" s="24">
        <v>3893.5</v>
      </c>
      <c r="F439" s="5" t="s">
        <v>321</v>
      </c>
    </row>
    <row r="440" spans="1:6">
      <c r="A440" s="4">
        <f t="shared" si="6"/>
        <v>439</v>
      </c>
      <c r="B440" s="4" t="s">
        <v>324</v>
      </c>
      <c r="C440" s="5" t="s">
        <v>308</v>
      </c>
      <c r="D440" s="23">
        <v>45566</v>
      </c>
      <c r="E440" s="24">
        <v>11599.45</v>
      </c>
      <c r="F440" s="5" t="s">
        <v>321</v>
      </c>
    </row>
    <row r="441" spans="1:6">
      <c r="A441" s="4">
        <f t="shared" si="6"/>
        <v>440</v>
      </c>
      <c r="B441" s="4" t="s">
        <v>324</v>
      </c>
      <c r="C441" s="5" t="s">
        <v>300</v>
      </c>
      <c r="D441" s="23">
        <v>45566</v>
      </c>
      <c r="E441" s="24">
        <v>53425.55</v>
      </c>
      <c r="F441" s="5" t="s">
        <v>321</v>
      </c>
    </row>
    <row r="442" spans="1:6">
      <c r="A442" s="4">
        <f t="shared" si="6"/>
        <v>441</v>
      </c>
      <c r="B442" s="4" t="s">
        <v>324</v>
      </c>
      <c r="C442" s="5" t="s">
        <v>307</v>
      </c>
      <c r="D442" s="23">
        <v>45566</v>
      </c>
      <c r="E442" s="24">
        <v>20380</v>
      </c>
      <c r="F442" s="5" t="s">
        <v>321</v>
      </c>
    </row>
    <row r="443" spans="1:6">
      <c r="A443" s="4">
        <f t="shared" si="6"/>
        <v>442</v>
      </c>
      <c r="B443" s="4" t="s">
        <v>324</v>
      </c>
      <c r="C443" s="5" t="s">
        <v>310</v>
      </c>
      <c r="D443" s="23">
        <v>45566</v>
      </c>
      <c r="E443" s="24">
        <v>7359.6</v>
      </c>
      <c r="F443" s="5" t="s">
        <v>321</v>
      </c>
    </row>
    <row r="444" spans="1:6">
      <c r="A444" s="4">
        <f t="shared" si="6"/>
        <v>443</v>
      </c>
      <c r="B444" s="4" t="s">
        <v>324</v>
      </c>
      <c r="C444" s="5" t="s">
        <v>309</v>
      </c>
      <c r="D444" s="23">
        <v>45566</v>
      </c>
      <c r="E444" s="24">
        <v>32728.78</v>
      </c>
      <c r="F444" s="5" t="s">
        <v>321</v>
      </c>
    </row>
    <row r="445" spans="1:6">
      <c r="A445" s="4">
        <f t="shared" si="6"/>
        <v>444</v>
      </c>
      <c r="B445" s="4" t="s">
        <v>324</v>
      </c>
      <c r="C445" s="5" t="s">
        <v>306</v>
      </c>
      <c r="D445" s="23">
        <v>45566</v>
      </c>
      <c r="E445" s="24">
        <v>3392</v>
      </c>
      <c r="F445" s="5" t="s">
        <v>321</v>
      </c>
    </row>
    <row r="446" spans="1:6">
      <c r="A446" s="4">
        <f t="shared" si="6"/>
        <v>445</v>
      </c>
      <c r="B446" s="4" t="s">
        <v>325</v>
      </c>
      <c r="C446" s="5" t="s">
        <v>308</v>
      </c>
      <c r="D446" s="23">
        <v>45566</v>
      </c>
      <c r="E446" s="24">
        <v>9851.6</v>
      </c>
      <c r="F446" s="5" t="s">
        <v>321</v>
      </c>
    </row>
    <row r="447" spans="1:6">
      <c r="A447" s="4">
        <f t="shared" si="6"/>
        <v>446</v>
      </c>
      <c r="B447" s="4" t="s">
        <v>325</v>
      </c>
      <c r="C447" s="5" t="s">
        <v>304</v>
      </c>
      <c r="D447" s="23">
        <v>45566</v>
      </c>
      <c r="E447" s="24">
        <v>8935.0400000000009</v>
      </c>
      <c r="F447" s="5" t="s">
        <v>321</v>
      </c>
    </row>
    <row r="448" spans="1:6">
      <c r="A448" s="4">
        <f t="shared" si="6"/>
        <v>447</v>
      </c>
      <c r="B448" s="4" t="s">
        <v>325</v>
      </c>
      <c r="C448" s="5" t="s">
        <v>300</v>
      </c>
      <c r="D448" s="23">
        <v>45566</v>
      </c>
      <c r="E448" s="24">
        <v>41413.5</v>
      </c>
      <c r="F448" s="5" t="s">
        <v>321</v>
      </c>
    </row>
    <row r="449" spans="1:6">
      <c r="A449" s="4">
        <f t="shared" si="6"/>
        <v>448</v>
      </c>
      <c r="B449" s="4" t="s">
        <v>325</v>
      </c>
      <c r="C449" s="5" t="s">
        <v>307</v>
      </c>
      <c r="D449" s="23">
        <v>45566</v>
      </c>
      <c r="E449" s="24">
        <v>15976</v>
      </c>
      <c r="F449" s="5" t="s">
        <v>321</v>
      </c>
    </row>
    <row r="450" spans="1:6">
      <c r="A450" s="4">
        <f t="shared" si="6"/>
        <v>449</v>
      </c>
      <c r="B450" s="4" t="s">
        <v>326</v>
      </c>
      <c r="C450" s="5" t="s">
        <v>302</v>
      </c>
      <c r="D450" s="23">
        <v>45566</v>
      </c>
      <c r="E450" s="24">
        <v>6545</v>
      </c>
      <c r="F450" s="5" t="s">
        <v>321</v>
      </c>
    </row>
    <row r="451" spans="1:6">
      <c r="A451" s="4">
        <f t="shared" si="6"/>
        <v>450</v>
      </c>
      <c r="B451" s="4" t="s">
        <v>326</v>
      </c>
      <c r="C451" s="5" t="s">
        <v>298</v>
      </c>
      <c r="D451" s="23">
        <v>45566</v>
      </c>
      <c r="E451" s="24">
        <v>708</v>
      </c>
      <c r="F451" s="5" t="s">
        <v>321</v>
      </c>
    </row>
    <row r="452" spans="1:6">
      <c r="A452" s="4">
        <f t="shared" si="6"/>
        <v>451</v>
      </c>
      <c r="B452" s="4" t="s">
        <v>327</v>
      </c>
      <c r="C452" s="5" t="s">
        <v>303</v>
      </c>
      <c r="D452" s="23">
        <v>45566</v>
      </c>
      <c r="E452" s="5">
        <v>21194000</v>
      </c>
      <c r="F452" s="5" t="s">
        <v>328</v>
      </c>
    </row>
    <row r="453" spans="1:6">
      <c r="A453" s="4">
        <f t="shared" si="6"/>
        <v>452</v>
      </c>
      <c r="B453" s="4" t="s">
        <v>327</v>
      </c>
      <c r="C453" s="5" t="s">
        <v>293</v>
      </c>
      <c r="D453" s="23">
        <v>45566</v>
      </c>
      <c r="E453" s="5">
        <v>6668400</v>
      </c>
      <c r="F453" s="5" t="s">
        <v>328</v>
      </c>
    </row>
    <row r="454" spans="1:6">
      <c r="A454" s="4">
        <f t="shared" si="6"/>
        <v>453</v>
      </c>
      <c r="B454" s="4" t="s">
        <v>327</v>
      </c>
      <c r="C454" s="5" t="s">
        <v>299</v>
      </c>
      <c r="D454" s="23">
        <v>45566</v>
      </c>
      <c r="E454" s="5">
        <v>220000</v>
      </c>
      <c r="F454" s="5" t="s">
        <v>328</v>
      </c>
    </row>
    <row r="455" spans="1:6">
      <c r="A455" s="4">
        <f t="shared" si="6"/>
        <v>454</v>
      </c>
      <c r="B455" s="4" t="s">
        <v>327</v>
      </c>
      <c r="C455" s="5" t="s">
        <v>305</v>
      </c>
      <c r="D455" s="23">
        <v>45566</v>
      </c>
      <c r="E455" s="5">
        <v>22270000</v>
      </c>
      <c r="F455" s="5" t="s">
        <v>328</v>
      </c>
    </row>
    <row r="456" spans="1:6">
      <c r="A456" s="4">
        <f t="shared" si="6"/>
        <v>455</v>
      </c>
      <c r="B456" s="4" t="s">
        <v>322</v>
      </c>
      <c r="C456" s="5" t="s">
        <v>299</v>
      </c>
      <c r="D456" s="23">
        <v>45566</v>
      </c>
      <c r="E456" s="24">
        <v>1200</v>
      </c>
      <c r="F456" s="5" t="s">
        <v>321</v>
      </c>
    </row>
    <row r="457" spans="1:6">
      <c r="A457" s="4">
        <f t="shared" si="6"/>
        <v>456</v>
      </c>
      <c r="B457" s="4" t="s">
        <v>329</v>
      </c>
      <c r="C457" s="5" t="s">
        <v>296</v>
      </c>
      <c r="D457" s="26">
        <v>45536</v>
      </c>
      <c r="E457" s="24">
        <v>11709.02</v>
      </c>
      <c r="F457" s="5" t="s">
        <v>321</v>
      </c>
    </row>
    <row r="458" spans="1:6">
      <c r="A458" s="4">
        <f t="shared" si="6"/>
        <v>457</v>
      </c>
      <c r="B458" s="4" t="s">
        <v>323</v>
      </c>
      <c r="C458" s="5" t="s">
        <v>304</v>
      </c>
      <c r="D458" s="23">
        <v>45536</v>
      </c>
      <c r="E458" s="24">
        <v>9600.52</v>
      </c>
      <c r="F458" s="5" t="s">
        <v>321</v>
      </c>
    </row>
    <row r="459" spans="1:6">
      <c r="A459" s="4">
        <f t="shared" ref="A459:A522" si="7">ROW()-1</f>
        <v>458</v>
      </c>
      <c r="B459" s="4" t="s">
        <v>323</v>
      </c>
      <c r="C459" s="5" t="s">
        <v>299</v>
      </c>
      <c r="D459" s="23">
        <v>45536</v>
      </c>
      <c r="E459" s="24">
        <v>12099</v>
      </c>
      <c r="F459" s="5" t="s">
        <v>321</v>
      </c>
    </row>
    <row r="460" spans="1:6">
      <c r="A460" s="4">
        <f t="shared" si="7"/>
        <v>459</v>
      </c>
      <c r="B460" s="4" t="s">
        <v>323</v>
      </c>
      <c r="C460" s="5" t="s">
        <v>295</v>
      </c>
      <c r="D460" s="23">
        <v>45536</v>
      </c>
      <c r="E460" s="24">
        <v>5756.8</v>
      </c>
      <c r="F460" s="5" t="s">
        <v>321</v>
      </c>
    </row>
    <row r="461" spans="1:6">
      <c r="A461" s="4">
        <f t="shared" si="7"/>
        <v>460</v>
      </c>
      <c r="B461" s="4" t="s">
        <v>323</v>
      </c>
      <c r="C461" s="5" t="s">
        <v>300</v>
      </c>
      <c r="D461" s="23">
        <v>45536</v>
      </c>
      <c r="E461" s="24">
        <v>9915.1400000000012</v>
      </c>
      <c r="F461" s="5" t="s">
        <v>321</v>
      </c>
    </row>
    <row r="462" spans="1:6">
      <c r="A462" s="4">
        <f t="shared" si="7"/>
        <v>461</v>
      </c>
      <c r="B462" s="4" t="s">
        <v>323</v>
      </c>
      <c r="C462" s="5" t="s">
        <v>307</v>
      </c>
      <c r="D462" s="23">
        <v>45536</v>
      </c>
      <c r="E462" s="24">
        <v>45312</v>
      </c>
      <c r="F462" s="5" t="s">
        <v>321</v>
      </c>
    </row>
    <row r="463" spans="1:6">
      <c r="A463" s="4">
        <f t="shared" si="7"/>
        <v>462</v>
      </c>
      <c r="B463" s="4" t="s">
        <v>323</v>
      </c>
      <c r="C463" s="5" t="s">
        <v>311</v>
      </c>
      <c r="D463" s="23">
        <v>45536</v>
      </c>
      <c r="E463" s="24">
        <v>1744.9</v>
      </c>
      <c r="F463" s="5" t="s">
        <v>321</v>
      </c>
    </row>
    <row r="464" spans="1:6">
      <c r="A464" s="4">
        <f t="shared" si="7"/>
        <v>463</v>
      </c>
      <c r="B464" s="4" t="s">
        <v>323</v>
      </c>
      <c r="C464" s="5" t="s">
        <v>306</v>
      </c>
      <c r="D464" s="23">
        <v>45536</v>
      </c>
      <c r="E464" s="24">
        <v>35510</v>
      </c>
      <c r="F464" s="5" t="s">
        <v>321</v>
      </c>
    </row>
    <row r="465" spans="1:6">
      <c r="A465" s="4">
        <f t="shared" si="7"/>
        <v>464</v>
      </c>
      <c r="B465" s="4" t="s">
        <v>324</v>
      </c>
      <c r="C465" s="5" t="s">
        <v>304</v>
      </c>
      <c r="D465" s="23">
        <v>45536</v>
      </c>
      <c r="E465" s="24">
        <v>1956</v>
      </c>
      <c r="F465" s="5" t="s">
        <v>321</v>
      </c>
    </row>
    <row r="466" spans="1:6">
      <c r="A466" s="4">
        <f t="shared" si="7"/>
        <v>465</v>
      </c>
      <c r="B466" s="4" t="s">
        <v>324</v>
      </c>
      <c r="C466" s="5" t="s">
        <v>299</v>
      </c>
      <c r="D466" s="23">
        <v>45536</v>
      </c>
      <c r="E466" s="24">
        <v>11063.5</v>
      </c>
      <c r="F466" s="5" t="s">
        <v>321</v>
      </c>
    </row>
    <row r="467" spans="1:6">
      <c r="A467" s="4">
        <f t="shared" si="7"/>
        <v>466</v>
      </c>
      <c r="B467" s="4" t="s">
        <v>324</v>
      </c>
      <c r="C467" s="5" t="s">
        <v>295</v>
      </c>
      <c r="D467" s="23">
        <v>45536</v>
      </c>
      <c r="E467" s="24">
        <v>5944.5</v>
      </c>
      <c r="F467" s="5" t="s">
        <v>321</v>
      </c>
    </row>
    <row r="468" spans="1:6">
      <c r="A468" s="4">
        <f t="shared" si="7"/>
        <v>467</v>
      </c>
      <c r="B468" s="4" t="s">
        <v>324</v>
      </c>
      <c r="C468" s="5" t="s">
        <v>296</v>
      </c>
      <c r="D468" s="23">
        <v>45536</v>
      </c>
      <c r="E468" s="24">
        <v>6755.36</v>
      </c>
      <c r="F468" s="5" t="s">
        <v>321</v>
      </c>
    </row>
    <row r="469" spans="1:6">
      <c r="A469" s="4">
        <f t="shared" si="7"/>
        <v>468</v>
      </c>
      <c r="B469" s="4" t="s">
        <v>324</v>
      </c>
      <c r="C469" s="5" t="s">
        <v>308</v>
      </c>
      <c r="D469" s="23">
        <v>45536</v>
      </c>
      <c r="E469" s="24">
        <v>14741.1</v>
      </c>
      <c r="F469" s="5" t="s">
        <v>321</v>
      </c>
    </row>
    <row r="470" spans="1:6">
      <c r="A470" s="4">
        <f t="shared" si="7"/>
        <v>469</v>
      </c>
      <c r="B470" s="4" t="s">
        <v>324</v>
      </c>
      <c r="C470" s="5" t="s">
        <v>300</v>
      </c>
      <c r="D470" s="23">
        <v>45536</v>
      </c>
      <c r="E470" s="24">
        <v>61103.7</v>
      </c>
      <c r="F470" s="5" t="s">
        <v>321</v>
      </c>
    </row>
    <row r="471" spans="1:6">
      <c r="A471" s="4">
        <f t="shared" si="7"/>
        <v>470</v>
      </c>
      <c r="B471" s="4" t="s">
        <v>324</v>
      </c>
      <c r="C471" s="5" t="s">
        <v>307</v>
      </c>
      <c r="D471" s="23">
        <v>45536</v>
      </c>
      <c r="E471" s="24">
        <v>22224</v>
      </c>
      <c r="F471" s="5" t="s">
        <v>321</v>
      </c>
    </row>
    <row r="472" spans="1:6">
      <c r="A472" s="4">
        <f t="shared" si="7"/>
        <v>471</v>
      </c>
      <c r="B472" s="4" t="s">
        <v>324</v>
      </c>
      <c r="C472" s="5" t="s">
        <v>310</v>
      </c>
      <c r="D472" s="23">
        <v>45536</v>
      </c>
      <c r="E472" s="24">
        <v>24813</v>
      </c>
      <c r="F472" s="5" t="s">
        <v>321</v>
      </c>
    </row>
    <row r="473" spans="1:6">
      <c r="A473" s="4">
        <f t="shared" si="7"/>
        <v>472</v>
      </c>
      <c r="B473" s="4" t="s">
        <v>324</v>
      </c>
      <c r="C473" s="5" t="s">
        <v>309</v>
      </c>
      <c r="D473" s="23">
        <v>45536</v>
      </c>
      <c r="E473" s="24">
        <v>44973.04</v>
      </c>
      <c r="F473" s="5" t="s">
        <v>321</v>
      </c>
    </row>
    <row r="474" spans="1:6">
      <c r="A474" s="4">
        <f t="shared" si="7"/>
        <v>473</v>
      </c>
      <c r="B474" s="4" t="s">
        <v>325</v>
      </c>
      <c r="C474" s="5" t="s">
        <v>299</v>
      </c>
      <c r="D474" s="23">
        <v>45536</v>
      </c>
      <c r="E474" s="24">
        <v>712.8</v>
      </c>
      <c r="F474" s="5" t="s">
        <v>321</v>
      </c>
    </row>
    <row r="475" spans="1:6">
      <c r="A475" s="4">
        <f t="shared" si="7"/>
        <v>474</v>
      </c>
      <c r="B475" s="4" t="s">
        <v>325</v>
      </c>
      <c r="C475" s="5" t="s">
        <v>308</v>
      </c>
      <c r="D475" s="23">
        <v>45536</v>
      </c>
      <c r="E475" s="24">
        <v>7528.3</v>
      </c>
      <c r="F475" s="5" t="s">
        <v>321</v>
      </c>
    </row>
    <row r="476" spans="1:6">
      <c r="A476" s="4">
        <f t="shared" si="7"/>
        <v>475</v>
      </c>
      <c r="B476" s="4" t="s">
        <v>325</v>
      </c>
      <c r="C476" s="5" t="s">
        <v>304</v>
      </c>
      <c r="D476" s="23">
        <v>45536</v>
      </c>
      <c r="E476" s="24">
        <v>3712</v>
      </c>
      <c r="F476" s="5" t="s">
        <v>321</v>
      </c>
    </row>
    <row r="477" spans="1:6">
      <c r="A477" s="4">
        <f t="shared" si="7"/>
        <v>476</v>
      </c>
      <c r="B477" s="4" t="s">
        <v>325</v>
      </c>
      <c r="C477" s="5" t="s">
        <v>300</v>
      </c>
      <c r="D477" s="23">
        <v>45536</v>
      </c>
      <c r="E477" s="24">
        <v>28931.200000000001</v>
      </c>
      <c r="F477" s="5" t="s">
        <v>321</v>
      </c>
    </row>
    <row r="478" spans="1:6">
      <c r="A478" s="4">
        <f t="shared" si="7"/>
        <v>477</v>
      </c>
      <c r="B478" s="4" t="s">
        <v>325</v>
      </c>
      <c r="C478" s="5" t="s">
        <v>307</v>
      </c>
      <c r="D478" s="23">
        <v>45536</v>
      </c>
      <c r="E478" s="24">
        <v>21712</v>
      </c>
      <c r="F478" s="5" t="s">
        <v>321</v>
      </c>
    </row>
    <row r="479" spans="1:6">
      <c r="A479" s="4">
        <f t="shared" si="7"/>
        <v>478</v>
      </c>
      <c r="B479" s="4" t="s">
        <v>325</v>
      </c>
      <c r="C479" s="5" t="s">
        <v>309</v>
      </c>
      <c r="D479" s="23">
        <v>45536</v>
      </c>
      <c r="E479" s="24">
        <v>955.72</v>
      </c>
      <c r="F479" s="5" t="s">
        <v>321</v>
      </c>
    </row>
    <row r="480" spans="1:6">
      <c r="A480" s="4">
        <f t="shared" si="7"/>
        <v>479</v>
      </c>
      <c r="B480" s="4" t="s">
        <v>326</v>
      </c>
      <c r="C480" s="5" t="s">
        <v>302</v>
      </c>
      <c r="D480" s="23">
        <v>45536</v>
      </c>
      <c r="E480" s="24">
        <v>9953.6</v>
      </c>
      <c r="F480" s="5" t="s">
        <v>321</v>
      </c>
    </row>
    <row r="481" spans="1:6">
      <c r="A481" s="4">
        <f t="shared" si="7"/>
        <v>480</v>
      </c>
      <c r="B481" s="4" t="s">
        <v>327</v>
      </c>
      <c r="C481" s="5" t="s">
        <v>303</v>
      </c>
      <c r="D481" s="23">
        <v>45536</v>
      </c>
      <c r="E481" s="5">
        <v>22837000</v>
      </c>
      <c r="F481" s="5" t="s">
        <v>328</v>
      </c>
    </row>
    <row r="482" spans="1:6">
      <c r="A482" s="4">
        <f t="shared" si="7"/>
        <v>481</v>
      </c>
      <c r="B482" s="4" t="s">
        <v>327</v>
      </c>
      <c r="C482" s="5" t="s">
        <v>293</v>
      </c>
      <c r="D482" s="23">
        <v>45536</v>
      </c>
      <c r="E482" s="5">
        <v>6967619.0476190476</v>
      </c>
      <c r="F482" s="5" t="s">
        <v>328</v>
      </c>
    </row>
    <row r="483" spans="1:6">
      <c r="A483" s="4">
        <f t="shared" si="7"/>
        <v>482</v>
      </c>
      <c r="B483" s="4" t="s">
        <v>327</v>
      </c>
      <c r="C483" s="5" t="s">
        <v>305</v>
      </c>
      <c r="D483" s="23">
        <v>45536</v>
      </c>
      <c r="E483" s="5">
        <v>22070000</v>
      </c>
      <c r="F483" s="5" t="s">
        <v>328</v>
      </c>
    </row>
    <row r="484" spans="1:6">
      <c r="A484" s="4">
        <f t="shared" si="7"/>
        <v>483</v>
      </c>
      <c r="B484" s="4" t="s">
        <v>322</v>
      </c>
      <c r="C484" s="5" t="s">
        <v>299</v>
      </c>
      <c r="D484" s="23">
        <v>45536</v>
      </c>
      <c r="E484" s="24">
        <v>1160</v>
      </c>
      <c r="F484" s="5" t="s">
        <v>321</v>
      </c>
    </row>
    <row r="485" spans="1:6">
      <c r="A485" s="4">
        <f t="shared" si="7"/>
        <v>484</v>
      </c>
      <c r="B485" s="4" t="s">
        <v>329</v>
      </c>
      <c r="C485" s="5" t="s">
        <v>296</v>
      </c>
      <c r="D485" s="26">
        <v>45505</v>
      </c>
      <c r="E485" s="24">
        <v>7514.5</v>
      </c>
      <c r="F485" s="5" t="s">
        <v>321</v>
      </c>
    </row>
    <row r="486" spans="1:6">
      <c r="A486" s="4">
        <f t="shared" si="7"/>
        <v>485</v>
      </c>
      <c r="B486" s="4" t="s">
        <v>323</v>
      </c>
      <c r="C486" s="5" t="s">
        <v>304</v>
      </c>
      <c r="D486" s="23">
        <v>45505</v>
      </c>
      <c r="E486" s="24">
        <v>1543</v>
      </c>
      <c r="F486" s="5" t="s">
        <v>321</v>
      </c>
    </row>
    <row r="487" spans="1:6">
      <c r="A487" s="4">
        <f t="shared" si="7"/>
        <v>486</v>
      </c>
      <c r="B487" s="4" t="s">
        <v>323</v>
      </c>
      <c r="C487" s="5" t="s">
        <v>299</v>
      </c>
      <c r="D487" s="23">
        <v>45505</v>
      </c>
      <c r="E487" s="24">
        <v>42841.5</v>
      </c>
      <c r="F487" s="5" t="s">
        <v>321</v>
      </c>
    </row>
    <row r="488" spans="1:6">
      <c r="A488" s="4">
        <f t="shared" si="7"/>
        <v>487</v>
      </c>
      <c r="B488" s="4" t="s">
        <v>323</v>
      </c>
      <c r="C488" s="5" t="s">
        <v>298</v>
      </c>
      <c r="D488" s="23">
        <v>45505</v>
      </c>
      <c r="E488" s="24">
        <v>6785.22</v>
      </c>
      <c r="F488" s="5" t="s">
        <v>321</v>
      </c>
    </row>
    <row r="489" spans="1:6">
      <c r="A489" s="4">
        <f t="shared" si="7"/>
        <v>488</v>
      </c>
      <c r="B489" s="4" t="s">
        <v>323</v>
      </c>
      <c r="C489" s="5" t="s">
        <v>295</v>
      </c>
      <c r="D489" s="23">
        <v>45505</v>
      </c>
      <c r="E489" s="24">
        <v>1536</v>
      </c>
      <c r="F489" s="5" t="s">
        <v>321</v>
      </c>
    </row>
    <row r="490" spans="1:6">
      <c r="A490" s="4">
        <f t="shared" si="7"/>
        <v>489</v>
      </c>
      <c r="B490" s="4" t="s">
        <v>323</v>
      </c>
      <c r="C490" s="5" t="s">
        <v>308</v>
      </c>
      <c r="D490" s="23">
        <v>45505</v>
      </c>
      <c r="E490" s="24">
        <v>1810.48</v>
      </c>
      <c r="F490" s="5" t="s">
        <v>321</v>
      </c>
    </row>
    <row r="491" spans="1:6">
      <c r="A491" s="4">
        <f t="shared" si="7"/>
        <v>490</v>
      </c>
      <c r="B491" s="4" t="s">
        <v>323</v>
      </c>
      <c r="C491" s="5" t="s">
        <v>300</v>
      </c>
      <c r="D491" s="23">
        <v>45505</v>
      </c>
      <c r="E491" s="24">
        <v>10100.81</v>
      </c>
      <c r="F491" s="5" t="s">
        <v>321</v>
      </c>
    </row>
    <row r="492" spans="1:6">
      <c r="A492" s="4">
        <f t="shared" si="7"/>
        <v>491</v>
      </c>
      <c r="B492" s="4" t="s">
        <v>323</v>
      </c>
      <c r="C492" s="5" t="s">
        <v>307</v>
      </c>
      <c r="D492" s="23">
        <v>45505</v>
      </c>
      <c r="E492" s="24">
        <v>60424</v>
      </c>
      <c r="F492" s="5" t="s">
        <v>321</v>
      </c>
    </row>
    <row r="493" spans="1:6">
      <c r="A493" s="4">
        <f t="shared" si="7"/>
        <v>492</v>
      </c>
      <c r="B493" s="4" t="s">
        <v>323</v>
      </c>
      <c r="C493" s="5" t="s">
        <v>310</v>
      </c>
      <c r="D493" s="23">
        <v>45505</v>
      </c>
      <c r="E493" s="24">
        <v>2816.2</v>
      </c>
      <c r="F493" s="5" t="s">
        <v>321</v>
      </c>
    </row>
    <row r="494" spans="1:6">
      <c r="A494" s="4">
        <f t="shared" si="7"/>
        <v>493</v>
      </c>
      <c r="B494" s="4" t="s">
        <v>323</v>
      </c>
      <c r="C494" s="5" t="s">
        <v>312</v>
      </c>
      <c r="D494" s="23">
        <v>45505</v>
      </c>
      <c r="E494" s="24">
        <v>41759.490000000005</v>
      </c>
      <c r="F494" s="5" t="s">
        <v>321</v>
      </c>
    </row>
    <row r="495" spans="1:6">
      <c r="A495" s="4">
        <f t="shared" si="7"/>
        <v>494</v>
      </c>
      <c r="B495" s="4" t="s">
        <v>324</v>
      </c>
      <c r="C495" s="5" t="s">
        <v>304</v>
      </c>
      <c r="D495" s="23">
        <v>45505</v>
      </c>
      <c r="E495" s="24">
        <v>3626.6</v>
      </c>
      <c r="F495" s="5" t="s">
        <v>321</v>
      </c>
    </row>
    <row r="496" spans="1:6">
      <c r="A496" s="4">
        <f t="shared" si="7"/>
        <v>495</v>
      </c>
      <c r="B496" s="4" t="s">
        <v>324</v>
      </c>
      <c r="C496" s="5" t="s">
        <v>299</v>
      </c>
      <c r="D496" s="23">
        <v>45505</v>
      </c>
      <c r="E496" s="24">
        <v>8417</v>
      </c>
      <c r="F496" s="5" t="s">
        <v>321</v>
      </c>
    </row>
    <row r="497" spans="1:6">
      <c r="A497" s="4">
        <f t="shared" si="7"/>
        <v>496</v>
      </c>
      <c r="B497" s="4" t="s">
        <v>324</v>
      </c>
      <c r="C497" s="5" t="s">
        <v>298</v>
      </c>
      <c r="D497" s="23">
        <v>45505</v>
      </c>
      <c r="E497" s="24">
        <v>4375.68</v>
      </c>
      <c r="F497" s="5" t="s">
        <v>321</v>
      </c>
    </row>
    <row r="498" spans="1:6">
      <c r="A498" s="4">
        <f t="shared" si="7"/>
        <v>497</v>
      </c>
      <c r="B498" s="4" t="s">
        <v>324</v>
      </c>
      <c r="C498" s="5" t="s">
        <v>295</v>
      </c>
      <c r="D498" s="23">
        <v>45505</v>
      </c>
      <c r="E498" s="24">
        <v>6824</v>
      </c>
      <c r="F498" s="5" t="s">
        <v>321</v>
      </c>
    </row>
    <row r="499" spans="1:6">
      <c r="A499" s="4">
        <f t="shared" si="7"/>
        <v>498</v>
      </c>
      <c r="B499" s="4" t="s">
        <v>324</v>
      </c>
      <c r="C499" s="5" t="s">
        <v>308</v>
      </c>
      <c r="D499" s="23">
        <v>45505</v>
      </c>
      <c r="E499" s="24">
        <v>17354.16</v>
      </c>
      <c r="F499" s="5" t="s">
        <v>321</v>
      </c>
    </row>
    <row r="500" spans="1:6">
      <c r="A500" s="4">
        <f t="shared" si="7"/>
        <v>499</v>
      </c>
      <c r="B500" s="4" t="s">
        <v>324</v>
      </c>
      <c r="C500" s="5" t="s">
        <v>300</v>
      </c>
      <c r="D500" s="23">
        <v>45505</v>
      </c>
      <c r="E500" s="24">
        <v>65143.92</v>
      </c>
      <c r="F500" s="5" t="s">
        <v>321</v>
      </c>
    </row>
    <row r="501" spans="1:6">
      <c r="A501" s="4">
        <f t="shared" si="7"/>
        <v>500</v>
      </c>
      <c r="B501" s="4" t="s">
        <v>324</v>
      </c>
      <c r="C501" s="5" t="s">
        <v>307</v>
      </c>
      <c r="D501" s="23">
        <v>45505</v>
      </c>
      <c r="E501" s="24">
        <v>31432</v>
      </c>
      <c r="F501" s="5" t="s">
        <v>321</v>
      </c>
    </row>
    <row r="502" spans="1:6">
      <c r="A502" s="4">
        <f t="shared" si="7"/>
        <v>501</v>
      </c>
      <c r="B502" s="4" t="s">
        <v>324</v>
      </c>
      <c r="C502" s="5" t="s">
        <v>310</v>
      </c>
      <c r="D502" s="23">
        <v>45505</v>
      </c>
      <c r="E502" s="24">
        <v>20699.04</v>
      </c>
      <c r="F502" s="5" t="s">
        <v>321</v>
      </c>
    </row>
    <row r="503" spans="1:6">
      <c r="A503" s="4">
        <f t="shared" si="7"/>
        <v>502</v>
      </c>
      <c r="B503" s="4" t="s">
        <v>324</v>
      </c>
      <c r="C503" s="5" t="s">
        <v>312</v>
      </c>
      <c r="D503" s="23">
        <v>45505</v>
      </c>
      <c r="E503" s="24">
        <v>3036</v>
      </c>
      <c r="F503" s="5" t="s">
        <v>321</v>
      </c>
    </row>
    <row r="504" spans="1:6">
      <c r="A504" s="4">
        <f t="shared" si="7"/>
        <v>503</v>
      </c>
      <c r="B504" s="4" t="s">
        <v>324</v>
      </c>
      <c r="C504" s="5" t="s">
        <v>309</v>
      </c>
      <c r="D504" s="23">
        <v>45505</v>
      </c>
      <c r="E504" s="24">
        <v>24280.31</v>
      </c>
      <c r="F504" s="5" t="s">
        <v>321</v>
      </c>
    </row>
    <row r="505" spans="1:6">
      <c r="A505" s="4">
        <f t="shared" si="7"/>
        <v>504</v>
      </c>
      <c r="B505" s="4" t="s">
        <v>325</v>
      </c>
      <c r="C505" s="5" t="s">
        <v>299</v>
      </c>
      <c r="D505" s="23">
        <v>45505</v>
      </c>
      <c r="E505" s="24">
        <v>511.2</v>
      </c>
      <c r="F505" s="5" t="s">
        <v>321</v>
      </c>
    </row>
    <row r="506" spans="1:6">
      <c r="A506" s="4">
        <f t="shared" si="7"/>
        <v>505</v>
      </c>
      <c r="B506" s="4" t="s">
        <v>325</v>
      </c>
      <c r="C506" s="5" t="s">
        <v>308</v>
      </c>
      <c r="D506" s="23">
        <v>45505</v>
      </c>
      <c r="E506" s="24">
        <v>816.85</v>
      </c>
      <c r="F506" s="5" t="s">
        <v>321</v>
      </c>
    </row>
    <row r="507" spans="1:6">
      <c r="A507" s="4">
        <f t="shared" si="7"/>
        <v>506</v>
      </c>
      <c r="B507" s="4" t="s">
        <v>325</v>
      </c>
      <c r="C507" s="5" t="s">
        <v>300</v>
      </c>
      <c r="D507" s="23">
        <v>45505</v>
      </c>
      <c r="E507" s="24">
        <v>12064.4</v>
      </c>
      <c r="F507" s="5" t="s">
        <v>321</v>
      </c>
    </row>
    <row r="508" spans="1:6">
      <c r="A508" s="4">
        <f t="shared" si="7"/>
        <v>507</v>
      </c>
      <c r="B508" s="4" t="s">
        <v>326</v>
      </c>
      <c r="C508" s="5" t="s">
        <v>302</v>
      </c>
      <c r="D508" s="23">
        <v>45505</v>
      </c>
      <c r="E508" s="24">
        <v>11453.8</v>
      </c>
      <c r="F508" s="5" t="s">
        <v>321</v>
      </c>
    </row>
    <row r="509" spans="1:6">
      <c r="A509" s="4">
        <f t="shared" si="7"/>
        <v>508</v>
      </c>
      <c r="B509" s="4" t="s">
        <v>327</v>
      </c>
      <c r="C509" s="5" t="s">
        <v>303</v>
      </c>
      <c r="D509" s="23">
        <v>45505</v>
      </c>
      <c r="E509" s="5">
        <v>20989347</v>
      </c>
      <c r="F509" s="5" t="s">
        <v>328</v>
      </c>
    </row>
    <row r="510" spans="1:6">
      <c r="A510" s="4">
        <f t="shared" si="7"/>
        <v>509</v>
      </c>
      <c r="B510" s="4" t="s">
        <v>327</v>
      </c>
      <c r="C510" s="5" t="s">
        <v>293</v>
      </c>
      <c r="D510" s="23">
        <v>45505</v>
      </c>
      <c r="E510" s="5">
        <v>14243640</v>
      </c>
      <c r="F510" s="5" t="s">
        <v>328</v>
      </c>
    </row>
    <row r="511" spans="1:6">
      <c r="A511" s="4">
        <f t="shared" si="7"/>
        <v>510</v>
      </c>
      <c r="B511" s="4" t="s">
        <v>327</v>
      </c>
      <c r="C511" s="5" t="s">
        <v>305</v>
      </c>
      <c r="D511" s="23">
        <v>45505</v>
      </c>
      <c r="E511" s="5">
        <v>24140000</v>
      </c>
      <c r="F511" s="5" t="s">
        <v>328</v>
      </c>
    </row>
    <row r="512" spans="1:6">
      <c r="A512" s="4">
        <f t="shared" si="7"/>
        <v>511</v>
      </c>
      <c r="B512" s="4" t="s">
        <v>322</v>
      </c>
      <c r="C512" s="5" t="s">
        <v>299</v>
      </c>
      <c r="D512" s="23">
        <v>45505</v>
      </c>
      <c r="E512" s="24">
        <v>1400</v>
      </c>
      <c r="F512" s="5" t="s">
        <v>321</v>
      </c>
    </row>
    <row r="513" spans="1:6">
      <c r="A513" s="4">
        <f t="shared" si="7"/>
        <v>512</v>
      </c>
      <c r="B513" s="4" t="s">
        <v>329</v>
      </c>
      <c r="C513" s="5" t="s">
        <v>296</v>
      </c>
      <c r="D513" s="26">
        <v>45474</v>
      </c>
      <c r="E513" s="24">
        <v>4535</v>
      </c>
      <c r="F513" s="5" t="s">
        <v>321</v>
      </c>
    </row>
    <row r="514" spans="1:6">
      <c r="A514" s="4">
        <f t="shared" si="7"/>
        <v>513</v>
      </c>
      <c r="B514" s="4" t="s">
        <v>323</v>
      </c>
      <c r="C514" s="5" t="s">
        <v>304</v>
      </c>
      <c r="D514" s="23">
        <v>45474</v>
      </c>
      <c r="E514" s="24">
        <v>4359</v>
      </c>
      <c r="F514" s="5" t="s">
        <v>321</v>
      </c>
    </row>
    <row r="515" spans="1:6">
      <c r="A515" s="4">
        <f t="shared" si="7"/>
        <v>514</v>
      </c>
      <c r="B515" s="4" t="s">
        <v>323</v>
      </c>
      <c r="C515" s="5" t="s">
        <v>299</v>
      </c>
      <c r="D515" s="23">
        <v>45474</v>
      </c>
      <c r="E515" s="24">
        <v>128613</v>
      </c>
      <c r="F515" s="5" t="s">
        <v>321</v>
      </c>
    </row>
    <row r="516" spans="1:6">
      <c r="A516" s="4">
        <f t="shared" si="7"/>
        <v>515</v>
      </c>
      <c r="B516" s="4" t="s">
        <v>323</v>
      </c>
      <c r="C516" s="5" t="s">
        <v>295</v>
      </c>
      <c r="D516" s="23">
        <v>45474</v>
      </c>
      <c r="E516" s="24">
        <v>1712</v>
      </c>
      <c r="F516" s="5" t="s">
        <v>321</v>
      </c>
    </row>
    <row r="517" spans="1:6">
      <c r="A517" s="4">
        <f t="shared" si="7"/>
        <v>516</v>
      </c>
      <c r="B517" s="4" t="s">
        <v>323</v>
      </c>
      <c r="C517" s="5" t="s">
        <v>300</v>
      </c>
      <c r="D517" s="23">
        <v>45474</v>
      </c>
      <c r="E517" s="24">
        <v>21414.619999999995</v>
      </c>
      <c r="F517" s="5" t="s">
        <v>321</v>
      </c>
    </row>
    <row r="518" spans="1:6">
      <c r="A518" s="4">
        <f t="shared" si="7"/>
        <v>517</v>
      </c>
      <c r="B518" s="4" t="s">
        <v>323</v>
      </c>
      <c r="C518" s="5" t="s">
        <v>307</v>
      </c>
      <c r="D518" s="23">
        <v>45474</v>
      </c>
      <c r="E518" s="24">
        <v>28556</v>
      </c>
      <c r="F518" s="5" t="s">
        <v>321</v>
      </c>
    </row>
    <row r="519" spans="1:6">
      <c r="A519" s="4">
        <f t="shared" si="7"/>
        <v>518</v>
      </c>
      <c r="B519" s="4" t="s">
        <v>323</v>
      </c>
      <c r="C519" s="5" t="s">
        <v>310</v>
      </c>
      <c r="D519" s="23">
        <v>45474</v>
      </c>
      <c r="E519" s="24">
        <v>2887.2</v>
      </c>
      <c r="F519" s="5" t="s">
        <v>321</v>
      </c>
    </row>
    <row r="520" spans="1:6">
      <c r="A520" s="4">
        <f t="shared" si="7"/>
        <v>519</v>
      </c>
      <c r="B520" s="4" t="s">
        <v>323</v>
      </c>
      <c r="C520" s="5" t="s">
        <v>311</v>
      </c>
      <c r="D520" s="23">
        <v>45474</v>
      </c>
      <c r="E520" s="24">
        <v>510</v>
      </c>
      <c r="F520" s="5" t="s">
        <v>321</v>
      </c>
    </row>
    <row r="521" spans="1:6">
      <c r="A521" s="4">
        <f t="shared" si="7"/>
        <v>520</v>
      </c>
      <c r="B521" s="4" t="s">
        <v>323</v>
      </c>
      <c r="C521" s="5" t="s">
        <v>312</v>
      </c>
      <c r="D521" s="23">
        <v>45474</v>
      </c>
      <c r="E521" s="24">
        <v>82433.14999999998</v>
      </c>
      <c r="F521" s="5" t="s">
        <v>321</v>
      </c>
    </row>
    <row r="522" spans="1:6">
      <c r="A522" s="4">
        <f t="shared" si="7"/>
        <v>521</v>
      </c>
      <c r="B522" s="4" t="s">
        <v>324</v>
      </c>
      <c r="C522" s="5" t="s">
        <v>304</v>
      </c>
      <c r="D522" s="23">
        <v>45474</v>
      </c>
      <c r="E522" s="24">
        <v>2030</v>
      </c>
      <c r="F522" s="5" t="s">
        <v>321</v>
      </c>
    </row>
    <row r="523" spans="1:6">
      <c r="A523" s="4">
        <f t="shared" ref="A523:A586" si="8">ROW()-1</f>
        <v>522</v>
      </c>
      <c r="B523" s="4" t="s">
        <v>324</v>
      </c>
      <c r="C523" s="5" t="s">
        <v>299</v>
      </c>
      <c r="D523" s="23">
        <v>45474</v>
      </c>
      <c r="E523" s="24">
        <v>6292</v>
      </c>
      <c r="F523" s="5" t="s">
        <v>321</v>
      </c>
    </row>
    <row r="524" spans="1:6">
      <c r="A524" s="4">
        <f t="shared" si="8"/>
        <v>523</v>
      </c>
      <c r="B524" s="4" t="s">
        <v>324</v>
      </c>
      <c r="C524" s="5" t="s">
        <v>298</v>
      </c>
      <c r="D524" s="23">
        <v>45474</v>
      </c>
      <c r="E524" s="24">
        <v>5056.3599999999997</v>
      </c>
      <c r="F524" s="5" t="s">
        <v>321</v>
      </c>
    </row>
    <row r="525" spans="1:6">
      <c r="A525" s="4">
        <f t="shared" si="8"/>
        <v>524</v>
      </c>
      <c r="B525" s="4" t="s">
        <v>324</v>
      </c>
      <c r="C525" s="5" t="s">
        <v>295</v>
      </c>
      <c r="D525" s="23">
        <v>45474</v>
      </c>
      <c r="E525" s="24">
        <v>4322</v>
      </c>
      <c r="F525" s="5" t="s">
        <v>321</v>
      </c>
    </row>
    <row r="526" spans="1:6">
      <c r="A526" s="4">
        <f t="shared" si="8"/>
        <v>525</v>
      </c>
      <c r="B526" s="4" t="s">
        <v>324</v>
      </c>
      <c r="C526" s="5" t="s">
        <v>308</v>
      </c>
      <c r="D526" s="23">
        <v>45474</v>
      </c>
      <c r="E526" s="24">
        <v>16356</v>
      </c>
      <c r="F526" s="5" t="s">
        <v>321</v>
      </c>
    </row>
    <row r="527" spans="1:6">
      <c r="A527" s="4">
        <f t="shared" si="8"/>
        <v>526</v>
      </c>
      <c r="B527" s="4" t="s">
        <v>324</v>
      </c>
      <c r="C527" s="5" t="s">
        <v>300</v>
      </c>
      <c r="D527" s="23">
        <v>45474</v>
      </c>
      <c r="E527" s="24">
        <v>43382.38</v>
      </c>
      <c r="F527" s="5" t="s">
        <v>321</v>
      </c>
    </row>
    <row r="528" spans="1:6">
      <c r="A528" s="4">
        <f t="shared" si="8"/>
        <v>527</v>
      </c>
      <c r="B528" s="4" t="s">
        <v>324</v>
      </c>
      <c r="C528" s="5" t="s">
        <v>307</v>
      </c>
      <c r="D528" s="23">
        <v>45474</v>
      </c>
      <c r="E528" s="24">
        <v>10996</v>
      </c>
      <c r="F528" s="5" t="s">
        <v>321</v>
      </c>
    </row>
    <row r="529" spans="1:6">
      <c r="A529" s="4">
        <f t="shared" si="8"/>
        <v>528</v>
      </c>
      <c r="B529" s="4" t="s">
        <v>324</v>
      </c>
      <c r="C529" s="5" t="s">
        <v>312</v>
      </c>
      <c r="D529" s="23">
        <v>45474</v>
      </c>
      <c r="E529" s="24">
        <v>5566</v>
      </c>
      <c r="F529" s="5" t="s">
        <v>321</v>
      </c>
    </row>
    <row r="530" spans="1:6">
      <c r="A530" s="4">
        <f t="shared" si="8"/>
        <v>529</v>
      </c>
      <c r="B530" s="4" t="s">
        <v>324</v>
      </c>
      <c r="C530" s="5" t="s">
        <v>309</v>
      </c>
      <c r="D530" s="23">
        <v>45474</v>
      </c>
      <c r="E530" s="24">
        <v>8739.5400000000009</v>
      </c>
      <c r="F530" s="5" t="s">
        <v>321</v>
      </c>
    </row>
    <row r="531" spans="1:6">
      <c r="A531" s="4">
        <f t="shared" si="8"/>
        <v>530</v>
      </c>
      <c r="B531" s="4" t="s">
        <v>325</v>
      </c>
      <c r="C531" s="5" t="s">
        <v>299</v>
      </c>
      <c r="D531" s="23">
        <v>45474</v>
      </c>
      <c r="E531" s="24">
        <v>4644</v>
      </c>
      <c r="F531" s="5" t="s">
        <v>321</v>
      </c>
    </row>
    <row r="532" spans="1:6">
      <c r="A532" s="4">
        <f t="shared" si="8"/>
        <v>531</v>
      </c>
      <c r="B532" s="4" t="s">
        <v>325</v>
      </c>
      <c r="C532" s="5" t="s">
        <v>300</v>
      </c>
      <c r="D532" s="23">
        <v>45474</v>
      </c>
      <c r="E532" s="24">
        <v>9084</v>
      </c>
      <c r="F532" s="5" t="s">
        <v>321</v>
      </c>
    </row>
    <row r="533" spans="1:6">
      <c r="A533" s="4">
        <f t="shared" si="8"/>
        <v>532</v>
      </c>
      <c r="B533" s="4" t="s">
        <v>326</v>
      </c>
      <c r="C533" s="5" t="s">
        <v>302</v>
      </c>
      <c r="D533" s="23">
        <v>45474</v>
      </c>
      <c r="E533" s="24">
        <v>10948.8</v>
      </c>
      <c r="F533" s="5" t="s">
        <v>321</v>
      </c>
    </row>
    <row r="534" spans="1:6">
      <c r="A534" s="4">
        <f t="shared" si="8"/>
        <v>533</v>
      </c>
      <c r="B534" s="4" t="s">
        <v>327</v>
      </c>
      <c r="C534" s="5" t="s">
        <v>303</v>
      </c>
      <c r="D534" s="23">
        <v>45474</v>
      </c>
      <c r="E534" s="5">
        <v>19227000</v>
      </c>
      <c r="F534" s="5" t="s">
        <v>328</v>
      </c>
    </row>
    <row r="535" spans="1:6">
      <c r="A535" s="4">
        <f t="shared" si="8"/>
        <v>534</v>
      </c>
      <c r="B535" s="4" t="s">
        <v>327</v>
      </c>
      <c r="C535" s="5" t="s">
        <v>293</v>
      </c>
      <c r="D535" s="23">
        <v>45474</v>
      </c>
      <c r="E535" s="5">
        <v>19212260</v>
      </c>
      <c r="F535" s="5" t="s">
        <v>328</v>
      </c>
    </row>
    <row r="536" spans="1:6">
      <c r="A536" s="4">
        <f t="shared" si="8"/>
        <v>535</v>
      </c>
      <c r="B536" s="4" t="s">
        <v>327</v>
      </c>
      <c r="C536" s="5" t="s">
        <v>305</v>
      </c>
      <c r="D536" s="23">
        <v>45474</v>
      </c>
      <c r="E536" s="5">
        <v>22020000</v>
      </c>
      <c r="F536" s="5" t="s">
        <v>328</v>
      </c>
    </row>
    <row r="537" spans="1:6">
      <c r="A537" s="4">
        <f t="shared" si="8"/>
        <v>536</v>
      </c>
      <c r="B537" s="4" t="s">
        <v>322</v>
      </c>
      <c r="C537" s="5" t="s">
        <v>299</v>
      </c>
      <c r="D537" s="23">
        <v>45474</v>
      </c>
      <c r="E537" s="24">
        <v>1400</v>
      </c>
      <c r="F537" s="5" t="s">
        <v>321</v>
      </c>
    </row>
    <row r="538" spans="1:6">
      <c r="A538" s="4">
        <f t="shared" si="8"/>
        <v>537</v>
      </c>
      <c r="B538" s="4" t="s">
        <v>329</v>
      </c>
      <c r="C538" s="5" t="s">
        <v>296</v>
      </c>
      <c r="D538" s="26">
        <v>45444</v>
      </c>
      <c r="E538" s="24">
        <v>6620</v>
      </c>
      <c r="F538" s="5" t="s">
        <v>321</v>
      </c>
    </row>
    <row r="539" spans="1:6">
      <c r="A539" s="4">
        <f t="shared" si="8"/>
        <v>538</v>
      </c>
      <c r="B539" s="4" t="s">
        <v>323</v>
      </c>
      <c r="C539" s="5" t="s">
        <v>304</v>
      </c>
      <c r="D539" s="23">
        <v>45444</v>
      </c>
      <c r="E539" s="24">
        <v>2983.6</v>
      </c>
      <c r="F539" s="5" t="s">
        <v>321</v>
      </c>
    </row>
    <row r="540" spans="1:6">
      <c r="A540" s="4">
        <f t="shared" si="8"/>
        <v>539</v>
      </c>
      <c r="B540" s="4" t="s">
        <v>323</v>
      </c>
      <c r="C540" s="5" t="s">
        <v>299</v>
      </c>
      <c r="D540" s="23">
        <v>45444</v>
      </c>
      <c r="E540" s="24">
        <v>64441</v>
      </c>
      <c r="F540" s="5" t="s">
        <v>321</v>
      </c>
    </row>
    <row r="541" spans="1:6">
      <c r="A541" s="4">
        <f t="shared" si="8"/>
        <v>540</v>
      </c>
      <c r="B541" s="4" t="s">
        <v>323</v>
      </c>
      <c r="C541" s="5" t="s">
        <v>298</v>
      </c>
      <c r="D541" s="23">
        <v>45444</v>
      </c>
      <c r="E541" s="24">
        <v>626.46</v>
      </c>
      <c r="F541" s="5" t="s">
        <v>321</v>
      </c>
    </row>
    <row r="542" spans="1:6">
      <c r="A542" s="4">
        <f t="shared" si="8"/>
        <v>541</v>
      </c>
      <c r="B542" s="4" t="s">
        <v>323</v>
      </c>
      <c r="C542" s="5" t="s">
        <v>295</v>
      </c>
      <c r="D542" s="23">
        <v>45444</v>
      </c>
      <c r="E542" s="24">
        <v>2274</v>
      </c>
      <c r="F542" s="5" t="s">
        <v>321</v>
      </c>
    </row>
    <row r="543" spans="1:6">
      <c r="A543" s="4">
        <f t="shared" si="8"/>
        <v>542</v>
      </c>
      <c r="B543" s="4" t="s">
        <v>323</v>
      </c>
      <c r="C543" s="5" t="s">
        <v>300</v>
      </c>
      <c r="D543" s="23">
        <v>45444</v>
      </c>
      <c r="E543" s="24">
        <v>23759.219999999994</v>
      </c>
      <c r="F543" s="5" t="s">
        <v>321</v>
      </c>
    </row>
    <row r="544" spans="1:6">
      <c r="A544" s="4">
        <f t="shared" si="8"/>
        <v>543</v>
      </c>
      <c r="B544" s="4" t="s">
        <v>323</v>
      </c>
      <c r="C544" s="5" t="s">
        <v>307</v>
      </c>
      <c r="D544" s="23">
        <v>45444</v>
      </c>
      <c r="E544" s="24">
        <v>55472</v>
      </c>
      <c r="F544" s="5" t="s">
        <v>321</v>
      </c>
    </row>
    <row r="545" spans="1:6">
      <c r="A545" s="4">
        <f t="shared" si="8"/>
        <v>544</v>
      </c>
      <c r="B545" s="4" t="s">
        <v>323</v>
      </c>
      <c r="C545" s="5" t="s">
        <v>311</v>
      </c>
      <c r="D545" s="23">
        <v>45444</v>
      </c>
      <c r="E545" s="24">
        <v>2300.8999999999996</v>
      </c>
      <c r="F545" s="5" t="s">
        <v>321</v>
      </c>
    </row>
    <row r="546" spans="1:6">
      <c r="A546" s="4">
        <f t="shared" si="8"/>
        <v>545</v>
      </c>
      <c r="B546" s="4" t="s">
        <v>324</v>
      </c>
      <c r="C546" s="5" t="s">
        <v>304</v>
      </c>
      <c r="D546" s="23">
        <v>45444</v>
      </c>
      <c r="E546" s="24">
        <v>6100.56</v>
      </c>
      <c r="F546" s="5" t="s">
        <v>321</v>
      </c>
    </row>
    <row r="547" spans="1:6">
      <c r="A547" s="4">
        <f t="shared" si="8"/>
        <v>546</v>
      </c>
      <c r="B547" s="4" t="s">
        <v>324</v>
      </c>
      <c r="C547" s="5" t="s">
        <v>299</v>
      </c>
      <c r="D547" s="23">
        <v>45444</v>
      </c>
      <c r="E547" s="24">
        <v>2485</v>
      </c>
      <c r="F547" s="5" t="s">
        <v>321</v>
      </c>
    </row>
    <row r="548" spans="1:6">
      <c r="A548" s="4">
        <f t="shared" si="8"/>
        <v>547</v>
      </c>
      <c r="B548" s="4" t="s">
        <v>324</v>
      </c>
      <c r="C548" s="5" t="s">
        <v>298</v>
      </c>
      <c r="D548" s="23">
        <v>45444</v>
      </c>
      <c r="E548" s="24">
        <v>11095.68</v>
      </c>
      <c r="F548" s="5" t="s">
        <v>321</v>
      </c>
    </row>
    <row r="549" spans="1:6">
      <c r="A549" s="4">
        <f t="shared" si="8"/>
        <v>548</v>
      </c>
      <c r="B549" s="4" t="s">
        <v>324</v>
      </c>
      <c r="C549" s="5" t="s">
        <v>295</v>
      </c>
      <c r="D549" s="23">
        <v>45444</v>
      </c>
      <c r="E549" s="24">
        <v>13660.5</v>
      </c>
      <c r="F549" s="5" t="s">
        <v>321</v>
      </c>
    </row>
    <row r="550" spans="1:6">
      <c r="A550" s="4">
        <f t="shared" si="8"/>
        <v>549</v>
      </c>
      <c r="B550" s="4" t="s">
        <v>324</v>
      </c>
      <c r="C550" s="5" t="s">
        <v>308</v>
      </c>
      <c r="D550" s="23">
        <v>45444</v>
      </c>
      <c r="E550" s="24">
        <v>18751</v>
      </c>
      <c r="F550" s="5" t="s">
        <v>321</v>
      </c>
    </row>
    <row r="551" spans="1:6">
      <c r="A551" s="4">
        <f t="shared" si="8"/>
        <v>550</v>
      </c>
      <c r="B551" s="4" t="s">
        <v>324</v>
      </c>
      <c r="C551" s="5" t="s">
        <v>300</v>
      </c>
      <c r="D551" s="23">
        <v>45444</v>
      </c>
      <c r="E551" s="24">
        <v>89855.69</v>
      </c>
      <c r="F551" s="5" t="s">
        <v>321</v>
      </c>
    </row>
    <row r="552" spans="1:6">
      <c r="A552" s="4">
        <f t="shared" si="8"/>
        <v>551</v>
      </c>
      <c r="B552" s="4" t="s">
        <v>324</v>
      </c>
      <c r="C552" s="5" t="s">
        <v>307</v>
      </c>
      <c r="D552" s="23">
        <v>45444</v>
      </c>
      <c r="E552" s="24">
        <v>20160</v>
      </c>
      <c r="F552" s="5" t="s">
        <v>321</v>
      </c>
    </row>
    <row r="553" spans="1:6">
      <c r="A553" s="4">
        <f t="shared" si="8"/>
        <v>552</v>
      </c>
      <c r="B553" s="4" t="s">
        <v>324</v>
      </c>
      <c r="C553" s="5" t="s">
        <v>310</v>
      </c>
      <c r="D553" s="23">
        <v>45444</v>
      </c>
      <c r="E553" s="24">
        <v>45600.59</v>
      </c>
      <c r="F553" s="5" t="s">
        <v>321</v>
      </c>
    </row>
    <row r="554" spans="1:6">
      <c r="A554" s="4">
        <f t="shared" si="8"/>
        <v>553</v>
      </c>
      <c r="B554" s="4" t="s">
        <v>324</v>
      </c>
      <c r="C554" s="5" t="s">
        <v>311</v>
      </c>
      <c r="D554" s="23">
        <v>45444</v>
      </c>
      <c r="E554" s="24">
        <v>847.7</v>
      </c>
      <c r="F554" s="5" t="s">
        <v>321</v>
      </c>
    </row>
    <row r="555" spans="1:6">
      <c r="A555" s="4">
        <f t="shared" si="8"/>
        <v>554</v>
      </c>
      <c r="B555" s="4" t="s">
        <v>324</v>
      </c>
      <c r="C555" s="5" t="s">
        <v>312</v>
      </c>
      <c r="D555" s="23">
        <v>45444</v>
      </c>
      <c r="E555" s="24">
        <v>15502</v>
      </c>
      <c r="F555" s="5" t="s">
        <v>321</v>
      </c>
    </row>
    <row r="556" spans="1:6">
      <c r="A556" s="4">
        <f t="shared" si="8"/>
        <v>555</v>
      </c>
      <c r="B556" s="4" t="s">
        <v>324</v>
      </c>
      <c r="C556" s="5" t="s">
        <v>309</v>
      </c>
      <c r="D556" s="23">
        <v>45444</v>
      </c>
      <c r="E556" s="24">
        <v>43416.3</v>
      </c>
      <c r="F556" s="5" t="s">
        <v>321</v>
      </c>
    </row>
    <row r="557" spans="1:6">
      <c r="A557" s="4">
        <f t="shared" si="8"/>
        <v>556</v>
      </c>
      <c r="B557" s="4" t="s">
        <v>325</v>
      </c>
      <c r="C557" s="5" t="s">
        <v>304</v>
      </c>
      <c r="D557" s="23">
        <v>45444</v>
      </c>
      <c r="E557" s="24">
        <v>5948.16</v>
      </c>
      <c r="F557" s="5" t="s">
        <v>321</v>
      </c>
    </row>
    <row r="558" spans="1:6">
      <c r="A558" s="4">
        <f t="shared" si="8"/>
        <v>557</v>
      </c>
      <c r="B558" s="4" t="s">
        <v>325</v>
      </c>
      <c r="C558" s="5" t="s">
        <v>300</v>
      </c>
      <c r="D558" s="23">
        <v>45444</v>
      </c>
      <c r="E558" s="24">
        <v>6001.4</v>
      </c>
      <c r="F558" s="5" t="s">
        <v>321</v>
      </c>
    </row>
    <row r="559" spans="1:6">
      <c r="A559" s="4">
        <f t="shared" si="8"/>
        <v>558</v>
      </c>
      <c r="B559" s="4" t="s">
        <v>325</v>
      </c>
      <c r="C559" s="5" t="s">
        <v>307</v>
      </c>
      <c r="D559" s="23">
        <v>45444</v>
      </c>
      <c r="E559" s="24">
        <v>376</v>
      </c>
      <c r="F559" s="5" t="s">
        <v>321</v>
      </c>
    </row>
    <row r="560" spans="1:6">
      <c r="A560" s="4">
        <f t="shared" si="8"/>
        <v>559</v>
      </c>
      <c r="B560" s="4" t="s">
        <v>326</v>
      </c>
      <c r="C560" s="5" t="s">
        <v>302</v>
      </c>
      <c r="D560" s="23">
        <v>45444</v>
      </c>
      <c r="E560" s="24">
        <v>16897.599999999999</v>
      </c>
      <c r="F560" s="5" t="s">
        <v>321</v>
      </c>
    </row>
    <row r="561" spans="1:6">
      <c r="A561" s="4">
        <f t="shared" si="8"/>
        <v>560</v>
      </c>
      <c r="B561" s="4" t="s">
        <v>327</v>
      </c>
      <c r="C561" s="5" t="s">
        <v>303</v>
      </c>
      <c r="D561" s="23">
        <v>45444</v>
      </c>
      <c r="E561" s="5">
        <v>17177000</v>
      </c>
      <c r="F561" s="5" t="s">
        <v>328</v>
      </c>
    </row>
    <row r="562" spans="1:6">
      <c r="A562" s="4">
        <f t="shared" si="8"/>
        <v>561</v>
      </c>
      <c r="B562" s="4" t="s">
        <v>327</v>
      </c>
      <c r="C562" s="5" t="s">
        <v>293</v>
      </c>
      <c r="D562" s="23">
        <v>45444</v>
      </c>
      <c r="E562" s="5">
        <v>19942025</v>
      </c>
      <c r="F562" s="5" t="s">
        <v>328</v>
      </c>
    </row>
    <row r="563" spans="1:6">
      <c r="A563" s="4">
        <f t="shared" si="8"/>
        <v>562</v>
      </c>
      <c r="B563" s="4" t="s">
        <v>327</v>
      </c>
      <c r="C563" s="5" t="s">
        <v>305</v>
      </c>
      <c r="D563" s="23">
        <v>45444</v>
      </c>
      <c r="E563" s="5">
        <v>12610000</v>
      </c>
      <c r="F563" s="5" t="s">
        <v>328</v>
      </c>
    </row>
    <row r="564" spans="1:6">
      <c r="A564" s="4">
        <f t="shared" si="8"/>
        <v>563</v>
      </c>
      <c r="B564" s="4" t="s">
        <v>322</v>
      </c>
      <c r="C564" s="5" t="s">
        <v>299</v>
      </c>
      <c r="D564" s="23">
        <v>45444</v>
      </c>
      <c r="E564" s="24">
        <v>1200</v>
      </c>
      <c r="F564" s="5" t="s">
        <v>321</v>
      </c>
    </row>
    <row r="565" spans="1:6">
      <c r="A565" s="4">
        <f t="shared" si="8"/>
        <v>564</v>
      </c>
      <c r="B565" s="4" t="s">
        <v>329</v>
      </c>
      <c r="C565" s="5" t="s">
        <v>296</v>
      </c>
      <c r="D565" s="26">
        <v>45413</v>
      </c>
      <c r="E565" s="24">
        <v>7449</v>
      </c>
      <c r="F565" s="5" t="s">
        <v>321</v>
      </c>
    </row>
    <row r="566" spans="1:6">
      <c r="A566" s="4">
        <f t="shared" si="8"/>
        <v>565</v>
      </c>
      <c r="B566" s="4" t="s">
        <v>323</v>
      </c>
      <c r="C566" s="5" t="s">
        <v>304</v>
      </c>
      <c r="D566" s="23">
        <v>45413</v>
      </c>
      <c r="E566" s="24">
        <v>4586.3999999999996</v>
      </c>
      <c r="F566" s="5" t="s">
        <v>321</v>
      </c>
    </row>
    <row r="567" spans="1:6">
      <c r="A567" s="4">
        <f t="shared" si="8"/>
        <v>566</v>
      </c>
      <c r="B567" s="4" t="s">
        <v>323</v>
      </c>
      <c r="C567" s="5" t="s">
        <v>299</v>
      </c>
      <c r="D567" s="23">
        <v>45413</v>
      </c>
      <c r="E567" s="24">
        <v>53689.41</v>
      </c>
      <c r="F567" s="5" t="s">
        <v>321</v>
      </c>
    </row>
    <row r="568" spans="1:6">
      <c r="A568" s="4">
        <f t="shared" si="8"/>
        <v>567</v>
      </c>
      <c r="B568" s="4" t="s">
        <v>323</v>
      </c>
      <c r="C568" s="5" t="s">
        <v>298</v>
      </c>
      <c r="D568" s="23">
        <v>45413</v>
      </c>
      <c r="E568" s="24">
        <v>6158.76</v>
      </c>
      <c r="F568" s="5" t="s">
        <v>321</v>
      </c>
    </row>
    <row r="569" spans="1:6">
      <c r="A569" s="4">
        <f t="shared" si="8"/>
        <v>568</v>
      </c>
      <c r="B569" s="4" t="s">
        <v>323</v>
      </c>
      <c r="C569" s="5" t="s">
        <v>295</v>
      </c>
      <c r="D569" s="23">
        <v>45413</v>
      </c>
      <c r="E569" s="24">
        <v>5010.28</v>
      </c>
      <c r="F569" s="5" t="s">
        <v>321</v>
      </c>
    </row>
    <row r="570" spans="1:6">
      <c r="A570" s="4">
        <f t="shared" si="8"/>
        <v>569</v>
      </c>
      <c r="B570" s="4" t="s">
        <v>323</v>
      </c>
      <c r="C570" s="5" t="s">
        <v>300</v>
      </c>
      <c r="D570" s="23">
        <v>45413</v>
      </c>
      <c r="E570" s="24">
        <v>12621.099999999999</v>
      </c>
      <c r="F570" s="5" t="s">
        <v>321</v>
      </c>
    </row>
    <row r="571" spans="1:6">
      <c r="A571" s="4">
        <f t="shared" si="8"/>
        <v>570</v>
      </c>
      <c r="B571" s="4" t="s">
        <v>323</v>
      </c>
      <c r="C571" s="5" t="s">
        <v>307</v>
      </c>
      <c r="D571" s="23">
        <v>45413</v>
      </c>
      <c r="E571" s="24">
        <v>30192</v>
      </c>
      <c r="F571" s="5" t="s">
        <v>321</v>
      </c>
    </row>
    <row r="572" spans="1:6">
      <c r="A572" s="4">
        <f t="shared" si="8"/>
        <v>571</v>
      </c>
      <c r="B572" s="4" t="s">
        <v>323</v>
      </c>
      <c r="C572" s="5" t="s">
        <v>310</v>
      </c>
      <c r="D572" s="23">
        <v>45413</v>
      </c>
      <c r="E572" s="24">
        <v>1467.4</v>
      </c>
      <c r="F572" s="5" t="s">
        <v>321</v>
      </c>
    </row>
    <row r="573" spans="1:6">
      <c r="A573" s="4">
        <f t="shared" si="8"/>
        <v>572</v>
      </c>
      <c r="B573" s="4" t="s">
        <v>323</v>
      </c>
      <c r="C573" s="5" t="s">
        <v>312</v>
      </c>
      <c r="D573" s="23">
        <v>45413</v>
      </c>
      <c r="E573" s="24">
        <v>32890</v>
      </c>
      <c r="F573" s="5" t="s">
        <v>321</v>
      </c>
    </row>
    <row r="574" spans="1:6">
      <c r="A574" s="4">
        <f t="shared" si="8"/>
        <v>573</v>
      </c>
      <c r="B574" s="4" t="s">
        <v>323</v>
      </c>
      <c r="C574" s="5" t="s">
        <v>306</v>
      </c>
      <c r="D574" s="23">
        <v>45413</v>
      </c>
      <c r="E574" s="24">
        <v>15816</v>
      </c>
      <c r="F574" s="5" t="s">
        <v>321</v>
      </c>
    </row>
    <row r="575" spans="1:6">
      <c r="A575" s="4">
        <f t="shared" si="8"/>
        <v>574</v>
      </c>
      <c r="B575" s="4" t="s">
        <v>324</v>
      </c>
      <c r="C575" s="5" t="s">
        <v>304</v>
      </c>
      <c r="D575" s="23">
        <v>45413</v>
      </c>
      <c r="E575" s="24">
        <v>3664.02</v>
      </c>
      <c r="F575" s="5" t="s">
        <v>321</v>
      </c>
    </row>
    <row r="576" spans="1:6">
      <c r="A576" s="4">
        <f t="shared" si="8"/>
        <v>575</v>
      </c>
      <c r="B576" s="4" t="s">
        <v>324</v>
      </c>
      <c r="C576" s="5" t="s">
        <v>299</v>
      </c>
      <c r="D576" s="23">
        <v>45413</v>
      </c>
      <c r="E576" s="24">
        <v>3707.5</v>
      </c>
      <c r="F576" s="5" t="s">
        <v>321</v>
      </c>
    </row>
    <row r="577" spans="1:6">
      <c r="A577" s="4">
        <f t="shared" si="8"/>
        <v>576</v>
      </c>
      <c r="B577" s="4" t="s">
        <v>324</v>
      </c>
      <c r="C577" s="5" t="s">
        <v>298</v>
      </c>
      <c r="D577" s="23">
        <v>45413</v>
      </c>
      <c r="E577" s="24">
        <v>8748.68</v>
      </c>
      <c r="F577" s="5" t="s">
        <v>321</v>
      </c>
    </row>
    <row r="578" spans="1:6">
      <c r="A578" s="4">
        <f t="shared" si="8"/>
        <v>577</v>
      </c>
      <c r="B578" s="4" t="s">
        <v>324</v>
      </c>
      <c r="C578" s="5" t="s">
        <v>295</v>
      </c>
      <c r="D578" s="23">
        <v>45413</v>
      </c>
      <c r="E578" s="24">
        <v>8091</v>
      </c>
      <c r="F578" s="5" t="s">
        <v>321</v>
      </c>
    </row>
    <row r="579" spans="1:6">
      <c r="A579" s="4">
        <f t="shared" si="8"/>
        <v>578</v>
      </c>
      <c r="B579" s="4" t="s">
        <v>324</v>
      </c>
      <c r="C579" s="5" t="s">
        <v>296</v>
      </c>
      <c r="D579" s="23">
        <v>45413</v>
      </c>
      <c r="E579" s="24">
        <v>1151.5999999999999</v>
      </c>
      <c r="F579" s="5" t="s">
        <v>321</v>
      </c>
    </row>
    <row r="580" spans="1:6">
      <c r="A580" s="4">
        <f t="shared" si="8"/>
        <v>579</v>
      </c>
      <c r="B580" s="4" t="s">
        <v>324</v>
      </c>
      <c r="C580" s="5" t="s">
        <v>308</v>
      </c>
      <c r="D580" s="23">
        <v>45413</v>
      </c>
      <c r="E580" s="24">
        <v>24958.28</v>
      </c>
      <c r="F580" s="5" t="s">
        <v>321</v>
      </c>
    </row>
    <row r="581" spans="1:6">
      <c r="A581" s="4">
        <f t="shared" si="8"/>
        <v>580</v>
      </c>
      <c r="B581" s="4" t="s">
        <v>324</v>
      </c>
      <c r="C581" s="5" t="s">
        <v>300</v>
      </c>
      <c r="D581" s="23">
        <v>45413</v>
      </c>
      <c r="E581" s="24">
        <v>71106.87000000001</v>
      </c>
      <c r="F581" s="5" t="s">
        <v>321</v>
      </c>
    </row>
    <row r="582" spans="1:6">
      <c r="A582" s="4">
        <f t="shared" si="8"/>
        <v>581</v>
      </c>
      <c r="B582" s="4" t="s">
        <v>324</v>
      </c>
      <c r="C582" s="5" t="s">
        <v>307</v>
      </c>
      <c r="D582" s="23">
        <v>45413</v>
      </c>
      <c r="E582" s="24">
        <v>12160</v>
      </c>
      <c r="F582" s="5" t="s">
        <v>321</v>
      </c>
    </row>
    <row r="583" spans="1:6">
      <c r="A583" s="4">
        <f t="shared" si="8"/>
        <v>582</v>
      </c>
      <c r="B583" s="4" t="s">
        <v>324</v>
      </c>
      <c r="C583" s="5" t="s">
        <v>310</v>
      </c>
      <c r="D583" s="23">
        <v>45413</v>
      </c>
      <c r="E583" s="24">
        <v>9537.27</v>
      </c>
      <c r="F583" s="5" t="s">
        <v>321</v>
      </c>
    </row>
    <row r="584" spans="1:6">
      <c r="A584" s="4">
        <f t="shared" si="8"/>
        <v>583</v>
      </c>
      <c r="B584" s="4" t="s">
        <v>324</v>
      </c>
      <c r="C584" s="5" t="s">
        <v>312</v>
      </c>
      <c r="D584" s="23">
        <v>45413</v>
      </c>
      <c r="E584" s="24">
        <v>3284.4</v>
      </c>
      <c r="F584" s="5" t="s">
        <v>321</v>
      </c>
    </row>
    <row r="585" spans="1:6">
      <c r="A585" s="4">
        <f t="shared" si="8"/>
        <v>584</v>
      </c>
      <c r="B585" s="4" t="s">
        <v>324</v>
      </c>
      <c r="C585" s="5" t="s">
        <v>309</v>
      </c>
      <c r="D585" s="23">
        <v>45413</v>
      </c>
      <c r="E585" s="24">
        <v>36409.019999999997</v>
      </c>
      <c r="F585" s="5" t="s">
        <v>321</v>
      </c>
    </row>
    <row r="586" spans="1:6">
      <c r="A586" s="4">
        <f t="shared" si="8"/>
        <v>585</v>
      </c>
      <c r="B586" s="4" t="s">
        <v>325</v>
      </c>
      <c r="C586" s="5" t="s">
        <v>300</v>
      </c>
      <c r="D586" s="23">
        <v>45413</v>
      </c>
      <c r="E586" s="24">
        <v>2712.4</v>
      </c>
      <c r="F586" s="5" t="s">
        <v>321</v>
      </c>
    </row>
    <row r="587" spans="1:6">
      <c r="A587" s="4">
        <f t="shared" ref="A587:A650" si="9">ROW()-1</f>
        <v>586</v>
      </c>
      <c r="B587" s="4" t="s">
        <v>326</v>
      </c>
      <c r="C587" s="5" t="s">
        <v>302</v>
      </c>
      <c r="D587" s="23">
        <v>45413</v>
      </c>
      <c r="E587" s="24">
        <v>18051.400000000001</v>
      </c>
      <c r="F587" s="5" t="s">
        <v>321</v>
      </c>
    </row>
    <row r="588" spans="1:6">
      <c r="A588" s="4">
        <f t="shared" si="9"/>
        <v>587</v>
      </c>
      <c r="B588" s="4" t="s">
        <v>326</v>
      </c>
      <c r="C588" s="5" t="s">
        <v>298</v>
      </c>
      <c r="D588" s="23">
        <v>45413</v>
      </c>
      <c r="E588" s="24">
        <v>35482.449999999997</v>
      </c>
      <c r="F588" s="5" t="s">
        <v>321</v>
      </c>
    </row>
    <row r="589" spans="1:6">
      <c r="A589" s="4">
        <f t="shared" si="9"/>
        <v>588</v>
      </c>
      <c r="B589" s="4" t="s">
        <v>327</v>
      </c>
      <c r="C589" s="5" t="s">
        <v>303</v>
      </c>
      <c r="D589" s="23">
        <v>45413</v>
      </c>
      <c r="E589" s="5">
        <v>21317000</v>
      </c>
      <c r="F589" s="5" t="s">
        <v>328</v>
      </c>
    </row>
    <row r="590" spans="1:6">
      <c r="A590" s="4">
        <f t="shared" si="9"/>
        <v>589</v>
      </c>
      <c r="B590" s="4" t="s">
        <v>327</v>
      </c>
      <c r="C590" s="5" t="s">
        <v>293</v>
      </c>
      <c r="D590" s="23">
        <v>45413</v>
      </c>
      <c r="E590" s="5">
        <v>17258660</v>
      </c>
      <c r="F590" s="5" t="s">
        <v>328</v>
      </c>
    </row>
    <row r="591" spans="1:6">
      <c r="A591" s="4">
        <f t="shared" si="9"/>
        <v>590</v>
      </c>
      <c r="B591" s="4" t="s">
        <v>327</v>
      </c>
      <c r="C591" s="5" t="s">
        <v>305</v>
      </c>
      <c r="D591" s="23">
        <v>45413</v>
      </c>
      <c r="E591" s="5">
        <v>15960000</v>
      </c>
      <c r="F591" s="5" t="s">
        <v>328</v>
      </c>
    </row>
    <row r="592" spans="1:6">
      <c r="A592" s="4">
        <f t="shared" si="9"/>
        <v>591</v>
      </c>
      <c r="B592" s="4" t="s">
        <v>322</v>
      </c>
      <c r="C592" s="5" t="s">
        <v>299</v>
      </c>
      <c r="D592" s="23">
        <v>45413</v>
      </c>
      <c r="E592" s="24">
        <v>5800</v>
      </c>
      <c r="F592" s="5" t="s">
        <v>321</v>
      </c>
    </row>
    <row r="593" spans="1:6">
      <c r="A593" s="4">
        <f t="shared" si="9"/>
        <v>592</v>
      </c>
      <c r="B593" s="4" t="s">
        <v>329</v>
      </c>
      <c r="C593" s="5" t="s">
        <v>296</v>
      </c>
      <c r="D593" s="26">
        <v>45383</v>
      </c>
      <c r="E593" s="24">
        <v>8023</v>
      </c>
      <c r="F593" s="5" t="s">
        <v>321</v>
      </c>
    </row>
    <row r="594" spans="1:6">
      <c r="A594" s="4">
        <f t="shared" si="9"/>
        <v>593</v>
      </c>
      <c r="B594" s="4" t="s">
        <v>323</v>
      </c>
      <c r="C594" s="5" t="s">
        <v>304</v>
      </c>
      <c r="D594" s="23">
        <v>45383</v>
      </c>
      <c r="E594" s="24">
        <v>6939.7</v>
      </c>
      <c r="F594" s="5" t="s">
        <v>321</v>
      </c>
    </row>
    <row r="595" spans="1:6">
      <c r="A595" s="4">
        <f t="shared" si="9"/>
        <v>594</v>
      </c>
      <c r="B595" s="4" t="s">
        <v>323</v>
      </c>
      <c r="C595" s="5" t="s">
        <v>299</v>
      </c>
      <c r="D595" s="23">
        <v>45383</v>
      </c>
      <c r="E595" s="24">
        <v>208309.47</v>
      </c>
      <c r="F595" s="5" t="s">
        <v>321</v>
      </c>
    </row>
    <row r="596" spans="1:6">
      <c r="A596" s="4">
        <f t="shared" si="9"/>
        <v>595</v>
      </c>
      <c r="B596" s="4" t="s">
        <v>323</v>
      </c>
      <c r="C596" s="5" t="s">
        <v>298</v>
      </c>
      <c r="D596" s="23">
        <v>45383</v>
      </c>
      <c r="E596" s="24">
        <v>4079.76</v>
      </c>
      <c r="F596" s="5" t="s">
        <v>321</v>
      </c>
    </row>
    <row r="597" spans="1:6">
      <c r="A597" s="4">
        <f t="shared" si="9"/>
        <v>596</v>
      </c>
      <c r="B597" s="4" t="s">
        <v>323</v>
      </c>
      <c r="C597" s="5" t="s">
        <v>295</v>
      </c>
      <c r="D597" s="23">
        <v>45383</v>
      </c>
      <c r="E597" s="24">
        <v>2816</v>
      </c>
      <c r="F597" s="5" t="s">
        <v>321</v>
      </c>
    </row>
    <row r="598" spans="1:6">
      <c r="A598" s="4">
        <f t="shared" si="9"/>
        <v>597</v>
      </c>
      <c r="B598" s="4" t="s">
        <v>323</v>
      </c>
      <c r="C598" s="5" t="s">
        <v>308</v>
      </c>
      <c r="D598" s="23">
        <v>45383</v>
      </c>
      <c r="E598" s="24">
        <v>2543.1999999999998</v>
      </c>
      <c r="F598" s="5" t="s">
        <v>321</v>
      </c>
    </row>
    <row r="599" spans="1:6">
      <c r="A599" s="4">
        <f t="shared" si="9"/>
        <v>598</v>
      </c>
      <c r="B599" s="4" t="s">
        <v>323</v>
      </c>
      <c r="C599" s="5" t="s">
        <v>300</v>
      </c>
      <c r="D599" s="23">
        <v>45383</v>
      </c>
      <c r="E599" s="24">
        <v>20124.650000000001</v>
      </c>
      <c r="F599" s="5" t="s">
        <v>321</v>
      </c>
    </row>
    <row r="600" spans="1:6">
      <c r="A600" s="4">
        <f t="shared" si="9"/>
        <v>599</v>
      </c>
      <c r="B600" s="4" t="s">
        <v>323</v>
      </c>
      <c r="C600" s="5" t="s">
        <v>307</v>
      </c>
      <c r="D600" s="23">
        <v>45383</v>
      </c>
      <c r="E600" s="24">
        <v>76304</v>
      </c>
      <c r="F600" s="5" t="s">
        <v>321</v>
      </c>
    </row>
    <row r="601" spans="1:6">
      <c r="A601" s="4">
        <f t="shared" si="9"/>
        <v>600</v>
      </c>
      <c r="B601" s="4" t="s">
        <v>323</v>
      </c>
      <c r="C601" s="5" t="s">
        <v>310</v>
      </c>
      <c r="D601" s="23">
        <v>45383</v>
      </c>
      <c r="E601" s="24">
        <v>4673.2</v>
      </c>
      <c r="F601" s="5" t="s">
        <v>321</v>
      </c>
    </row>
    <row r="602" spans="1:6">
      <c r="A602" s="4">
        <f t="shared" si="9"/>
        <v>601</v>
      </c>
      <c r="B602" s="4" t="s">
        <v>323</v>
      </c>
      <c r="C602" s="5" t="s">
        <v>312</v>
      </c>
      <c r="D602" s="23">
        <v>45383</v>
      </c>
      <c r="E602" s="24">
        <v>31740</v>
      </c>
      <c r="F602" s="5" t="s">
        <v>321</v>
      </c>
    </row>
    <row r="603" spans="1:6">
      <c r="A603" s="4">
        <f t="shared" si="9"/>
        <v>602</v>
      </c>
      <c r="B603" s="4" t="s">
        <v>324</v>
      </c>
      <c r="C603" s="5" t="s">
        <v>304</v>
      </c>
      <c r="D603" s="23">
        <v>45383</v>
      </c>
      <c r="E603" s="24">
        <v>14142</v>
      </c>
      <c r="F603" s="5" t="s">
        <v>321</v>
      </c>
    </row>
    <row r="604" spans="1:6">
      <c r="A604" s="4">
        <f t="shared" si="9"/>
        <v>603</v>
      </c>
      <c r="B604" s="4" t="s">
        <v>324</v>
      </c>
      <c r="C604" s="5" t="s">
        <v>299</v>
      </c>
      <c r="D604" s="23">
        <v>45383</v>
      </c>
      <c r="E604" s="24">
        <v>2484</v>
      </c>
      <c r="F604" s="5" t="s">
        <v>321</v>
      </c>
    </row>
    <row r="605" spans="1:6">
      <c r="A605" s="4">
        <f t="shared" si="9"/>
        <v>604</v>
      </c>
      <c r="B605" s="4" t="s">
        <v>324</v>
      </c>
      <c r="C605" s="5" t="s">
        <v>298</v>
      </c>
      <c r="D605" s="23">
        <v>45383</v>
      </c>
      <c r="E605" s="24">
        <v>8604.18</v>
      </c>
      <c r="F605" s="5" t="s">
        <v>321</v>
      </c>
    </row>
    <row r="606" spans="1:6">
      <c r="A606" s="4">
        <f t="shared" si="9"/>
        <v>605</v>
      </c>
      <c r="B606" s="4" t="s">
        <v>324</v>
      </c>
      <c r="C606" s="5" t="s">
        <v>295</v>
      </c>
      <c r="D606" s="23">
        <v>45383</v>
      </c>
      <c r="E606" s="24">
        <v>4582.5</v>
      </c>
      <c r="F606" s="5" t="s">
        <v>321</v>
      </c>
    </row>
    <row r="607" spans="1:6">
      <c r="A607" s="4">
        <f t="shared" si="9"/>
        <v>606</v>
      </c>
      <c r="B607" s="4" t="s">
        <v>324</v>
      </c>
      <c r="C607" s="5" t="s">
        <v>308</v>
      </c>
      <c r="D607" s="23">
        <v>45383</v>
      </c>
      <c r="E607" s="24">
        <v>32297.25</v>
      </c>
      <c r="F607" s="5" t="s">
        <v>321</v>
      </c>
    </row>
    <row r="608" spans="1:6">
      <c r="A608" s="4">
        <f t="shared" si="9"/>
        <v>607</v>
      </c>
      <c r="B608" s="4" t="s">
        <v>324</v>
      </c>
      <c r="C608" s="5" t="s">
        <v>300</v>
      </c>
      <c r="D608" s="23">
        <v>45383</v>
      </c>
      <c r="E608" s="24">
        <v>94532.800000000003</v>
      </c>
      <c r="F608" s="5" t="s">
        <v>321</v>
      </c>
    </row>
    <row r="609" spans="1:6">
      <c r="A609" s="4">
        <f t="shared" si="9"/>
        <v>608</v>
      </c>
      <c r="B609" s="4" t="s">
        <v>324</v>
      </c>
      <c r="C609" s="5" t="s">
        <v>307</v>
      </c>
      <c r="D609" s="23">
        <v>45383</v>
      </c>
      <c r="E609" s="24">
        <v>21320</v>
      </c>
      <c r="F609" s="5" t="s">
        <v>321</v>
      </c>
    </row>
    <row r="610" spans="1:6">
      <c r="A610" s="4">
        <f t="shared" si="9"/>
        <v>609</v>
      </c>
      <c r="B610" s="4" t="s">
        <v>324</v>
      </c>
      <c r="C610" s="5" t="s">
        <v>310</v>
      </c>
      <c r="D610" s="23">
        <v>45383</v>
      </c>
      <c r="E610" s="24">
        <v>27561.56</v>
      </c>
      <c r="F610" s="5" t="s">
        <v>321</v>
      </c>
    </row>
    <row r="611" spans="1:6">
      <c r="A611" s="4">
        <f t="shared" si="9"/>
        <v>610</v>
      </c>
      <c r="B611" s="4" t="s">
        <v>324</v>
      </c>
      <c r="C611" s="5" t="s">
        <v>312</v>
      </c>
      <c r="D611" s="23">
        <v>45383</v>
      </c>
      <c r="E611" s="24">
        <v>10368.4</v>
      </c>
      <c r="F611" s="5" t="s">
        <v>321</v>
      </c>
    </row>
    <row r="612" spans="1:6">
      <c r="A612" s="4">
        <f t="shared" si="9"/>
        <v>611</v>
      </c>
      <c r="B612" s="4" t="s">
        <v>324</v>
      </c>
      <c r="C612" s="5" t="s">
        <v>309</v>
      </c>
      <c r="D612" s="23">
        <v>45383</v>
      </c>
      <c r="E612" s="24">
        <v>36115.67</v>
      </c>
      <c r="F612" s="5" t="s">
        <v>321</v>
      </c>
    </row>
    <row r="613" spans="1:6">
      <c r="A613" s="4">
        <f t="shared" si="9"/>
        <v>612</v>
      </c>
      <c r="B613" s="4" t="s">
        <v>326</v>
      </c>
      <c r="C613" s="5" t="s">
        <v>302</v>
      </c>
      <c r="D613" s="23">
        <v>45383</v>
      </c>
      <c r="E613" s="24">
        <v>17373.8</v>
      </c>
      <c r="F613" s="5" t="s">
        <v>321</v>
      </c>
    </row>
    <row r="614" spans="1:6">
      <c r="A614" s="4">
        <f t="shared" si="9"/>
        <v>613</v>
      </c>
      <c r="B614" s="4" t="s">
        <v>327</v>
      </c>
      <c r="C614" s="5" t="s">
        <v>303</v>
      </c>
      <c r="D614" s="23">
        <v>45383</v>
      </c>
      <c r="E614" s="5">
        <v>22294160</v>
      </c>
      <c r="F614" s="5" t="s">
        <v>328</v>
      </c>
    </row>
    <row r="615" spans="1:6">
      <c r="A615" s="4">
        <f t="shared" si="9"/>
        <v>614</v>
      </c>
      <c r="B615" s="4" t="s">
        <v>327</v>
      </c>
      <c r="C615" s="5" t="s">
        <v>293</v>
      </c>
      <c r="D615" s="23">
        <v>45383</v>
      </c>
      <c r="E615" s="5">
        <v>17910315</v>
      </c>
      <c r="F615" s="5" t="s">
        <v>328</v>
      </c>
    </row>
    <row r="616" spans="1:6">
      <c r="A616" s="4">
        <f t="shared" si="9"/>
        <v>615</v>
      </c>
      <c r="B616" s="4" t="s">
        <v>327</v>
      </c>
      <c r="C616" s="5" t="s">
        <v>305</v>
      </c>
      <c r="D616" s="23">
        <v>45383</v>
      </c>
      <c r="E616" s="5">
        <v>15320000</v>
      </c>
      <c r="F616" s="5" t="s">
        <v>328</v>
      </c>
    </row>
    <row r="617" spans="1:6">
      <c r="A617" s="4">
        <f t="shared" si="9"/>
        <v>616</v>
      </c>
      <c r="B617" s="4" t="s">
        <v>322</v>
      </c>
      <c r="C617" s="5" t="s">
        <v>299</v>
      </c>
      <c r="D617" s="23">
        <v>45383</v>
      </c>
      <c r="E617" s="24">
        <v>5000</v>
      </c>
      <c r="F617" s="5" t="s">
        <v>321</v>
      </c>
    </row>
    <row r="618" spans="1:6">
      <c r="A618" s="4">
        <f t="shared" si="9"/>
        <v>617</v>
      </c>
      <c r="B618" s="4" t="s">
        <v>329</v>
      </c>
      <c r="C618" s="5" t="s">
        <v>296</v>
      </c>
      <c r="D618" s="26">
        <v>45352</v>
      </c>
      <c r="E618" s="24">
        <v>2480</v>
      </c>
      <c r="F618" s="5" t="s">
        <v>321</v>
      </c>
    </row>
    <row r="619" spans="1:6">
      <c r="A619" s="4">
        <f t="shared" si="9"/>
        <v>618</v>
      </c>
      <c r="B619" s="4" t="s">
        <v>323</v>
      </c>
      <c r="C619" s="5" t="s">
        <v>304</v>
      </c>
      <c r="D619" s="23">
        <v>45352</v>
      </c>
      <c r="E619" s="24">
        <v>2652.3</v>
      </c>
      <c r="F619" s="5" t="s">
        <v>321</v>
      </c>
    </row>
    <row r="620" spans="1:6">
      <c r="A620" s="4">
        <f t="shared" si="9"/>
        <v>619</v>
      </c>
      <c r="B620" s="4" t="s">
        <v>323</v>
      </c>
      <c r="C620" s="5" t="s">
        <v>299</v>
      </c>
      <c r="D620" s="23">
        <v>45352</v>
      </c>
      <c r="E620" s="24">
        <v>89888.08</v>
      </c>
      <c r="F620" s="5" t="s">
        <v>321</v>
      </c>
    </row>
    <row r="621" spans="1:6">
      <c r="A621" s="4">
        <f t="shared" si="9"/>
        <v>620</v>
      </c>
      <c r="B621" s="4" t="s">
        <v>323</v>
      </c>
      <c r="C621" s="5" t="s">
        <v>298</v>
      </c>
      <c r="D621" s="23">
        <v>45352</v>
      </c>
      <c r="E621" s="24">
        <v>2546.46</v>
      </c>
      <c r="F621" s="5" t="s">
        <v>321</v>
      </c>
    </row>
    <row r="622" spans="1:6">
      <c r="A622" s="4">
        <f t="shared" si="9"/>
        <v>621</v>
      </c>
      <c r="B622" s="4" t="s">
        <v>323</v>
      </c>
      <c r="C622" s="5" t="s">
        <v>295</v>
      </c>
      <c r="D622" s="23">
        <v>45352</v>
      </c>
      <c r="E622" s="24">
        <v>6862.07</v>
      </c>
      <c r="F622" s="5" t="s">
        <v>321</v>
      </c>
    </row>
    <row r="623" spans="1:6">
      <c r="A623" s="4">
        <f t="shared" si="9"/>
        <v>622</v>
      </c>
      <c r="B623" s="4" t="s">
        <v>323</v>
      </c>
      <c r="C623" s="5" t="s">
        <v>308</v>
      </c>
      <c r="D623" s="23">
        <v>45352</v>
      </c>
      <c r="E623" s="24">
        <v>466.4</v>
      </c>
      <c r="F623" s="5" t="s">
        <v>321</v>
      </c>
    </row>
    <row r="624" spans="1:6">
      <c r="A624" s="4">
        <f t="shared" si="9"/>
        <v>623</v>
      </c>
      <c r="B624" s="4" t="s">
        <v>323</v>
      </c>
      <c r="C624" s="5" t="s">
        <v>300</v>
      </c>
      <c r="D624" s="23">
        <v>45352</v>
      </c>
      <c r="E624" s="24">
        <v>40800.259999999995</v>
      </c>
      <c r="F624" s="5" t="s">
        <v>321</v>
      </c>
    </row>
    <row r="625" spans="1:6">
      <c r="A625" s="4">
        <f t="shared" si="9"/>
        <v>624</v>
      </c>
      <c r="B625" s="4" t="s">
        <v>323</v>
      </c>
      <c r="C625" s="5" t="s">
        <v>307</v>
      </c>
      <c r="D625" s="23">
        <v>45352</v>
      </c>
      <c r="E625" s="24">
        <v>62064</v>
      </c>
      <c r="F625" s="5" t="s">
        <v>321</v>
      </c>
    </row>
    <row r="626" spans="1:6">
      <c r="A626" s="4">
        <f t="shared" si="9"/>
        <v>625</v>
      </c>
      <c r="B626" s="4" t="s">
        <v>323</v>
      </c>
      <c r="C626" s="5" t="s">
        <v>310</v>
      </c>
      <c r="D626" s="23">
        <v>45352</v>
      </c>
      <c r="E626" s="24">
        <v>1221</v>
      </c>
      <c r="F626" s="5" t="s">
        <v>321</v>
      </c>
    </row>
    <row r="627" spans="1:6">
      <c r="A627" s="4">
        <f t="shared" si="9"/>
        <v>626</v>
      </c>
      <c r="B627" s="4" t="s">
        <v>323</v>
      </c>
      <c r="C627" s="5" t="s">
        <v>312</v>
      </c>
      <c r="D627" s="23">
        <v>45352</v>
      </c>
      <c r="E627" s="24">
        <v>22632</v>
      </c>
      <c r="F627" s="5" t="s">
        <v>321</v>
      </c>
    </row>
    <row r="628" spans="1:6">
      <c r="A628" s="4">
        <f t="shared" si="9"/>
        <v>627</v>
      </c>
      <c r="B628" s="4" t="s">
        <v>324</v>
      </c>
      <c r="C628" s="5" t="s">
        <v>304</v>
      </c>
      <c r="D628" s="23">
        <v>45352</v>
      </c>
      <c r="E628" s="24">
        <v>11343</v>
      </c>
      <c r="F628" s="5" t="s">
        <v>321</v>
      </c>
    </row>
    <row r="629" spans="1:6">
      <c r="A629" s="4">
        <f t="shared" si="9"/>
        <v>628</v>
      </c>
      <c r="B629" s="4" t="s">
        <v>324</v>
      </c>
      <c r="C629" s="5" t="s">
        <v>299</v>
      </c>
      <c r="D629" s="23">
        <v>45352</v>
      </c>
      <c r="E629" s="24">
        <v>6573.5</v>
      </c>
      <c r="F629" s="5" t="s">
        <v>321</v>
      </c>
    </row>
    <row r="630" spans="1:6">
      <c r="A630" s="4">
        <f t="shared" si="9"/>
        <v>629</v>
      </c>
      <c r="B630" s="4" t="s">
        <v>324</v>
      </c>
      <c r="C630" s="5" t="s">
        <v>298</v>
      </c>
      <c r="D630" s="23">
        <v>45352</v>
      </c>
      <c r="E630" s="24">
        <v>8731</v>
      </c>
      <c r="F630" s="5" t="s">
        <v>321</v>
      </c>
    </row>
    <row r="631" spans="1:6">
      <c r="A631" s="4">
        <f t="shared" si="9"/>
        <v>630</v>
      </c>
      <c r="B631" s="4" t="s">
        <v>324</v>
      </c>
      <c r="C631" s="5" t="s">
        <v>295</v>
      </c>
      <c r="D631" s="23">
        <v>45352</v>
      </c>
      <c r="E631" s="24">
        <v>11583</v>
      </c>
      <c r="F631" s="5" t="s">
        <v>321</v>
      </c>
    </row>
    <row r="632" spans="1:6">
      <c r="A632" s="4">
        <f t="shared" si="9"/>
        <v>631</v>
      </c>
      <c r="B632" s="4" t="s">
        <v>324</v>
      </c>
      <c r="C632" s="5" t="s">
        <v>296</v>
      </c>
      <c r="D632" s="23">
        <v>45352</v>
      </c>
      <c r="E632" s="24">
        <v>3067.6400000000003</v>
      </c>
      <c r="F632" s="5" t="s">
        <v>321</v>
      </c>
    </row>
    <row r="633" spans="1:6">
      <c r="A633" s="4">
        <f t="shared" si="9"/>
        <v>632</v>
      </c>
      <c r="B633" s="4" t="s">
        <v>324</v>
      </c>
      <c r="C633" s="5" t="s">
        <v>308</v>
      </c>
      <c r="D633" s="23">
        <v>45352</v>
      </c>
      <c r="E633" s="24">
        <v>30384</v>
      </c>
      <c r="F633" s="5" t="s">
        <v>321</v>
      </c>
    </row>
    <row r="634" spans="1:6">
      <c r="A634" s="4">
        <f t="shared" si="9"/>
        <v>633</v>
      </c>
      <c r="B634" s="4" t="s">
        <v>324</v>
      </c>
      <c r="C634" s="5" t="s">
        <v>300</v>
      </c>
      <c r="D634" s="23">
        <v>45352</v>
      </c>
      <c r="E634" s="24">
        <v>72034.03</v>
      </c>
      <c r="F634" s="5" t="s">
        <v>321</v>
      </c>
    </row>
    <row r="635" spans="1:6">
      <c r="A635" s="4">
        <f t="shared" si="9"/>
        <v>634</v>
      </c>
      <c r="B635" s="4" t="s">
        <v>324</v>
      </c>
      <c r="C635" s="5" t="s">
        <v>307</v>
      </c>
      <c r="D635" s="23">
        <v>45352</v>
      </c>
      <c r="E635" s="24">
        <v>43216</v>
      </c>
      <c r="F635" s="5" t="s">
        <v>321</v>
      </c>
    </row>
    <row r="636" spans="1:6">
      <c r="A636" s="4">
        <f t="shared" si="9"/>
        <v>635</v>
      </c>
      <c r="B636" s="4" t="s">
        <v>324</v>
      </c>
      <c r="C636" s="5" t="s">
        <v>310</v>
      </c>
      <c r="D636" s="23">
        <v>45352</v>
      </c>
      <c r="E636" s="24">
        <v>15400</v>
      </c>
      <c r="F636" s="5" t="s">
        <v>321</v>
      </c>
    </row>
    <row r="637" spans="1:6">
      <c r="A637" s="4">
        <f t="shared" si="9"/>
        <v>636</v>
      </c>
      <c r="B637" s="4" t="s">
        <v>324</v>
      </c>
      <c r="C637" s="5" t="s">
        <v>312</v>
      </c>
      <c r="D637" s="23">
        <v>45352</v>
      </c>
      <c r="E637" s="24">
        <v>11426.4</v>
      </c>
      <c r="F637" s="5" t="s">
        <v>321</v>
      </c>
    </row>
    <row r="638" spans="1:6">
      <c r="A638" s="4">
        <f t="shared" si="9"/>
        <v>637</v>
      </c>
      <c r="B638" s="4" t="s">
        <v>324</v>
      </c>
      <c r="C638" s="5" t="s">
        <v>309</v>
      </c>
      <c r="D638" s="23">
        <v>45352</v>
      </c>
      <c r="E638" s="24">
        <v>10936.92</v>
      </c>
      <c r="F638" s="5" t="s">
        <v>321</v>
      </c>
    </row>
    <row r="639" spans="1:6">
      <c r="A639" s="4">
        <f t="shared" si="9"/>
        <v>638</v>
      </c>
      <c r="B639" s="4" t="s">
        <v>326</v>
      </c>
      <c r="C639" s="5" t="s">
        <v>302</v>
      </c>
      <c r="D639" s="23">
        <v>45352</v>
      </c>
      <c r="E639" s="24">
        <v>28515.8</v>
      </c>
      <c r="F639" s="5" t="s">
        <v>321</v>
      </c>
    </row>
    <row r="640" spans="1:6">
      <c r="A640" s="4">
        <f t="shared" si="9"/>
        <v>639</v>
      </c>
      <c r="B640" s="4" t="s">
        <v>327</v>
      </c>
      <c r="C640" s="5" t="s">
        <v>303</v>
      </c>
      <c r="D640" s="23">
        <v>45352</v>
      </c>
      <c r="E640" s="5">
        <v>34115302</v>
      </c>
      <c r="F640" s="5" t="s">
        <v>328</v>
      </c>
    </row>
    <row r="641" spans="1:6">
      <c r="A641" s="4">
        <f t="shared" si="9"/>
        <v>640</v>
      </c>
      <c r="B641" s="4" t="s">
        <v>327</v>
      </c>
      <c r="C641" s="5" t="s">
        <v>293</v>
      </c>
      <c r="D641" s="23">
        <v>45352</v>
      </c>
      <c r="E641" s="5">
        <v>31106795</v>
      </c>
      <c r="F641" s="5" t="s">
        <v>328</v>
      </c>
    </row>
    <row r="642" spans="1:6">
      <c r="A642" s="4">
        <f t="shared" si="9"/>
        <v>641</v>
      </c>
      <c r="B642" s="4" t="s">
        <v>327</v>
      </c>
      <c r="C642" s="5" t="s">
        <v>299</v>
      </c>
      <c r="D642" s="23">
        <v>45352</v>
      </c>
      <c r="E642" s="5">
        <v>516560</v>
      </c>
      <c r="F642" s="5" t="s">
        <v>328</v>
      </c>
    </row>
    <row r="643" spans="1:6">
      <c r="A643" s="4">
        <f t="shared" si="9"/>
        <v>642</v>
      </c>
      <c r="B643" s="4" t="s">
        <v>327</v>
      </c>
      <c r="C643" s="5" t="s">
        <v>305</v>
      </c>
      <c r="D643" s="23">
        <v>45352</v>
      </c>
      <c r="E643" s="5">
        <v>11030828</v>
      </c>
      <c r="F643" s="5" t="s">
        <v>328</v>
      </c>
    </row>
    <row r="644" spans="1:6">
      <c r="A644" s="4">
        <f t="shared" si="9"/>
        <v>643</v>
      </c>
      <c r="B644" s="4" t="s">
        <v>322</v>
      </c>
      <c r="C644" s="5" t="s">
        <v>299</v>
      </c>
      <c r="D644" s="23">
        <v>45352</v>
      </c>
      <c r="E644" s="24">
        <v>3800</v>
      </c>
      <c r="F644" s="5" t="s">
        <v>321</v>
      </c>
    </row>
    <row r="645" spans="1:6">
      <c r="A645" s="4">
        <f t="shared" si="9"/>
        <v>644</v>
      </c>
      <c r="B645" s="4" t="s">
        <v>329</v>
      </c>
      <c r="C645" s="5" t="s">
        <v>296</v>
      </c>
      <c r="D645" s="26">
        <v>45323</v>
      </c>
      <c r="E645" s="24">
        <v>2959</v>
      </c>
      <c r="F645" s="5" t="s">
        <v>321</v>
      </c>
    </row>
    <row r="646" spans="1:6">
      <c r="A646" s="4">
        <f t="shared" si="9"/>
        <v>645</v>
      </c>
      <c r="B646" s="4" t="s">
        <v>323</v>
      </c>
      <c r="C646" s="5" t="s">
        <v>304</v>
      </c>
      <c r="D646" s="23">
        <v>45323</v>
      </c>
      <c r="E646" s="24">
        <v>4101</v>
      </c>
      <c r="F646" s="5" t="s">
        <v>321</v>
      </c>
    </row>
    <row r="647" spans="1:6">
      <c r="A647" s="4">
        <f t="shared" si="9"/>
        <v>646</v>
      </c>
      <c r="B647" s="4" t="s">
        <v>323</v>
      </c>
      <c r="C647" s="5" t="s">
        <v>299</v>
      </c>
      <c r="D647" s="23">
        <v>45323</v>
      </c>
      <c r="E647" s="24">
        <v>208580.1</v>
      </c>
      <c r="F647" s="5" t="s">
        <v>321</v>
      </c>
    </row>
    <row r="648" spans="1:6">
      <c r="A648" s="4">
        <f t="shared" si="9"/>
        <v>647</v>
      </c>
      <c r="B648" s="4" t="s">
        <v>323</v>
      </c>
      <c r="C648" s="5" t="s">
        <v>298</v>
      </c>
      <c r="D648" s="23">
        <v>45323</v>
      </c>
      <c r="E648" s="24">
        <v>6650.4</v>
      </c>
      <c r="F648" s="5" t="s">
        <v>321</v>
      </c>
    </row>
    <row r="649" spans="1:6">
      <c r="A649" s="4">
        <f t="shared" si="9"/>
        <v>648</v>
      </c>
      <c r="B649" s="4" t="s">
        <v>323</v>
      </c>
      <c r="C649" s="5" t="s">
        <v>295</v>
      </c>
      <c r="D649" s="23">
        <v>45323</v>
      </c>
      <c r="E649" s="24">
        <v>9447.380000000001</v>
      </c>
      <c r="F649" s="5" t="s">
        <v>321</v>
      </c>
    </row>
    <row r="650" spans="1:6">
      <c r="A650" s="4">
        <f t="shared" si="9"/>
        <v>649</v>
      </c>
      <c r="B650" s="4" t="s">
        <v>323</v>
      </c>
      <c r="C650" s="5" t="s">
        <v>308</v>
      </c>
      <c r="D650" s="23">
        <v>45323</v>
      </c>
      <c r="E650" s="24">
        <v>3300.6</v>
      </c>
      <c r="F650" s="5" t="s">
        <v>321</v>
      </c>
    </row>
    <row r="651" spans="1:6">
      <c r="A651" s="4">
        <f t="shared" ref="A651:A714" si="10">ROW()-1</f>
        <v>650</v>
      </c>
      <c r="B651" s="4" t="s">
        <v>323</v>
      </c>
      <c r="C651" s="5" t="s">
        <v>300</v>
      </c>
      <c r="D651" s="23">
        <v>45323</v>
      </c>
      <c r="E651" s="24">
        <v>82757.700000000012</v>
      </c>
      <c r="F651" s="5" t="s">
        <v>321</v>
      </c>
    </row>
    <row r="652" spans="1:6">
      <c r="A652" s="4">
        <f t="shared" si="10"/>
        <v>651</v>
      </c>
      <c r="B652" s="4" t="s">
        <v>323</v>
      </c>
      <c r="C652" s="5" t="s">
        <v>307</v>
      </c>
      <c r="D652" s="23">
        <v>45323</v>
      </c>
      <c r="E652" s="24">
        <v>42224</v>
      </c>
      <c r="F652" s="5" t="s">
        <v>321</v>
      </c>
    </row>
    <row r="653" spans="1:6">
      <c r="A653" s="4">
        <f t="shared" si="10"/>
        <v>652</v>
      </c>
      <c r="B653" s="4" t="s">
        <v>323</v>
      </c>
      <c r="C653" s="5" t="s">
        <v>310</v>
      </c>
      <c r="D653" s="23">
        <v>45323</v>
      </c>
      <c r="E653" s="24">
        <v>6046.5999999999995</v>
      </c>
      <c r="F653" s="5" t="s">
        <v>321</v>
      </c>
    </row>
    <row r="654" spans="1:6">
      <c r="A654" s="4">
        <f t="shared" si="10"/>
        <v>653</v>
      </c>
      <c r="B654" s="4" t="s">
        <v>323</v>
      </c>
      <c r="C654" s="5" t="s">
        <v>311</v>
      </c>
      <c r="D654" s="23">
        <v>45323</v>
      </c>
      <c r="E654" s="24">
        <v>2550</v>
      </c>
      <c r="F654" s="5" t="s">
        <v>321</v>
      </c>
    </row>
    <row r="655" spans="1:6">
      <c r="A655" s="4">
        <f t="shared" si="10"/>
        <v>654</v>
      </c>
      <c r="B655" s="4" t="s">
        <v>323</v>
      </c>
      <c r="C655" s="5" t="s">
        <v>312</v>
      </c>
      <c r="D655" s="23">
        <v>45323</v>
      </c>
      <c r="E655" s="24">
        <v>60214</v>
      </c>
      <c r="F655" s="5" t="s">
        <v>321</v>
      </c>
    </row>
    <row r="656" spans="1:6">
      <c r="A656" s="4">
        <f t="shared" si="10"/>
        <v>655</v>
      </c>
      <c r="B656" s="4" t="s">
        <v>324</v>
      </c>
      <c r="C656" s="5" t="s">
        <v>304</v>
      </c>
      <c r="D656" s="23">
        <v>45323</v>
      </c>
      <c r="E656" s="24">
        <v>11872</v>
      </c>
      <c r="F656" s="5" t="s">
        <v>321</v>
      </c>
    </row>
    <row r="657" spans="1:6">
      <c r="A657" s="4">
        <f t="shared" si="10"/>
        <v>656</v>
      </c>
      <c r="B657" s="4" t="s">
        <v>324</v>
      </c>
      <c r="C657" s="5" t="s">
        <v>299</v>
      </c>
      <c r="D657" s="23">
        <v>45323</v>
      </c>
      <c r="E657" s="24">
        <v>6692.5</v>
      </c>
      <c r="F657" s="5" t="s">
        <v>321</v>
      </c>
    </row>
    <row r="658" spans="1:6">
      <c r="A658" s="4">
        <f t="shared" si="10"/>
        <v>657</v>
      </c>
      <c r="B658" s="4" t="s">
        <v>324</v>
      </c>
      <c r="C658" s="5" t="s">
        <v>298</v>
      </c>
      <c r="D658" s="23">
        <v>45323</v>
      </c>
      <c r="E658" s="24">
        <v>10630.18</v>
      </c>
      <c r="F658" s="5" t="s">
        <v>321</v>
      </c>
    </row>
    <row r="659" spans="1:6">
      <c r="A659" s="4">
        <f t="shared" si="10"/>
        <v>658</v>
      </c>
      <c r="B659" s="4" t="s">
        <v>324</v>
      </c>
      <c r="C659" s="5" t="s">
        <v>295</v>
      </c>
      <c r="D659" s="23">
        <v>45323</v>
      </c>
      <c r="E659" s="24">
        <v>17486.5</v>
      </c>
      <c r="F659" s="5" t="s">
        <v>321</v>
      </c>
    </row>
    <row r="660" spans="1:6">
      <c r="A660" s="4">
        <f t="shared" si="10"/>
        <v>659</v>
      </c>
      <c r="B660" s="4" t="s">
        <v>324</v>
      </c>
      <c r="C660" s="5" t="s">
        <v>296</v>
      </c>
      <c r="D660" s="23">
        <v>45323</v>
      </c>
      <c r="E660" s="24">
        <v>1727.4</v>
      </c>
      <c r="F660" s="5" t="s">
        <v>321</v>
      </c>
    </row>
    <row r="661" spans="1:6">
      <c r="A661" s="4">
        <f t="shared" si="10"/>
        <v>660</v>
      </c>
      <c r="B661" s="4" t="s">
        <v>324</v>
      </c>
      <c r="C661" s="5" t="s">
        <v>308</v>
      </c>
      <c r="D661" s="23">
        <v>45323</v>
      </c>
      <c r="E661" s="24">
        <v>25263.599999999999</v>
      </c>
      <c r="F661" s="5" t="s">
        <v>321</v>
      </c>
    </row>
    <row r="662" spans="1:6">
      <c r="A662" s="4">
        <f t="shared" si="10"/>
        <v>661</v>
      </c>
      <c r="B662" s="4" t="s">
        <v>324</v>
      </c>
      <c r="C662" s="5" t="s">
        <v>300</v>
      </c>
      <c r="D662" s="23">
        <v>45323</v>
      </c>
      <c r="E662" s="24">
        <v>101737.59</v>
      </c>
      <c r="F662" s="5" t="s">
        <v>321</v>
      </c>
    </row>
    <row r="663" spans="1:6">
      <c r="A663" s="4">
        <f t="shared" si="10"/>
        <v>662</v>
      </c>
      <c r="B663" s="4" t="s">
        <v>324</v>
      </c>
      <c r="C663" s="5" t="s">
        <v>307</v>
      </c>
      <c r="D663" s="23">
        <v>45323</v>
      </c>
      <c r="E663" s="24">
        <v>39676</v>
      </c>
      <c r="F663" s="5" t="s">
        <v>321</v>
      </c>
    </row>
    <row r="664" spans="1:6">
      <c r="A664" s="4">
        <f t="shared" si="10"/>
        <v>663</v>
      </c>
      <c r="B664" s="4" t="s">
        <v>324</v>
      </c>
      <c r="C664" s="5" t="s">
        <v>310</v>
      </c>
      <c r="D664" s="23">
        <v>45323</v>
      </c>
      <c r="E664" s="24">
        <v>14198.88</v>
      </c>
      <c r="F664" s="5" t="s">
        <v>321</v>
      </c>
    </row>
    <row r="665" spans="1:6">
      <c r="A665" s="4">
        <f t="shared" si="10"/>
        <v>664</v>
      </c>
      <c r="B665" s="4" t="s">
        <v>324</v>
      </c>
      <c r="C665" s="5" t="s">
        <v>312</v>
      </c>
      <c r="D665" s="23">
        <v>45323</v>
      </c>
      <c r="E665" s="24">
        <v>11426.4</v>
      </c>
      <c r="F665" s="5" t="s">
        <v>321</v>
      </c>
    </row>
    <row r="666" spans="1:6">
      <c r="A666" s="4">
        <f t="shared" si="10"/>
        <v>665</v>
      </c>
      <c r="B666" s="4" t="s">
        <v>324</v>
      </c>
      <c r="C666" s="5" t="s">
        <v>309</v>
      </c>
      <c r="D666" s="23">
        <v>45323</v>
      </c>
      <c r="E666" s="24">
        <v>33560.71</v>
      </c>
      <c r="F666" s="5" t="s">
        <v>321</v>
      </c>
    </row>
    <row r="667" spans="1:6">
      <c r="A667" s="4">
        <f t="shared" si="10"/>
        <v>666</v>
      </c>
      <c r="B667" s="4" t="s">
        <v>326</v>
      </c>
      <c r="C667" s="5" t="s">
        <v>302</v>
      </c>
      <c r="D667" s="23">
        <v>45323</v>
      </c>
      <c r="E667" s="24">
        <v>23813.200000000001</v>
      </c>
      <c r="F667" s="5" t="s">
        <v>321</v>
      </c>
    </row>
    <row r="668" spans="1:6">
      <c r="A668" s="4">
        <f t="shared" si="10"/>
        <v>667</v>
      </c>
      <c r="B668" s="4" t="s">
        <v>327</v>
      </c>
      <c r="C668" s="5" t="s">
        <v>303</v>
      </c>
      <c r="D668" s="23">
        <v>45323</v>
      </c>
      <c r="E668" s="5">
        <v>24121830</v>
      </c>
      <c r="F668" s="5" t="s">
        <v>328</v>
      </c>
    </row>
    <row r="669" spans="1:6">
      <c r="A669" s="4">
        <f t="shared" si="10"/>
        <v>668</v>
      </c>
      <c r="B669" s="4" t="s">
        <v>327</v>
      </c>
      <c r="C669" s="5" t="s">
        <v>293</v>
      </c>
      <c r="D669" s="23">
        <v>45323</v>
      </c>
      <c r="E669" s="5">
        <v>5139333</v>
      </c>
      <c r="F669" s="5" t="s">
        <v>328</v>
      </c>
    </row>
    <row r="670" spans="1:6">
      <c r="A670" s="4">
        <f t="shared" si="10"/>
        <v>669</v>
      </c>
      <c r="B670" s="4" t="s">
        <v>327</v>
      </c>
      <c r="C670" s="5" t="s">
        <v>299</v>
      </c>
      <c r="D670" s="23">
        <v>45323</v>
      </c>
      <c r="E670" s="5">
        <v>939120</v>
      </c>
      <c r="F670" s="5" t="s">
        <v>328</v>
      </c>
    </row>
    <row r="671" spans="1:6">
      <c r="A671" s="4">
        <f t="shared" si="10"/>
        <v>670</v>
      </c>
      <c r="B671" s="4" t="s">
        <v>327</v>
      </c>
      <c r="C671" s="5" t="s">
        <v>305</v>
      </c>
      <c r="D671" s="23">
        <v>45323</v>
      </c>
      <c r="E671" s="5">
        <v>9308790</v>
      </c>
      <c r="F671" s="5" t="s">
        <v>328</v>
      </c>
    </row>
    <row r="672" spans="1:6">
      <c r="A672" s="4">
        <f t="shared" si="10"/>
        <v>671</v>
      </c>
      <c r="B672" s="4" t="s">
        <v>322</v>
      </c>
      <c r="C672" s="5" t="s">
        <v>299</v>
      </c>
      <c r="D672" s="23">
        <v>45323</v>
      </c>
      <c r="E672" s="24">
        <v>1600</v>
      </c>
      <c r="F672" s="5" t="s">
        <v>321</v>
      </c>
    </row>
    <row r="673" spans="1:6">
      <c r="A673" s="4">
        <f t="shared" si="10"/>
        <v>672</v>
      </c>
      <c r="B673" s="4" t="s">
        <v>329</v>
      </c>
      <c r="C673" s="5" t="s">
        <v>296</v>
      </c>
      <c r="D673" s="26">
        <v>45292</v>
      </c>
      <c r="E673" s="24">
        <v>13439</v>
      </c>
      <c r="F673" s="5" t="s">
        <v>321</v>
      </c>
    </row>
    <row r="674" spans="1:6">
      <c r="A674" s="4">
        <f t="shared" si="10"/>
        <v>673</v>
      </c>
      <c r="B674" s="4" t="s">
        <v>323</v>
      </c>
      <c r="C674" s="5" t="s">
        <v>304</v>
      </c>
      <c r="D674" s="23">
        <v>45292</v>
      </c>
      <c r="E674" s="24">
        <v>6027.68</v>
      </c>
      <c r="F674" s="5" t="s">
        <v>321</v>
      </c>
    </row>
    <row r="675" spans="1:6">
      <c r="A675" s="4">
        <f t="shared" si="10"/>
        <v>674</v>
      </c>
      <c r="B675" s="4" t="s">
        <v>323</v>
      </c>
      <c r="C675" s="5" t="s">
        <v>299</v>
      </c>
      <c r="D675" s="23">
        <v>45292</v>
      </c>
      <c r="E675" s="24">
        <v>46354.35</v>
      </c>
      <c r="F675" s="5" t="s">
        <v>321</v>
      </c>
    </row>
    <row r="676" spans="1:6">
      <c r="A676" s="4">
        <f t="shared" si="10"/>
        <v>675</v>
      </c>
      <c r="B676" s="4" t="s">
        <v>323</v>
      </c>
      <c r="C676" s="5" t="s">
        <v>295</v>
      </c>
      <c r="D676" s="23">
        <v>45292</v>
      </c>
      <c r="E676" s="24">
        <v>8195.2799999999988</v>
      </c>
      <c r="F676" s="5" t="s">
        <v>321</v>
      </c>
    </row>
    <row r="677" spans="1:6">
      <c r="A677" s="4">
        <f t="shared" si="10"/>
        <v>676</v>
      </c>
      <c r="B677" s="4" t="s">
        <v>323</v>
      </c>
      <c r="C677" s="5" t="s">
        <v>308</v>
      </c>
      <c r="D677" s="23">
        <v>45292</v>
      </c>
      <c r="E677" s="24">
        <v>9279.4</v>
      </c>
      <c r="F677" s="5" t="s">
        <v>321</v>
      </c>
    </row>
    <row r="678" spans="1:6">
      <c r="A678" s="4">
        <f t="shared" si="10"/>
        <v>677</v>
      </c>
      <c r="B678" s="4" t="s">
        <v>323</v>
      </c>
      <c r="C678" s="5" t="s">
        <v>300</v>
      </c>
      <c r="D678" s="23">
        <v>45292</v>
      </c>
      <c r="E678" s="24">
        <v>53344.490000000005</v>
      </c>
      <c r="F678" s="5" t="s">
        <v>321</v>
      </c>
    </row>
    <row r="679" spans="1:6">
      <c r="A679" s="4">
        <f t="shared" si="10"/>
        <v>678</v>
      </c>
      <c r="B679" s="4" t="s">
        <v>323</v>
      </c>
      <c r="C679" s="5" t="s">
        <v>307</v>
      </c>
      <c r="D679" s="23">
        <v>45292</v>
      </c>
      <c r="E679" s="24">
        <v>30532</v>
      </c>
      <c r="F679" s="5" t="s">
        <v>321</v>
      </c>
    </row>
    <row r="680" spans="1:6">
      <c r="A680" s="4">
        <f t="shared" si="10"/>
        <v>679</v>
      </c>
      <c r="B680" s="4" t="s">
        <v>323</v>
      </c>
      <c r="C680" s="5" t="s">
        <v>310</v>
      </c>
      <c r="D680" s="23">
        <v>45292</v>
      </c>
      <c r="E680" s="24">
        <v>15175.240000000002</v>
      </c>
      <c r="F680" s="5" t="s">
        <v>321</v>
      </c>
    </row>
    <row r="681" spans="1:6">
      <c r="A681" s="4">
        <f t="shared" si="10"/>
        <v>680</v>
      </c>
      <c r="B681" s="4" t="s">
        <v>323</v>
      </c>
      <c r="C681" s="5" t="s">
        <v>311</v>
      </c>
      <c r="D681" s="23">
        <v>45292</v>
      </c>
      <c r="E681" s="24">
        <v>4248</v>
      </c>
      <c r="F681" s="5" t="s">
        <v>321</v>
      </c>
    </row>
    <row r="682" spans="1:6">
      <c r="A682" s="4">
        <f t="shared" si="10"/>
        <v>681</v>
      </c>
      <c r="B682" s="4" t="s">
        <v>323</v>
      </c>
      <c r="C682" s="5" t="s">
        <v>312</v>
      </c>
      <c r="D682" s="23">
        <v>45292</v>
      </c>
      <c r="E682" s="24">
        <v>37191</v>
      </c>
      <c r="F682" s="5" t="s">
        <v>321</v>
      </c>
    </row>
    <row r="683" spans="1:6">
      <c r="A683" s="4">
        <f t="shared" si="10"/>
        <v>682</v>
      </c>
      <c r="B683" s="4" t="s">
        <v>324</v>
      </c>
      <c r="C683" s="5" t="s">
        <v>304</v>
      </c>
      <c r="D683" s="23">
        <v>45292</v>
      </c>
      <c r="E683" s="24">
        <v>6916.94</v>
      </c>
      <c r="F683" s="5" t="s">
        <v>321</v>
      </c>
    </row>
    <row r="684" spans="1:6">
      <c r="A684" s="4">
        <f t="shared" si="10"/>
        <v>683</v>
      </c>
      <c r="B684" s="4" t="s">
        <v>324</v>
      </c>
      <c r="C684" s="5" t="s">
        <v>299</v>
      </c>
      <c r="D684" s="23">
        <v>45292</v>
      </c>
      <c r="E684" s="24">
        <v>3485</v>
      </c>
      <c r="F684" s="5" t="s">
        <v>321</v>
      </c>
    </row>
    <row r="685" spans="1:6">
      <c r="A685" s="4">
        <f t="shared" si="10"/>
        <v>684</v>
      </c>
      <c r="B685" s="4" t="s">
        <v>324</v>
      </c>
      <c r="C685" s="5" t="s">
        <v>298</v>
      </c>
      <c r="D685" s="23">
        <v>45292</v>
      </c>
      <c r="E685" s="24">
        <v>3657</v>
      </c>
      <c r="F685" s="5" t="s">
        <v>321</v>
      </c>
    </row>
    <row r="686" spans="1:6">
      <c r="A686" s="4">
        <f t="shared" si="10"/>
        <v>685</v>
      </c>
      <c r="B686" s="4" t="s">
        <v>324</v>
      </c>
      <c r="C686" s="5" t="s">
        <v>295</v>
      </c>
      <c r="D686" s="23">
        <v>45292</v>
      </c>
      <c r="E686" s="24">
        <v>11699.5</v>
      </c>
      <c r="F686" s="5" t="s">
        <v>321</v>
      </c>
    </row>
    <row r="687" spans="1:6">
      <c r="A687" s="4">
        <f t="shared" si="10"/>
        <v>686</v>
      </c>
      <c r="B687" s="4" t="s">
        <v>324</v>
      </c>
      <c r="C687" s="5" t="s">
        <v>296</v>
      </c>
      <c r="D687" s="23">
        <v>45292</v>
      </c>
      <c r="E687" s="24">
        <v>2669.6</v>
      </c>
      <c r="F687" s="5" t="s">
        <v>321</v>
      </c>
    </row>
    <row r="688" spans="1:6">
      <c r="A688" s="4">
        <f t="shared" si="10"/>
        <v>687</v>
      </c>
      <c r="B688" s="4" t="s">
        <v>324</v>
      </c>
      <c r="C688" s="5" t="s">
        <v>308</v>
      </c>
      <c r="D688" s="23">
        <v>45292</v>
      </c>
      <c r="E688" s="24">
        <v>30459</v>
      </c>
      <c r="F688" s="5" t="s">
        <v>321</v>
      </c>
    </row>
    <row r="689" spans="1:6">
      <c r="A689" s="4">
        <f t="shared" si="10"/>
        <v>688</v>
      </c>
      <c r="B689" s="4" t="s">
        <v>324</v>
      </c>
      <c r="C689" s="5" t="s">
        <v>300</v>
      </c>
      <c r="D689" s="23">
        <v>45292</v>
      </c>
      <c r="E689" s="24">
        <v>94788.94</v>
      </c>
      <c r="F689" s="5" t="s">
        <v>321</v>
      </c>
    </row>
    <row r="690" spans="1:6">
      <c r="A690" s="4">
        <f t="shared" si="10"/>
        <v>689</v>
      </c>
      <c r="B690" s="4" t="s">
        <v>324</v>
      </c>
      <c r="C690" s="5" t="s">
        <v>307</v>
      </c>
      <c r="D690" s="23">
        <v>45292</v>
      </c>
      <c r="E690" s="24">
        <v>54912</v>
      </c>
      <c r="F690" s="5" t="s">
        <v>321</v>
      </c>
    </row>
    <row r="691" spans="1:6">
      <c r="A691" s="4">
        <f t="shared" si="10"/>
        <v>690</v>
      </c>
      <c r="B691" s="4" t="s">
        <v>324</v>
      </c>
      <c r="C691" s="5" t="s">
        <v>310</v>
      </c>
      <c r="D691" s="23">
        <v>45292</v>
      </c>
      <c r="E691" s="24">
        <v>4543.8500000000004</v>
      </c>
      <c r="F691" s="5" t="s">
        <v>321</v>
      </c>
    </row>
    <row r="692" spans="1:6">
      <c r="A692" s="4">
        <f t="shared" si="10"/>
        <v>691</v>
      </c>
      <c r="B692" s="4" t="s">
        <v>324</v>
      </c>
      <c r="C692" s="5" t="s">
        <v>312</v>
      </c>
      <c r="D692" s="23">
        <v>45292</v>
      </c>
      <c r="E692" s="24">
        <v>13662</v>
      </c>
      <c r="F692" s="5" t="s">
        <v>321</v>
      </c>
    </row>
    <row r="693" spans="1:6">
      <c r="A693" s="4">
        <f t="shared" si="10"/>
        <v>692</v>
      </c>
      <c r="B693" s="4" t="s">
        <v>324</v>
      </c>
      <c r="C693" s="5" t="s">
        <v>309</v>
      </c>
      <c r="D693" s="23">
        <v>45292</v>
      </c>
      <c r="E693" s="24">
        <v>41272.97</v>
      </c>
      <c r="F693" s="5" t="s">
        <v>321</v>
      </c>
    </row>
    <row r="694" spans="1:6">
      <c r="A694" s="4">
        <f t="shared" si="10"/>
        <v>693</v>
      </c>
      <c r="B694" s="4" t="s">
        <v>326</v>
      </c>
      <c r="C694" s="5" t="s">
        <v>302</v>
      </c>
      <c r="D694" s="23">
        <v>45292</v>
      </c>
      <c r="E694" s="24">
        <v>32845.199999999997</v>
      </c>
      <c r="F694" s="5" t="s">
        <v>321</v>
      </c>
    </row>
    <row r="695" spans="1:6">
      <c r="A695" s="4">
        <f t="shared" si="10"/>
        <v>694</v>
      </c>
      <c r="B695" s="4" t="s">
        <v>327</v>
      </c>
      <c r="C695" s="5" t="s">
        <v>303</v>
      </c>
      <c r="D695" s="23">
        <v>45292</v>
      </c>
      <c r="E695" s="5">
        <v>23024242</v>
      </c>
      <c r="F695" s="5" t="s">
        <v>328</v>
      </c>
    </row>
    <row r="696" spans="1:6">
      <c r="A696" s="4">
        <f t="shared" si="10"/>
        <v>695</v>
      </c>
      <c r="B696" s="4" t="s">
        <v>327</v>
      </c>
      <c r="C696" s="5" t="s">
        <v>293</v>
      </c>
      <c r="D696" s="23">
        <v>45292</v>
      </c>
      <c r="E696" s="5">
        <v>5139333</v>
      </c>
      <c r="F696" s="5" t="s">
        <v>328</v>
      </c>
    </row>
    <row r="697" spans="1:6">
      <c r="A697" s="4">
        <f t="shared" si="10"/>
        <v>696</v>
      </c>
      <c r="B697" s="4" t="s">
        <v>327</v>
      </c>
      <c r="C697" s="5" t="s">
        <v>299</v>
      </c>
      <c r="D697" s="23">
        <v>45292</v>
      </c>
      <c r="E697" s="5">
        <v>939120</v>
      </c>
      <c r="F697" s="5" t="s">
        <v>328</v>
      </c>
    </row>
    <row r="698" spans="1:6">
      <c r="A698" s="4">
        <f t="shared" si="10"/>
        <v>697</v>
      </c>
      <c r="B698" s="4" t="s">
        <v>327</v>
      </c>
      <c r="C698" s="5" t="s">
        <v>305</v>
      </c>
      <c r="D698" s="23">
        <v>45292</v>
      </c>
      <c r="E698" s="5">
        <v>3878662</v>
      </c>
      <c r="F698" s="5" t="s">
        <v>328</v>
      </c>
    </row>
    <row r="699" spans="1:6">
      <c r="A699" s="4">
        <f t="shared" si="10"/>
        <v>698</v>
      </c>
      <c r="B699" s="4" t="s">
        <v>322</v>
      </c>
      <c r="C699" s="5" t="s">
        <v>299</v>
      </c>
      <c r="D699" s="23">
        <v>45292</v>
      </c>
      <c r="E699" s="24">
        <v>1400</v>
      </c>
      <c r="F699" s="5" t="s">
        <v>321</v>
      </c>
    </row>
    <row r="700" spans="1:6">
      <c r="A700" s="4">
        <f t="shared" si="10"/>
        <v>699</v>
      </c>
      <c r="B700" s="4" t="s">
        <v>329</v>
      </c>
      <c r="C700" s="5" t="s">
        <v>296</v>
      </c>
      <c r="D700" s="26">
        <v>45261</v>
      </c>
      <c r="E700" s="24">
        <v>10254</v>
      </c>
      <c r="F700" s="5" t="s">
        <v>321</v>
      </c>
    </row>
    <row r="701" spans="1:6">
      <c r="A701" s="4">
        <f t="shared" si="10"/>
        <v>700</v>
      </c>
      <c r="B701" s="4" t="s">
        <v>323</v>
      </c>
      <c r="C701" s="5" t="s">
        <v>304</v>
      </c>
      <c r="D701" s="23">
        <v>45261</v>
      </c>
      <c r="E701" s="24">
        <v>17789.830000000002</v>
      </c>
      <c r="F701" s="5" t="s">
        <v>321</v>
      </c>
    </row>
    <row r="702" spans="1:6">
      <c r="A702" s="4">
        <f t="shared" si="10"/>
        <v>701</v>
      </c>
      <c r="B702" s="4" t="s">
        <v>323</v>
      </c>
      <c r="C702" s="5" t="s">
        <v>299</v>
      </c>
      <c r="D702" s="23">
        <v>45261</v>
      </c>
      <c r="E702" s="24">
        <v>198655.5</v>
      </c>
      <c r="F702" s="5" t="s">
        <v>321</v>
      </c>
    </row>
    <row r="703" spans="1:6">
      <c r="A703" s="4">
        <f t="shared" si="10"/>
        <v>702</v>
      </c>
      <c r="B703" s="4" t="s">
        <v>323</v>
      </c>
      <c r="C703" s="5" t="s">
        <v>298</v>
      </c>
      <c r="D703" s="23">
        <v>45261</v>
      </c>
      <c r="E703" s="24">
        <v>3840</v>
      </c>
      <c r="F703" s="5" t="s">
        <v>321</v>
      </c>
    </row>
    <row r="704" spans="1:6">
      <c r="A704" s="4">
        <f t="shared" si="10"/>
        <v>703</v>
      </c>
      <c r="B704" s="4" t="s">
        <v>323</v>
      </c>
      <c r="C704" s="5" t="s">
        <v>295</v>
      </c>
      <c r="D704" s="23">
        <v>45261</v>
      </c>
      <c r="E704" s="24">
        <v>1560</v>
      </c>
      <c r="F704" s="5" t="s">
        <v>321</v>
      </c>
    </row>
    <row r="705" spans="1:6">
      <c r="A705" s="4">
        <f t="shared" si="10"/>
        <v>704</v>
      </c>
      <c r="B705" s="4" t="s">
        <v>323</v>
      </c>
      <c r="C705" s="5" t="s">
        <v>308</v>
      </c>
      <c r="D705" s="23">
        <v>45261</v>
      </c>
      <c r="E705" s="24">
        <v>11767.98</v>
      </c>
      <c r="F705" s="5" t="s">
        <v>321</v>
      </c>
    </row>
    <row r="706" spans="1:6">
      <c r="A706" s="4">
        <f t="shared" si="10"/>
        <v>705</v>
      </c>
      <c r="B706" s="4" t="s">
        <v>323</v>
      </c>
      <c r="C706" s="5" t="s">
        <v>300</v>
      </c>
      <c r="D706" s="23">
        <v>45261</v>
      </c>
      <c r="E706" s="24">
        <v>64454.890000000014</v>
      </c>
      <c r="F706" s="5" t="s">
        <v>321</v>
      </c>
    </row>
    <row r="707" spans="1:6">
      <c r="A707" s="4">
        <f t="shared" si="10"/>
        <v>706</v>
      </c>
      <c r="B707" s="4" t="s">
        <v>323</v>
      </c>
      <c r="C707" s="5" t="s">
        <v>307</v>
      </c>
      <c r="D707" s="23">
        <v>45261</v>
      </c>
      <c r="E707" s="24">
        <v>65648</v>
      </c>
      <c r="F707" s="5" t="s">
        <v>321</v>
      </c>
    </row>
    <row r="708" spans="1:6">
      <c r="A708" s="4">
        <f t="shared" si="10"/>
        <v>707</v>
      </c>
      <c r="B708" s="4" t="s">
        <v>323</v>
      </c>
      <c r="C708" s="5" t="s">
        <v>310</v>
      </c>
      <c r="D708" s="23">
        <v>45261</v>
      </c>
      <c r="E708" s="24">
        <v>4597</v>
      </c>
      <c r="F708" s="5" t="s">
        <v>321</v>
      </c>
    </row>
    <row r="709" spans="1:6">
      <c r="A709" s="4">
        <f t="shared" si="10"/>
        <v>708</v>
      </c>
      <c r="B709" s="4" t="s">
        <v>323</v>
      </c>
      <c r="C709" s="5" t="s">
        <v>311</v>
      </c>
      <c r="D709" s="23">
        <v>45261</v>
      </c>
      <c r="E709" s="24">
        <v>5802</v>
      </c>
      <c r="F709" s="5" t="s">
        <v>321</v>
      </c>
    </row>
    <row r="710" spans="1:6">
      <c r="A710" s="4">
        <f t="shared" si="10"/>
        <v>709</v>
      </c>
      <c r="B710" s="4" t="s">
        <v>323</v>
      </c>
      <c r="C710" s="5" t="s">
        <v>312</v>
      </c>
      <c r="D710" s="23">
        <v>45261</v>
      </c>
      <c r="E710" s="24">
        <v>53383</v>
      </c>
      <c r="F710" s="5" t="s">
        <v>321</v>
      </c>
    </row>
    <row r="711" spans="1:6">
      <c r="A711" s="4">
        <f t="shared" si="10"/>
        <v>710</v>
      </c>
      <c r="B711" s="4" t="s">
        <v>324</v>
      </c>
      <c r="C711" s="5" t="s">
        <v>304</v>
      </c>
      <c r="D711" s="23">
        <v>45261</v>
      </c>
      <c r="E711" s="24">
        <v>11640.6</v>
      </c>
      <c r="F711" s="5" t="s">
        <v>321</v>
      </c>
    </row>
    <row r="712" spans="1:6">
      <c r="A712" s="4">
        <f t="shared" si="10"/>
        <v>711</v>
      </c>
      <c r="B712" s="4" t="s">
        <v>324</v>
      </c>
      <c r="C712" s="5" t="s">
        <v>299</v>
      </c>
      <c r="D712" s="23">
        <v>45261</v>
      </c>
      <c r="E712" s="24">
        <v>12135.5</v>
      </c>
      <c r="F712" s="5" t="s">
        <v>321</v>
      </c>
    </row>
    <row r="713" spans="1:6">
      <c r="A713" s="4">
        <f t="shared" si="10"/>
        <v>712</v>
      </c>
      <c r="B713" s="4" t="s">
        <v>324</v>
      </c>
      <c r="C713" s="5" t="s">
        <v>298</v>
      </c>
      <c r="D713" s="23">
        <v>45261</v>
      </c>
      <c r="E713" s="24">
        <v>1219</v>
      </c>
      <c r="F713" s="5" t="s">
        <v>321</v>
      </c>
    </row>
    <row r="714" spans="1:6">
      <c r="A714" s="4">
        <f t="shared" si="10"/>
        <v>713</v>
      </c>
      <c r="B714" s="4" t="s">
        <v>324</v>
      </c>
      <c r="C714" s="5" t="s">
        <v>295</v>
      </c>
      <c r="D714" s="23">
        <v>45261</v>
      </c>
      <c r="E714" s="24">
        <v>14189</v>
      </c>
      <c r="F714" s="5" t="s">
        <v>321</v>
      </c>
    </row>
    <row r="715" spans="1:6">
      <c r="A715" s="4">
        <f t="shared" ref="A715:A778" si="11">ROW()-1</f>
        <v>714</v>
      </c>
      <c r="B715" s="4" t="s">
        <v>324</v>
      </c>
      <c r="C715" s="5" t="s">
        <v>296</v>
      </c>
      <c r="D715" s="23">
        <v>45261</v>
      </c>
      <c r="E715" s="24">
        <v>13269.75</v>
      </c>
      <c r="F715" s="5" t="s">
        <v>321</v>
      </c>
    </row>
    <row r="716" spans="1:6">
      <c r="A716" s="4">
        <f t="shared" si="11"/>
        <v>715</v>
      </c>
      <c r="B716" s="4" t="s">
        <v>324</v>
      </c>
      <c r="C716" s="5" t="s">
        <v>308</v>
      </c>
      <c r="D716" s="23">
        <v>45261</v>
      </c>
      <c r="E716" s="24">
        <v>42002.14</v>
      </c>
      <c r="F716" s="5" t="s">
        <v>321</v>
      </c>
    </row>
    <row r="717" spans="1:6">
      <c r="A717" s="4">
        <f t="shared" si="11"/>
        <v>716</v>
      </c>
      <c r="B717" s="4" t="s">
        <v>324</v>
      </c>
      <c r="C717" s="5" t="s">
        <v>300</v>
      </c>
      <c r="D717" s="23">
        <v>45261</v>
      </c>
      <c r="E717" s="24">
        <v>101915.91</v>
      </c>
      <c r="F717" s="5" t="s">
        <v>321</v>
      </c>
    </row>
    <row r="718" spans="1:6">
      <c r="A718" s="4">
        <f t="shared" si="11"/>
        <v>717</v>
      </c>
      <c r="B718" s="4" t="s">
        <v>324</v>
      </c>
      <c r="C718" s="5" t="s">
        <v>307</v>
      </c>
      <c r="D718" s="23">
        <v>45261</v>
      </c>
      <c r="E718" s="24">
        <v>31648</v>
      </c>
      <c r="F718" s="5" t="s">
        <v>321</v>
      </c>
    </row>
    <row r="719" spans="1:6">
      <c r="A719" s="4">
        <f t="shared" si="11"/>
        <v>718</v>
      </c>
      <c r="B719" s="4" t="s">
        <v>324</v>
      </c>
      <c r="C719" s="5" t="s">
        <v>310</v>
      </c>
      <c r="D719" s="23">
        <v>45261</v>
      </c>
      <c r="E719" s="24">
        <v>1372.57</v>
      </c>
      <c r="F719" s="5" t="s">
        <v>321</v>
      </c>
    </row>
    <row r="720" spans="1:6">
      <c r="A720" s="4">
        <f t="shared" si="11"/>
        <v>719</v>
      </c>
      <c r="B720" s="4" t="s">
        <v>324</v>
      </c>
      <c r="C720" s="5" t="s">
        <v>311</v>
      </c>
      <c r="D720" s="23">
        <v>45261</v>
      </c>
      <c r="E720" s="24">
        <v>1695.4</v>
      </c>
      <c r="F720" s="5" t="s">
        <v>321</v>
      </c>
    </row>
    <row r="721" spans="1:6">
      <c r="A721" s="4">
        <f t="shared" si="11"/>
        <v>720</v>
      </c>
      <c r="B721" s="4" t="s">
        <v>324</v>
      </c>
      <c r="C721" s="5" t="s">
        <v>312</v>
      </c>
      <c r="D721" s="23">
        <v>45261</v>
      </c>
      <c r="E721" s="24">
        <v>736</v>
      </c>
      <c r="F721" s="5" t="s">
        <v>321</v>
      </c>
    </row>
    <row r="722" spans="1:6">
      <c r="A722" s="4">
        <f t="shared" si="11"/>
        <v>721</v>
      </c>
      <c r="B722" s="4" t="s">
        <v>324</v>
      </c>
      <c r="C722" s="5" t="s">
        <v>309</v>
      </c>
      <c r="D722" s="23">
        <v>45261</v>
      </c>
      <c r="E722" s="24">
        <v>23979.78</v>
      </c>
      <c r="F722" s="5" t="s">
        <v>321</v>
      </c>
    </row>
    <row r="723" spans="1:6">
      <c r="A723" s="4">
        <f t="shared" si="11"/>
        <v>722</v>
      </c>
      <c r="B723" s="4" t="s">
        <v>326</v>
      </c>
      <c r="C723" s="5" t="s">
        <v>302</v>
      </c>
      <c r="D723" s="23">
        <v>45261</v>
      </c>
      <c r="E723" s="24">
        <v>42441.4</v>
      </c>
      <c r="F723" s="5" t="s">
        <v>321</v>
      </c>
    </row>
    <row r="724" spans="1:6">
      <c r="A724" s="4">
        <f t="shared" si="11"/>
        <v>723</v>
      </c>
      <c r="B724" s="4" t="s">
        <v>327</v>
      </c>
      <c r="C724" s="5" t="s">
        <v>303</v>
      </c>
      <c r="D724" s="23">
        <v>45261</v>
      </c>
      <c r="E724" s="5">
        <v>45829153</v>
      </c>
      <c r="F724" s="5" t="s">
        <v>328</v>
      </c>
    </row>
    <row r="725" spans="1:6">
      <c r="A725" s="4">
        <f t="shared" si="11"/>
        <v>724</v>
      </c>
      <c r="B725" s="4" t="s">
        <v>327</v>
      </c>
      <c r="C725" s="5" t="s">
        <v>293</v>
      </c>
      <c r="D725" s="23">
        <v>45261</v>
      </c>
      <c r="E725" s="5">
        <v>16604405</v>
      </c>
      <c r="F725" s="5" t="s">
        <v>328</v>
      </c>
    </row>
    <row r="726" spans="1:6">
      <c r="A726" s="4">
        <f t="shared" si="11"/>
        <v>725</v>
      </c>
      <c r="B726" s="4" t="s">
        <v>327</v>
      </c>
      <c r="C726" s="5" t="s">
        <v>299</v>
      </c>
      <c r="D726" s="23">
        <v>45261</v>
      </c>
      <c r="E726" s="5">
        <v>1565200</v>
      </c>
      <c r="F726" s="5" t="s">
        <v>328</v>
      </c>
    </row>
    <row r="727" spans="1:6">
      <c r="A727" s="4">
        <f t="shared" si="11"/>
        <v>726</v>
      </c>
      <c r="B727" s="4" t="s">
        <v>327</v>
      </c>
      <c r="C727" s="5" t="s">
        <v>305</v>
      </c>
      <c r="D727" s="23">
        <v>45261</v>
      </c>
      <c r="E727" s="5">
        <v>12411720</v>
      </c>
      <c r="F727" s="5" t="s">
        <v>328</v>
      </c>
    </row>
    <row r="728" spans="1:6">
      <c r="A728" s="4">
        <f t="shared" si="11"/>
        <v>727</v>
      </c>
      <c r="B728" s="4" t="s">
        <v>322</v>
      </c>
      <c r="C728" s="5" t="s">
        <v>299</v>
      </c>
      <c r="D728" s="23">
        <v>45261</v>
      </c>
      <c r="E728" s="24">
        <v>2400</v>
      </c>
      <c r="F728" s="5" t="s">
        <v>321</v>
      </c>
    </row>
    <row r="729" spans="1:6">
      <c r="A729" s="4">
        <f t="shared" si="11"/>
        <v>728</v>
      </c>
      <c r="B729" s="4" t="s">
        <v>323</v>
      </c>
      <c r="C729" s="5" t="s">
        <v>304</v>
      </c>
      <c r="D729" s="23">
        <v>45231</v>
      </c>
      <c r="E729" s="24">
        <v>10729.46</v>
      </c>
      <c r="F729" s="5" t="s">
        <v>321</v>
      </c>
    </row>
    <row r="730" spans="1:6">
      <c r="A730" s="4">
        <f t="shared" si="11"/>
        <v>729</v>
      </c>
      <c r="B730" s="4" t="s">
        <v>323</v>
      </c>
      <c r="C730" s="5" t="s">
        <v>299</v>
      </c>
      <c r="D730" s="23">
        <v>45231</v>
      </c>
      <c r="E730" s="24">
        <v>138452</v>
      </c>
      <c r="F730" s="5" t="s">
        <v>321</v>
      </c>
    </row>
    <row r="731" spans="1:6">
      <c r="A731" s="4">
        <f t="shared" si="11"/>
        <v>730</v>
      </c>
      <c r="B731" s="4" t="s">
        <v>323</v>
      </c>
      <c r="C731" s="5" t="s">
        <v>298</v>
      </c>
      <c r="D731" s="23">
        <v>45231</v>
      </c>
      <c r="E731" s="24">
        <v>6790.8</v>
      </c>
      <c r="F731" s="5" t="s">
        <v>321</v>
      </c>
    </row>
    <row r="732" spans="1:6">
      <c r="A732" s="4">
        <f t="shared" si="11"/>
        <v>731</v>
      </c>
      <c r="B732" s="4" t="s">
        <v>323</v>
      </c>
      <c r="C732" s="5" t="s">
        <v>295</v>
      </c>
      <c r="D732" s="23">
        <v>45231</v>
      </c>
      <c r="E732" s="24">
        <v>9177.66</v>
      </c>
      <c r="F732" s="5" t="s">
        <v>321</v>
      </c>
    </row>
    <row r="733" spans="1:6">
      <c r="A733" s="4">
        <f t="shared" si="11"/>
        <v>732</v>
      </c>
      <c r="B733" s="4" t="s">
        <v>323</v>
      </c>
      <c r="C733" s="5" t="s">
        <v>308</v>
      </c>
      <c r="D733" s="23">
        <v>45231</v>
      </c>
      <c r="E733" s="24">
        <v>22090.42</v>
      </c>
      <c r="F733" s="5" t="s">
        <v>321</v>
      </c>
    </row>
    <row r="734" spans="1:6">
      <c r="A734" s="4">
        <f t="shared" si="11"/>
        <v>733</v>
      </c>
      <c r="B734" s="4" t="s">
        <v>323</v>
      </c>
      <c r="C734" s="5" t="s">
        <v>300</v>
      </c>
      <c r="D734" s="23">
        <v>45231</v>
      </c>
      <c r="E734" s="24">
        <v>68170.670000000013</v>
      </c>
      <c r="F734" s="5" t="s">
        <v>321</v>
      </c>
    </row>
    <row r="735" spans="1:6">
      <c r="A735" s="4">
        <f t="shared" si="11"/>
        <v>734</v>
      </c>
      <c r="B735" s="4" t="s">
        <v>323</v>
      </c>
      <c r="C735" s="5" t="s">
        <v>307</v>
      </c>
      <c r="D735" s="23">
        <v>45231</v>
      </c>
      <c r="E735" s="24">
        <v>77072</v>
      </c>
      <c r="F735" s="5" t="s">
        <v>321</v>
      </c>
    </row>
    <row r="736" spans="1:6">
      <c r="A736" s="4">
        <f t="shared" si="11"/>
        <v>735</v>
      </c>
      <c r="B736" s="4" t="s">
        <v>323</v>
      </c>
      <c r="C736" s="5" t="s">
        <v>310</v>
      </c>
      <c r="D736" s="23">
        <v>45231</v>
      </c>
      <c r="E736" s="24">
        <v>11417.400000000001</v>
      </c>
      <c r="F736" s="5" t="s">
        <v>321</v>
      </c>
    </row>
    <row r="737" spans="1:6">
      <c r="A737" s="4">
        <f t="shared" si="11"/>
        <v>736</v>
      </c>
      <c r="B737" s="4" t="s">
        <v>323</v>
      </c>
      <c r="C737" s="5" t="s">
        <v>311</v>
      </c>
      <c r="D737" s="23">
        <v>45231</v>
      </c>
      <c r="E737" s="24">
        <v>1728</v>
      </c>
      <c r="F737" s="5" t="s">
        <v>321</v>
      </c>
    </row>
    <row r="738" spans="1:6">
      <c r="A738" s="4">
        <f t="shared" si="11"/>
        <v>737</v>
      </c>
      <c r="B738" s="4" t="s">
        <v>323</v>
      </c>
      <c r="C738" s="5" t="s">
        <v>312</v>
      </c>
      <c r="D738" s="23">
        <v>45231</v>
      </c>
      <c r="E738" s="24">
        <v>43539</v>
      </c>
      <c r="F738" s="5" t="s">
        <v>321</v>
      </c>
    </row>
    <row r="739" spans="1:6">
      <c r="A739" s="4">
        <f t="shared" si="11"/>
        <v>738</v>
      </c>
      <c r="B739" s="4" t="s">
        <v>324</v>
      </c>
      <c r="C739" s="5" t="s">
        <v>304</v>
      </c>
      <c r="D739" s="23">
        <v>45231</v>
      </c>
      <c r="E739" s="24">
        <v>17793.57</v>
      </c>
      <c r="F739" s="5" t="s">
        <v>321</v>
      </c>
    </row>
    <row r="740" spans="1:6">
      <c r="A740" s="4">
        <f t="shared" si="11"/>
        <v>739</v>
      </c>
      <c r="B740" s="4" t="s">
        <v>324</v>
      </c>
      <c r="C740" s="5" t="s">
        <v>299</v>
      </c>
      <c r="D740" s="23">
        <v>45231</v>
      </c>
      <c r="E740" s="24">
        <v>3880</v>
      </c>
      <c r="F740" s="5" t="s">
        <v>321</v>
      </c>
    </row>
    <row r="741" spans="1:6">
      <c r="A741" s="4">
        <f t="shared" si="11"/>
        <v>740</v>
      </c>
      <c r="B741" s="4" t="s">
        <v>324</v>
      </c>
      <c r="C741" s="5" t="s">
        <v>298</v>
      </c>
      <c r="D741" s="23">
        <v>45231</v>
      </c>
      <c r="E741" s="24">
        <v>8987.36</v>
      </c>
      <c r="F741" s="5" t="s">
        <v>321</v>
      </c>
    </row>
    <row r="742" spans="1:6">
      <c r="A742" s="4">
        <f t="shared" si="11"/>
        <v>741</v>
      </c>
      <c r="B742" s="4" t="s">
        <v>324</v>
      </c>
      <c r="C742" s="5" t="s">
        <v>295</v>
      </c>
      <c r="D742" s="23">
        <v>45231</v>
      </c>
      <c r="E742" s="24">
        <v>28555.24</v>
      </c>
      <c r="F742" s="5" t="s">
        <v>321</v>
      </c>
    </row>
    <row r="743" spans="1:6">
      <c r="A743" s="4">
        <f t="shared" si="11"/>
        <v>742</v>
      </c>
      <c r="B743" s="4" t="s">
        <v>324</v>
      </c>
      <c r="C743" s="5" t="s">
        <v>296</v>
      </c>
      <c r="D743" s="23">
        <v>45231</v>
      </c>
      <c r="E743" s="24">
        <v>4187.6000000000004</v>
      </c>
      <c r="F743" s="5" t="s">
        <v>321</v>
      </c>
    </row>
    <row r="744" spans="1:6">
      <c r="A744" s="4">
        <f t="shared" si="11"/>
        <v>743</v>
      </c>
      <c r="B744" s="4" t="s">
        <v>324</v>
      </c>
      <c r="C744" s="5" t="s">
        <v>308</v>
      </c>
      <c r="D744" s="23">
        <v>45231</v>
      </c>
      <c r="E744" s="24">
        <v>23987.63</v>
      </c>
      <c r="F744" s="5" t="s">
        <v>321</v>
      </c>
    </row>
    <row r="745" spans="1:6">
      <c r="A745" s="4">
        <f t="shared" si="11"/>
        <v>744</v>
      </c>
      <c r="B745" s="4" t="s">
        <v>324</v>
      </c>
      <c r="C745" s="5" t="s">
        <v>300</v>
      </c>
      <c r="D745" s="23">
        <v>45231</v>
      </c>
      <c r="E745" s="24">
        <v>105468.19</v>
      </c>
      <c r="F745" s="5" t="s">
        <v>321</v>
      </c>
    </row>
    <row r="746" spans="1:6">
      <c r="A746" s="4">
        <f t="shared" si="11"/>
        <v>745</v>
      </c>
      <c r="B746" s="4" t="s">
        <v>324</v>
      </c>
      <c r="C746" s="5" t="s">
        <v>307</v>
      </c>
      <c r="D746" s="23">
        <v>45231</v>
      </c>
      <c r="E746" s="24">
        <v>45460</v>
      </c>
      <c r="F746" s="5" t="s">
        <v>321</v>
      </c>
    </row>
    <row r="747" spans="1:6">
      <c r="A747" s="4">
        <f t="shared" si="11"/>
        <v>746</v>
      </c>
      <c r="B747" s="4" t="s">
        <v>324</v>
      </c>
      <c r="C747" s="5" t="s">
        <v>310</v>
      </c>
      <c r="D747" s="23">
        <v>45231</v>
      </c>
      <c r="E747" s="24">
        <v>19641.379999999997</v>
      </c>
      <c r="F747" s="5" t="s">
        <v>321</v>
      </c>
    </row>
    <row r="748" spans="1:6">
      <c r="A748" s="4">
        <f t="shared" si="11"/>
        <v>747</v>
      </c>
      <c r="B748" s="4" t="s">
        <v>324</v>
      </c>
      <c r="C748" s="5" t="s">
        <v>309</v>
      </c>
      <c r="D748" s="23">
        <v>45231</v>
      </c>
      <c r="E748" s="24">
        <v>27714.07</v>
      </c>
      <c r="F748" s="5" t="s">
        <v>321</v>
      </c>
    </row>
    <row r="749" spans="1:6">
      <c r="A749" s="4">
        <f t="shared" si="11"/>
        <v>748</v>
      </c>
      <c r="B749" s="4" t="s">
        <v>326</v>
      </c>
      <c r="C749" s="5" t="s">
        <v>302</v>
      </c>
      <c r="D749" s="23">
        <v>45231</v>
      </c>
      <c r="E749" s="24">
        <v>60971.08</v>
      </c>
      <c r="F749" s="5" t="s">
        <v>321</v>
      </c>
    </row>
    <row r="750" spans="1:6">
      <c r="A750" s="4">
        <f t="shared" si="11"/>
        <v>749</v>
      </c>
      <c r="B750" s="4" t="s">
        <v>322</v>
      </c>
      <c r="C750" s="5" t="s">
        <v>299</v>
      </c>
      <c r="D750" s="23">
        <v>45231</v>
      </c>
      <c r="E750" s="24">
        <v>2000</v>
      </c>
      <c r="F750" s="5" t="s">
        <v>321</v>
      </c>
    </row>
    <row r="751" spans="1:6">
      <c r="A751" s="4">
        <f t="shared" si="11"/>
        <v>750</v>
      </c>
      <c r="B751" s="4" t="s">
        <v>323</v>
      </c>
      <c r="C751" s="5" t="s">
        <v>304</v>
      </c>
      <c r="D751" s="23">
        <v>45200</v>
      </c>
      <c r="E751" s="24">
        <v>15189.54</v>
      </c>
      <c r="F751" s="5" t="s">
        <v>321</v>
      </c>
    </row>
    <row r="752" spans="1:6">
      <c r="A752" s="4">
        <f t="shared" si="11"/>
        <v>751</v>
      </c>
      <c r="B752" s="4" t="s">
        <v>323</v>
      </c>
      <c r="C752" s="5" t="s">
        <v>299</v>
      </c>
      <c r="D752" s="23">
        <v>45200</v>
      </c>
      <c r="E752" s="24">
        <v>288227.02</v>
      </c>
      <c r="F752" s="5" t="s">
        <v>321</v>
      </c>
    </row>
    <row r="753" spans="1:6">
      <c r="A753" s="4">
        <f t="shared" si="11"/>
        <v>752</v>
      </c>
      <c r="B753" s="4" t="s">
        <v>323</v>
      </c>
      <c r="C753" s="5" t="s">
        <v>298</v>
      </c>
      <c r="D753" s="23">
        <v>45200</v>
      </c>
      <c r="E753" s="24">
        <v>2142</v>
      </c>
      <c r="F753" s="5" t="s">
        <v>321</v>
      </c>
    </row>
    <row r="754" spans="1:6">
      <c r="A754" s="4">
        <f t="shared" si="11"/>
        <v>753</v>
      </c>
      <c r="B754" s="4" t="s">
        <v>323</v>
      </c>
      <c r="C754" s="5" t="s">
        <v>295</v>
      </c>
      <c r="D754" s="23">
        <v>45200</v>
      </c>
      <c r="E754" s="24">
        <v>5701.5</v>
      </c>
      <c r="F754" s="5" t="s">
        <v>321</v>
      </c>
    </row>
    <row r="755" spans="1:6">
      <c r="A755" s="4">
        <f t="shared" si="11"/>
        <v>754</v>
      </c>
      <c r="B755" s="4" t="s">
        <v>323</v>
      </c>
      <c r="C755" s="5" t="s">
        <v>296</v>
      </c>
      <c r="D755" s="23">
        <v>45200</v>
      </c>
      <c r="E755" s="24">
        <v>845.16</v>
      </c>
      <c r="F755" s="5" t="s">
        <v>321</v>
      </c>
    </row>
    <row r="756" spans="1:6">
      <c r="A756" s="4">
        <f t="shared" si="11"/>
        <v>755</v>
      </c>
      <c r="B756" s="4" t="s">
        <v>323</v>
      </c>
      <c r="C756" s="5" t="s">
        <v>308</v>
      </c>
      <c r="D756" s="23">
        <v>45200</v>
      </c>
      <c r="E756" s="24">
        <v>9168.34</v>
      </c>
      <c r="F756" s="5" t="s">
        <v>321</v>
      </c>
    </row>
    <row r="757" spans="1:6">
      <c r="A757" s="4">
        <f t="shared" si="11"/>
        <v>756</v>
      </c>
      <c r="B757" s="4" t="s">
        <v>323</v>
      </c>
      <c r="C757" s="5" t="s">
        <v>300</v>
      </c>
      <c r="D757" s="23">
        <v>45200</v>
      </c>
      <c r="E757" s="24">
        <v>29000.110000000004</v>
      </c>
      <c r="F757" s="5" t="s">
        <v>321</v>
      </c>
    </row>
    <row r="758" spans="1:6">
      <c r="A758" s="4">
        <f t="shared" si="11"/>
        <v>757</v>
      </c>
      <c r="B758" s="4" t="s">
        <v>323</v>
      </c>
      <c r="C758" s="5" t="s">
        <v>307</v>
      </c>
      <c r="D758" s="23">
        <v>45200</v>
      </c>
      <c r="E758" s="24">
        <v>50256</v>
      </c>
      <c r="F758" s="5" t="s">
        <v>321</v>
      </c>
    </row>
    <row r="759" spans="1:6">
      <c r="A759" s="4">
        <f t="shared" si="11"/>
        <v>758</v>
      </c>
      <c r="B759" s="4" t="s">
        <v>323</v>
      </c>
      <c r="C759" s="5" t="s">
        <v>310</v>
      </c>
      <c r="D759" s="23">
        <v>45200</v>
      </c>
      <c r="E759" s="24">
        <v>1550</v>
      </c>
      <c r="F759" s="5" t="s">
        <v>321</v>
      </c>
    </row>
    <row r="760" spans="1:6">
      <c r="A760" s="4">
        <f t="shared" si="11"/>
        <v>759</v>
      </c>
      <c r="B760" s="4" t="s">
        <v>323</v>
      </c>
      <c r="C760" s="5" t="s">
        <v>311</v>
      </c>
      <c r="D760" s="23">
        <v>45200</v>
      </c>
      <c r="E760" s="24">
        <v>1272</v>
      </c>
      <c r="F760" s="5" t="s">
        <v>321</v>
      </c>
    </row>
    <row r="761" spans="1:6">
      <c r="A761" s="4">
        <f t="shared" si="11"/>
        <v>760</v>
      </c>
      <c r="B761" s="4" t="s">
        <v>323</v>
      </c>
      <c r="C761" s="5" t="s">
        <v>312</v>
      </c>
      <c r="D761" s="23">
        <v>45200</v>
      </c>
      <c r="E761" s="24">
        <v>43286</v>
      </c>
      <c r="F761" s="5" t="s">
        <v>321</v>
      </c>
    </row>
    <row r="762" spans="1:6">
      <c r="A762" s="4">
        <f t="shared" si="11"/>
        <v>761</v>
      </c>
      <c r="B762" s="4" t="s">
        <v>324</v>
      </c>
      <c r="C762" s="5" t="s">
        <v>304</v>
      </c>
      <c r="D762" s="23">
        <v>45200</v>
      </c>
      <c r="E762" s="24">
        <v>27705.11</v>
      </c>
      <c r="F762" s="5" t="s">
        <v>321</v>
      </c>
    </row>
    <row r="763" spans="1:6">
      <c r="A763" s="4">
        <f t="shared" si="11"/>
        <v>762</v>
      </c>
      <c r="B763" s="4" t="s">
        <v>324</v>
      </c>
      <c r="C763" s="5" t="s">
        <v>299</v>
      </c>
      <c r="D763" s="23">
        <v>45200</v>
      </c>
      <c r="E763" s="24">
        <v>23487.53</v>
      </c>
      <c r="F763" s="5" t="s">
        <v>321</v>
      </c>
    </row>
    <row r="764" spans="1:6">
      <c r="A764" s="4">
        <f t="shared" si="11"/>
        <v>763</v>
      </c>
      <c r="B764" s="4" t="s">
        <v>324</v>
      </c>
      <c r="C764" s="5" t="s">
        <v>298</v>
      </c>
      <c r="D764" s="23">
        <v>45200</v>
      </c>
      <c r="E764" s="24">
        <v>10554.68</v>
      </c>
      <c r="F764" s="5" t="s">
        <v>321</v>
      </c>
    </row>
    <row r="765" spans="1:6">
      <c r="A765" s="4">
        <f t="shared" si="11"/>
        <v>764</v>
      </c>
      <c r="B765" s="4" t="s">
        <v>324</v>
      </c>
      <c r="C765" s="5" t="s">
        <v>295</v>
      </c>
      <c r="D765" s="23">
        <v>45200</v>
      </c>
      <c r="E765" s="24">
        <v>23117.5</v>
      </c>
      <c r="F765" s="5" t="s">
        <v>321</v>
      </c>
    </row>
    <row r="766" spans="1:6">
      <c r="A766" s="4">
        <f t="shared" si="11"/>
        <v>765</v>
      </c>
      <c r="B766" s="4" t="s">
        <v>324</v>
      </c>
      <c r="C766" s="5" t="s">
        <v>296</v>
      </c>
      <c r="D766" s="23">
        <v>45200</v>
      </c>
      <c r="E766" s="24">
        <v>5409</v>
      </c>
      <c r="F766" s="5" t="s">
        <v>321</v>
      </c>
    </row>
    <row r="767" spans="1:6">
      <c r="A767" s="4">
        <f t="shared" si="11"/>
        <v>766</v>
      </c>
      <c r="B767" s="4" t="s">
        <v>324</v>
      </c>
      <c r="C767" s="5" t="s">
        <v>308</v>
      </c>
      <c r="D767" s="23">
        <v>45200</v>
      </c>
      <c r="E767" s="24">
        <v>78328.56</v>
      </c>
      <c r="F767" s="5" t="s">
        <v>321</v>
      </c>
    </row>
    <row r="768" spans="1:6">
      <c r="A768" s="4">
        <f t="shared" si="11"/>
        <v>767</v>
      </c>
      <c r="B768" s="4" t="s">
        <v>324</v>
      </c>
      <c r="C768" s="5" t="s">
        <v>300</v>
      </c>
      <c r="D768" s="23">
        <v>45200</v>
      </c>
      <c r="E768" s="24">
        <v>79390.67</v>
      </c>
      <c r="F768" s="5" t="s">
        <v>321</v>
      </c>
    </row>
    <row r="769" spans="1:6">
      <c r="A769" s="4">
        <f t="shared" si="11"/>
        <v>768</v>
      </c>
      <c r="B769" s="4" t="s">
        <v>324</v>
      </c>
      <c r="C769" s="5" t="s">
        <v>307</v>
      </c>
      <c r="D769" s="23">
        <v>45200</v>
      </c>
      <c r="E769" s="24">
        <v>49856</v>
      </c>
      <c r="F769" s="5" t="s">
        <v>321</v>
      </c>
    </row>
    <row r="770" spans="1:6">
      <c r="A770" s="4">
        <f t="shared" si="11"/>
        <v>769</v>
      </c>
      <c r="B770" s="4" t="s">
        <v>324</v>
      </c>
      <c r="C770" s="5" t="s">
        <v>310</v>
      </c>
      <c r="D770" s="23">
        <v>45200</v>
      </c>
      <c r="E770" s="24">
        <v>3575.95</v>
      </c>
      <c r="F770" s="5" t="s">
        <v>321</v>
      </c>
    </row>
    <row r="771" spans="1:6">
      <c r="A771" s="4">
        <f t="shared" si="11"/>
        <v>770</v>
      </c>
      <c r="B771" s="4" t="s">
        <v>324</v>
      </c>
      <c r="C771" s="5" t="s">
        <v>312</v>
      </c>
      <c r="D771" s="23">
        <v>45200</v>
      </c>
      <c r="E771" s="24">
        <v>10626</v>
      </c>
      <c r="F771" s="5" t="s">
        <v>321</v>
      </c>
    </row>
    <row r="772" spans="1:6">
      <c r="A772" s="4">
        <f t="shared" si="11"/>
        <v>771</v>
      </c>
      <c r="B772" s="4" t="s">
        <v>324</v>
      </c>
      <c r="C772" s="5" t="s">
        <v>309</v>
      </c>
      <c r="D772" s="23">
        <v>45200</v>
      </c>
      <c r="E772" s="24">
        <v>36768.800000000003</v>
      </c>
      <c r="F772" s="5" t="s">
        <v>321</v>
      </c>
    </row>
    <row r="773" spans="1:6">
      <c r="A773" s="4">
        <f t="shared" si="11"/>
        <v>772</v>
      </c>
      <c r="B773" s="4" t="s">
        <v>326</v>
      </c>
      <c r="C773" s="5" t="s">
        <v>302</v>
      </c>
      <c r="D773" s="23">
        <v>45200</v>
      </c>
      <c r="E773" s="24">
        <v>48233.440000000002</v>
      </c>
      <c r="F773" s="5" t="s">
        <v>321</v>
      </c>
    </row>
    <row r="774" spans="1:6">
      <c r="A774" s="4">
        <f t="shared" si="11"/>
        <v>773</v>
      </c>
      <c r="B774" s="4" t="s">
        <v>322</v>
      </c>
      <c r="C774" s="5" t="s">
        <v>299</v>
      </c>
      <c r="D774" s="23">
        <v>45200</v>
      </c>
      <c r="E774" s="24">
        <v>3250</v>
      </c>
      <c r="F774" s="5" t="s">
        <v>321</v>
      </c>
    </row>
    <row r="775" spans="1:6">
      <c r="A775" s="4">
        <f t="shared" si="11"/>
        <v>774</v>
      </c>
      <c r="B775" s="4" t="s">
        <v>329</v>
      </c>
      <c r="C775" s="5" t="s">
        <v>296</v>
      </c>
      <c r="D775" s="26">
        <v>45170</v>
      </c>
      <c r="E775" s="24">
        <v>11804</v>
      </c>
      <c r="F775" s="5" t="s">
        <v>321</v>
      </c>
    </row>
    <row r="776" spans="1:6">
      <c r="A776" s="4">
        <f t="shared" si="11"/>
        <v>775</v>
      </c>
      <c r="B776" s="4" t="s">
        <v>323</v>
      </c>
      <c r="C776" s="5" t="s">
        <v>304</v>
      </c>
      <c r="D776" s="23">
        <v>45170</v>
      </c>
      <c r="E776" s="24">
        <v>24114.280000000002</v>
      </c>
      <c r="F776" s="5" t="s">
        <v>321</v>
      </c>
    </row>
    <row r="777" spans="1:6">
      <c r="A777" s="4">
        <f t="shared" si="11"/>
        <v>776</v>
      </c>
      <c r="B777" s="4" t="s">
        <v>323</v>
      </c>
      <c r="C777" s="5" t="s">
        <v>298</v>
      </c>
      <c r="D777" s="23">
        <v>45170</v>
      </c>
      <c r="E777" s="24">
        <v>13283.8</v>
      </c>
      <c r="F777" s="5" t="s">
        <v>321</v>
      </c>
    </row>
    <row r="778" spans="1:6">
      <c r="A778" s="4">
        <f t="shared" si="11"/>
        <v>777</v>
      </c>
      <c r="B778" s="4" t="s">
        <v>323</v>
      </c>
      <c r="C778" s="5" t="s">
        <v>295</v>
      </c>
      <c r="D778" s="23">
        <v>45170</v>
      </c>
      <c r="E778" s="24">
        <v>8193.2099999999991</v>
      </c>
      <c r="F778" s="5" t="s">
        <v>321</v>
      </c>
    </row>
    <row r="779" spans="1:6">
      <c r="A779" s="4">
        <f t="shared" ref="A779:A842" si="12">ROW()-1</f>
        <v>778</v>
      </c>
      <c r="B779" s="4" t="s">
        <v>323</v>
      </c>
      <c r="C779" s="5" t="s">
        <v>308</v>
      </c>
      <c r="D779" s="23">
        <v>45170</v>
      </c>
      <c r="E779" s="24">
        <v>32324.400000000001</v>
      </c>
      <c r="F779" s="5" t="s">
        <v>321</v>
      </c>
    </row>
    <row r="780" spans="1:6">
      <c r="A780" s="4">
        <f t="shared" si="12"/>
        <v>779</v>
      </c>
      <c r="B780" s="4" t="s">
        <v>323</v>
      </c>
      <c r="C780" s="5" t="s">
        <v>300</v>
      </c>
      <c r="D780" s="23">
        <v>45170</v>
      </c>
      <c r="E780" s="24">
        <v>89857.52999999997</v>
      </c>
      <c r="F780" s="5" t="s">
        <v>321</v>
      </c>
    </row>
    <row r="781" spans="1:6">
      <c r="A781" s="4">
        <f t="shared" si="12"/>
        <v>780</v>
      </c>
      <c r="B781" s="4" t="s">
        <v>323</v>
      </c>
      <c r="C781" s="5" t="s">
        <v>307</v>
      </c>
      <c r="D781" s="23">
        <v>45170</v>
      </c>
      <c r="E781" s="24">
        <v>96412</v>
      </c>
      <c r="F781" s="5" t="s">
        <v>321</v>
      </c>
    </row>
    <row r="782" spans="1:6">
      <c r="A782" s="4">
        <f t="shared" si="12"/>
        <v>781</v>
      </c>
      <c r="B782" s="4" t="s">
        <v>323</v>
      </c>
      <c r="C782" s="5" t="s">
        <v>310</v>
      </c>
      <c r="D782" s="23">
        <v>45170</v>
      </c>
      <c r="E782" s="24">
        <v>26118.52</v>
      </c>
      <c r="F782" s="5" t="s">
        <v>321</v>
      </c>
    </row>
    <row r="783" spans="1:6">
      <c r="A783" s="4">
        <f t="shared" si="12"/>
        <v>782</v>
      </c>
      <c r="B783" s="4" t="s">
        <v>323</v>
      </c>
      <c r="C783" s="5" t="s">
        <v>311</v>
      </c>
      <c r="D783" s="23">
        <v>45170</v>
      </c>
      <c r="E783" s="24">
        <v>11576</v>
      </c>
      <c r="F783" s="5" t="s">
        <v>321</v>
      </c>
    </row>
    <row r="784" spans="1:6">
      <c r="A784" s="4">
        <f t="shared" si="12"/>
        <v>783</v>
      </c>
      <c r="B784" s="4" t="s">
        <v>323</v>
      </c>
      <c r="C784" s="5" t="s">
        <v>312</v>
      </c>
      <c r="D784" s="23">
        <v>45170</v>
      </c>
      <c r="E784" s="24">
        <v>82708</v>
      </c>
      <c r="F784" s="5" t="s">
        <v>321</v>
      </c>
    </row>
    <row r="785" spans="1:6">
      <c r="A785" s="4">
        <f t="shared" si="12"/>
        <v>784</v>
      </c>
      <c r="B785" s="4" t="s">
        <v>324</v>
      </c>
      <c r="C785" s="5" t="s">
        <v>304</v>
      </c>
      <c r="D785" s="23">
        <v>45170</v>
      </c>
      <c r="E785" s="24">
        <v>16853.93</v>
      </c>
      <c r="F785" s="5" t="s">
        <v>321</v>
      </c>
    </row>
    <row r="786" spans="1:6">
      <c r="A786" s="4">
        <f t="shared" si="12"/>
        <v>785</v>
      </c>
      <c r="B786" s="4" t="s">
        <v>324</v>
      </c>
      <c r="C786" s="5" t="s">
        <v>298</v>
      </c>
      <c r="D786" s="23">
        <v>45170</v>
      </c>
      <c r="E786" s="24">
        <v>12176.68</v>
      </c>
      <c r="F786" s="5" t="s">
        <v>321</v>
      </c>
    </row>
    <row r="787" spans="1:6">
      <c r="A787" s="4">
        <f t="shared" si="12"/>
        <v>786</v>
      </c>
      <c r="B787" s="4" t="s">
        <v>324</v>
      </c>
      <c r="C787" s="5" t="s">
        <v>295</v>
      </c>
      <c r="D787" s="23">
        <v>45170</v>
      </c>
      <c r="E787" s="24">
        <v>3302.5</v>
      </c>
      <c r="F787" s="5" t="s">
        <v>321</v>
      </c>
    </row>
    <row r="788" spans="1:6">
      <c r="A788" s="4">
        <f t="shared" si="12"/>
        <v>787</v>
      </c>
      <c r="B788" s="4" t="s">
        <v>324</v>
      </c>
      <c r="C788" s="5" t="s">
        <v>296</v>
      </c>
      <c r="D788" s="23">
        <v>45170</v>
      </c>
      <c r="E788" s="24">
        <v>5478.8</v>
      </c>
      <c r="F788" s="5" t="s">
        <v>321</v>
      </c>
    </row>
    <row r="789" spans="1:6">
      <c r="A789" s="4">
        <f t="shared" si="12"/>
        <v>788</v>
      </c>
      <c r="B789" s="4" t="s">
        <v>324</v>
      </c>
      <c r="C789" s="5" t="s">
        <v>308</v>
      </c>
      <c r="D789" s="23">
        <v>45170</v>
      </c>
      <c r="E789" s="24">
        <v>100547.07</v>
      </c>
      <c r="F789" s="5" t="s">
        <v>321</v>
      </c>
    </row>
    <row r="790" spans="1:6">
      <c r="A790" s="4">
        <f t="shared" si="12"/>
        <v>789</v>
      </c>
      <c r="B790" s="4" t="s">
        <v>324</v>
      </c>
      <c r="C790" s="5" t="s">
        <v>300</v>
      </c>
      <c r="D790" s="23">
        <v>45170</v>
      </c>
      <c r="E790" s="24">
        <v>114736.42</v>
      </c>
      <c r="F790" s="5" t="s">
        <v>321</v>
      </c>
    </row>
    <row r="791" spans="1:6">
      <c r="A791" s="4">
        <f t="shared" si="12"/>
        <v>790</v>
      </c>
      <c r="B791" s="4" t="s">
        <v>324</v>
      </c>
      <c r="C791" s="5" t="s">
        <v>307</v>
      </c>
      <c r="D791" s="23">
        <v>45170</v>
      </c>
      <c r="E791" s="24">
        <v>60428</v>
      </c>
      <c r="F791" s="5" t="s">
        <v>321</v>
      </c>
    </row>
    <row r="792" spans="1:6">
      <c r="A792" s="4">
        <f t="shared" si="12"/>
        <v>791</v>
      </c>
      <c r="B792" s="4" t="s">
        <v>324</v>
      </c>
      <c r="C792" s="5" t="s">
        <v>310</v>
      </c>
      <c r="D792" s="23">
        <v>45170</v>
      </c>
      <c r="E792" s="24">
        <v>11527.35</v>
      </c>
      <c r="F792" s="5" t="s">
        <v>321</v>
      </c>
    </row>
    <row r="793" spans="1:6">
      <c r="A793" s="4">
        <f t="shared" si="12"/>
        <v>792</v>
      </c>
      <c r="B793" s="4" t="s">
        <v>324</v>
      </c>
      <c r="C793" s="5" t="s">
        <v>309</v>
      </c>
      <c r="D793" s="23">
        <v>45170</v>
      </c>
      <c r="E793" s="24">
        <v>30131.85</v>
      </c>
      <c r="F793" s="5" t="s">
        <v>321</v>
      </c>
    </row>
    <row r="794" spans="1:6">
      <c r="A794" s="4">
        <f t="shared" si="12"/>
        <v>793</v>
      </c>
      <c r="B794" s="4" t="s">
        <v>326</v>
      </c>
      <c r="C794" s="5" t="s">
        <v>302</v>
      </c>
      <c r="D794" s="23">
        <v>45170</v>
      </c>
      <c r="E794" s="24">
        <v>53202.080000000002</v>
      </c>
      <c r="F794" s="5" t="s">
        <v>321</v>
      </c>
    </row>
    <row r="795" spans="1:6">
      <c r="A795" s="4">
        <f t="shared" si="12"/>
        <v>794</v>
      </c>
      <c r="B795" s="4" t="s">
        <v>322</v>
      </c>
      <c r="C795" s="5" t="s">
        <v>299</v>
      </c>
      <c r="D795" s="23">
        <v>45170</v>
      </c>
      <c r="E795" s="24">
        <v>6360</v>
      </c>
      <c r="F795" s="5" t="s">
        <v>321</v>
      </c>
    </row>
    <row r="796" spans="1:6">
      <c r="A796" s="4">
        <f t="shared" si="12"/>
        <v>795</v>
      </c>
      <c r="B796" s="4" t="s">
        <v>323</v>
      </c>
      <c r="C796" s="5" t="s">
        <v>304</v>
      </c>
      <c r="D796" s="23">
        <v>45139</v>
      </c>
      <c r="E796" s="24">
        <v>34220.44</v>
      </c>
      <c r="F796" s="5" t="s">
        <v>321</v>
      </c>
    </row>
    <row r="797" spans="1:6">
      <c r="A797" s="4">
        <f t="shared" si="12"/>
        <v>796</v>
      </c>
      <c r="B797" s="4" t="s">
        <v>323</v>
      </c>
      <c r="C797" s="5" t="s">
        <v>298</v>
      </c>
      <c r="D797" s="23">
        <v>45139</v>
      </c>
      <c r="E797" s="24">
        <v>16060.8</v>
      </c>
      <c r="F797" s="5" t="s">
        <v>321</v>
      </c>
    </row>
    <row r="798" spans="1:6">
      <c r="A798" s="4">
        <f t="shared" si="12"/>
        <v>797</v>
      </c>
      <c r="B798" s="4" t="s">
        <v>323</v>
      </c>
      <c r="C798" s="5" t="s">
        <v>295</v>
      </c>
      <c r="D798" s="23">
        <v>45139</v>
      </c>
      <c r="E798" s="24">
        <v>15586.37</v>
      </c>
      <c r="F798" s="5" t="s">
        <v>321</v>
      </c>
    </row>
    <row r="799" spans="1:6">
      <c r="A799" s="4">
        <f t="shared" si="12"/>
        <v>798</v>
      </c>
      <c r="B799" s="4" t="s">
        <v>323</v>
      </c>
      <c r="C799" s="5" t="s">
        <v>296</v>
      </c>
      <c r="D799" s="23">
        <v>45139</v>
      </c>
      <c r="E799" s="24">
        <v>2069.87</v>
      </c>
      <c r="F799" s="5" t="s">
        <v>321</v>
      </c>
    </row>
    <row r="800" spans="1:6">
      <c r="A800" s="4">
        <f t="shared" si="12"/>
        <v>799</v>
      </c>
      <c r="B800" s="4" t="s">
        <v>323</v>
      </c>
      <c r="C800" s="5" t="s">
        <v>308</v>
      </c>
      <c r="D800" s="23">
        <v>45139</v>
      </c>
      <c r="E800" s="24">
        <v>25838.429999999997</v>
      </c>
      <c r="F800" s="5" t="s">
        <v>321</v>
      </c>
    </row>
    <row r="801" spans="1:6">
      <c r="A801" s="4">
        <f t="shared" si="12"/>
        <v>800</v>
      </c>
      <c r="B801" s="4" t="s">
        <v>323</v>
      </c>
      <c r="C801" s="5" t="s">
        <v>300</v>
      </c>
      <c r="D801" s="23">
        <v>45139</v>
      </c>
      <c r="E801" s="24">
        <v>101189.91999999994</v>
      </c>
      <c r="F801" s="5" t="s">
        <v>321</v>
      </c>
    </row>
    <row r="802" spans="1:6">
      <c r="A802" s="4">
        <f t="shared" si="12"/>
        <v>801</v>
      </c>
      <c r="B802" s="4" t="s">
        <v>323</v>
      </c>
      <c r="C802" s="5" t="s">
        <v>307</v>
      </c>
      <c r="D802" s="23">
        <v>45139</v>
      </c>
      <c r="E802" s="24">
        <v>66840</v>
      </c>
      <c r="F802" s="5" t="s">
        <v>321</v>
      </c>
    </row>
    <row r="803" spans="1:6">
      <c r="A803" s="4">
        <f t="shared" si="12"/>
        <v>802</v>
      </c>
      <c r="B803" s="4" t="s">
        <v>323</v>
      </c>
      <c r="C803" s="5" t="s">
        <v>310</v>
      </c>
      <c r="D803" s="23">
        <v>45139</v>
      </c>
      <c r="E803" s="24">
        <v>24086.25</v>
      </c>
      <c r="F803" s="5" t="s">
        <v>321</v>
      </c>
    </row>
    <row r="804" spans="1:6">
      <c r="A804" s="4">
        <f t="shared" si="12"/>
        <v>803</v>
      </c>
      <c r="B804" s="4" t="s">
        <v>323</v>
      </c>
      <c r="C804" s="5" t="s">
        <v>311</v>
      </c>
      <c r="D804" s="23">
        <v>45139</v>
      </c>
      <c r="E804" s="24">
        <v>9193.44</v>
      </c>
      <c r="F804" s="5" t="s">
        <v>321</v>
      </c>
    </row>
    <row r="805" spans="1:6">
      <c r="A805" s="4">
        <f t="shared" si="12"/>
        <v>804</v>
      </c>
      <c r="B805" s="4" t="s">
        <v>323</v>
      </c>
      <c r="C805" s="5" t="s">
        <v>312</v>
      </c>
      <c r="D805" s="23">
        <v>45139</v>
      </c>
      <c r="E805" s="24">
        <v>25185</v>
      </c>
      <c r="F805" s="5" t="s">
        <v>321</v>
      </c>
    </row>
    <row r="806" spans="1:6">
      <c r="A806" s="4">
        <f t="shared" si="12"/>
        <v>805</v>
      </c>
      <c r="B806" s="4" t="s">
        <v>324</v>
      </c>
      <c r="C806" s="5" t="s">
        <v>304</v>
      </c>
      <c r="D806" s="23">
        <v>45139</v>
      </c>
      <c r="E806" s="24">
        <v>17518.900000000001</v>
      </c>
      <c r="F806" s="5" t="s">
        <v>321</v>
      </c>
    </row>
    <row r="807" spans="1:6">
      <c r="A807" s="4">
        <f t="shared" si="12"/>
        <v>806</v>
      </c>
      <c r="B807" s="4" t="s">
        <v>324</v>
      </c>
      <c r="C807" s="5" t="s">
        <v>298</v>
      </c>
      <c r="D807" s="23">
        <v>45139</v>
      </c>
      <c r="E807" s="24">
        <v>31127.66</v>
      </c>
      <c r="F807" s="5" t="s">
        <v>321</v>
      </c>
    </row>
    <row r="808" spans="1:6">
      <c r="A808" s="4">
        <f t="shared" si="12"/>
        <v>807</v>
      </c>
      <c r="B808" s="4" t="s">
        <v>324</v>
      </c>
      <c r="C808" s="5" t="s">
        <v>295</v>
      </c>
      <c r="D808" s="23">
        <v>45139</v>
      </c>
      <c r="E808" s="24">
        <v>32668.5</v>
      </c>
      <c r="F808" s="5" t="s">
        <v>321</v>
      </c>
    </row>
    <row r="809" spans="1:6">
      <c r="A809" s="4">
        <f t="shared" si="12"/>
        <v>808</v>
      </c>
      <c r="B809" s="4" t="s">
        <v>324</v>
      </c>
      <c r="C809" s="5" t="s">
        <v>296</v>
      </c>
      <c r="D809" s="23">
        <v>45139</v>
      </c>
      <c r="E809" s="24">
        <v>6560.6</v>
      </c>
      <c r="F809" s="5" t="s">
        <v>321</v>
      </c>
    </row>
    <row r="810" spans="1:6">
      <c r="A810" s="4">
        <f t="shared" si="12"/>
        <v>809</v>
      </c>
      <c r="B810" s="4" t="s">
        <v>324</v>
      </c>
      <c r="C810" s="5" t="s">
        <v>308</v>
      </c>
      <c r="D810" s="23">
        <v>45139</v>
      </c>
      <c r="E810" s="24">
        <v>108504.82</v>
      </c>
      <c r="F810" s="5" t="s">
        <v>321</v>
      </c>
    </row>
    <row r="811" spans="1:6">
      <c r="A811" s="4">
        <f t="shared" si="12"/>
        <v>810</v>
      </c>
      <c r="B811" s="4" t="s">
        <v>324</v>
      </c>
      <c r="C811" s="5" t="s">
        <v>300</v>
      </c>
      <c r="D811" s="23">
        <v>45139</v>
      </c>
      <c r="E811" s="24">
        <v>84167.76999999999</v>
      </c>
      <c r="F811" s="5" t="s">
        <v>321</v>
      </c>
    </row>
    <row r="812" spans="1:6">
      <c r="A812" s="4">
        <f t="shared" si="12"/>
        <v>811</v>
      </c>
      <c r="B812" s="4" t="s">
        <v>324</v>
      </c>
      <c r="C812" s="5" t="s">
        <v>307</v>
      </c>
      <c r="D812" s="23">
        <v>45139</v>
      </c>
      <c r="E812" s="24">
        <v>24644</v>
      </c>
      <c r="F812" s="5" t="s">
        <v>321</v>
      </c>
    </row>
    <row r="813" spans="1:6">
      <c r="A813" s="4">
        <f t="shared" si="12"/>
        <v>812</v>
      </c>
      <c r="B813" s="4" t="s">
        <v>324</v>
      </c>
      <c r="C813" s="5" t="s">
        <v>310</v>
      </c>
      <c r="D813" s="23">
        <v>45139</v>
      </c>
      <c r="E813" s="24">
        <v>1237.1400000000001</v>
      </c>
      <c r="F813" s="5" t="s">
        <v>321</v>
      </c>
    </row>
    <row r="814" spans="1:6">
      <c r="A814" s="4">
        <f t="shared" si="12"/>
        <v>813</v>
      </c>
      <c r="B814" s="4" t="s">
        <v>324</v>
      </c>
      <c r="C814" s="5" t="s">
        <v>311</v>
      </c>
      <c r="D814" s="23">
        <v>45139</v>
      </c>
      <c r="E814" s="24">
        <v>1093.68</v>
      </c>
      <c r="F814" s="5" t="s">
        <v>321</v>
      </c>
    </row>
    <row r="815" spans="1:6">
      <c r="A815" s="4">
        <f t="shared" si="12"/>
        <v>814</v>
      </c>
      <c r="B815" s="4" t="s">
        <v>324</v>
      </c>
      <c r="C815" s="5" t="s">
        <v>312</v>
      </c>
      <c r="D815" s="23">
        <v>45139</v>
      </c>
      <c r="E815" s="24">
        <v>4485</v>
      </c>
      <c r="F815" s="5" t="s">
        <v>321</v>
      </c>
    </row>
    <row r="816" spans="1:6">
      <c r="A816" s="4">
        <f t="shared" si="12"/>
        <v>815</v>
      </c>
      <c r="B816" s="4" t="s">
        <v>324</v>
      </c>
      <c r="C816" s="5" t="s">
        <v>309</v>
      </c>
      <c r="D816" s="23">
        <v>45139</v>
      </c>
      <c r="E816" s="24">
        <v>37786.29</v>
      </c>
      <c r="F816" s="5" t="s">
        <v>321</v>
      </c>
    </row>
    <row r="817" spans="1:6">
      <c r="A817" s="4">
        <f t="shared" si="12"/>
        <v>816</v>
      </c>
      <c r="B817" s="4" t="s">
        <v>326</v>
      </c>
      <c r="C817" s="5" t="s">
        <v>302</v>
      </c>
      <c r="D817" s="23">
        <v>45139</v>
      </c>
      <c r="E817" s="24">
        <v>52824.959999999999</v>
      </c>
      <c r="F817" s="5" t="s">
        <v>321</v>
      </c>
    </row>
    <row r="818" spans="1:6">
      <c r="A818" s="4">
        <f t="shared" si="12"/>
        <v>817</v>
      </c>
      <c r="B818" s="4" t="s">
        <v>322</v>
      </c>
      <c r="C818" s="5" t="s">
        <v>299</v>
      </c>
      <c r="D818" s="23">
        <v>45139</v>
      </c>
      <c r="E818" s="24">
        <v>10200</v>
      </c>
      <c r="F818" s="5" t="s">
        <v>321</v>
      </c>
    </row>
    <row r="819" spans="1:6">
      <c r="A819" s="4">
        <f t="shared" si="12"/>
        <v>818</v>
      </c>
      <c r="B819" s="4" t="s">
        <v>323</v>
      </c>
      <c r="C819" s="5" t="s">
        <v>304</v>
      </c>
      <c r="D819" s="23">
        <v>45108</v>
      </c>
      <c r="E819" s="24">
        <v>30183.379999999994</v>
      </c>
      <c r="F819" s="5" t="s">
        <v>321</v>
      </c>
    </row>
    <row r="820" spans="1:6">
      <c r="A820" s="4">
        <f t="shared" si="12"/>
        <v>819</v>
      </c>
      <c r="B820" s="4" t="s">
        <v>323</v>
      </c>
      <c r="C820" s="5" t="s">
        <v>299</v>
      </c>
      <c r="D820" s="23">
        <v>45108</v>
      </c>
      <c r="E820" s="24">
        <v>179329.19</v>
      </c>
      <c r="F820" s="5" t="s">
        <v>321</v>
      </c>
    </row>
    <row r="821" spans="1:6">
      <c r="A821" s="4">
        <f t="shared" si="12"/>
        <v>820</v>
      </c>
      <c r="B821" s="4" t="s">
        <v>323</v>
      </c>
      <c r="C821" s="5" t="s">
        <v>298</v>
      </c>
      <c r="D821" s="23">
        <v>45108</v>
      </c>
      <c r="E821" s="24">
        <v>25116.480000000003</v>
      </c>
      <c r="F821" s="5" t="s">
        <v>321</v>
      </c>
    </row>
    <row r="822" spans="1:6">
      <c r="A822" s="4">
        <f t="shared" si="12"/>
        <v>821</v>
      </c>
      <c r="B822" s="4" t="s">
        <v>323</v>
      </c>
      <c r="C822" s="5" t="s">
        <v>295</v>
      </c>
      <c r="D822" s="23">
        <v>45108</v>
      </c>
      <c r="E822" s="24">
        <v>6086.6</v>
      </c>
      <c r="F822" s="5" t="s">
        <v>321</v>
      </c>
    </row>
    <row r="823" spans="1:6">
      <c r="A823" s="4">
        <f t="shared" si="12"/>
        <v>822</v>
      </c>
      <c r="B823" s="4" t="s">
        <v>323</v>
      </c>
      <c r="C823" s="5" t="s">
        <v>308</v>
      </c>
      <c r="D823" s="23">
        <v>45108</v>
      </c>
      <c r="E823" s="24">
        <v>17003.830000000002</v>
      </c>
      <c r="F823" s="5" t="s">
        <v>321</v>
      </c>
    </row>
    <row r="824" spans="1:6">
      <c r="A824" s="4">
        <f t="shared" si="12"/>
        <v>823</v>
      </c>
      <c r="B824" s="4" t="s">
        <v>323</v>
      </c>
      <c r="C824" s="5" t="s">
        <v>300</v>
      </c>
      <c r="D824" s="23">
        <v>45108</v>
      </c>
      <c r="E824" s="24">
        <v>161169.7699999999</v>
      </c>
      <c r="F824" s="5" t="s">
        <v>321</v>
      </c>
    </row>
    <row r="825" spans="1:6">
      <c r="A825" s="4">
        <f t="shared" si="12"/>
        <v>824</v>
      </c>
      <c r="B825" s="4" t="s">
        <v>323</v>
      </c>
      <c r="C825" s="5" t="s">
        <v>307</v>
      </c>
      <c r="D825" s="23">
        <v>45108</v>
      </c>
      <c r="E825" s="24">
        <v>64364</v>
      </c>
      <c r="F825" s="5" t="s">
        <v>321</v>
      </c>
    </row>
    <row r="826" spans="1:6">
      <c r="A826" s="4">
        <f t="shared" si="12"/>
        <v>825</v>
      </c>
      <c r="B826" s="4" t="s">
        <v>323</v>
      </c>
      <c r="C826" s="5" t="s">
        <v>310</v>
      </c>
      <c r="D826" s="23">
        <v>45108</v>
      </c>
      <c r="E826" s="24">
        <v>9344.2000000000007</v>
      </c>
      <c r="F826" s="5" t="s">
        <v>321</v>
      </c>
    </row>
    <row r="827" spans="1:6">
      <c r="A827" s="4">
        <f t="shared" si="12"/>
        <v>826</v>
      </c>
      <c r="B827" s="4" t="s">
        <v>323</v>
      </c>
      <c r="C827" s="5" t="s">
        <v>311</v>
      </c>
      <c r="D827" s="23">
        <v>45108</v>
      </c>
      <c r="E827" s="24">
        <v>5869.73</v>
      </c>
      <c r="F827" s="5" t="s">
        <v>321</v>
      </c>
    </row>
    <row r="828" spans="1:6">
      <c r="A828" s="4">
        <f t="shared" si="12"/>
        <v>827</v>
      </c>
      <c r="B828" s="4" t="s">
        <v>323</v>
      </c>
      <c r="C828" s="5" t="s">
        <v>312</v>
      </c>
      <c r="D828" s="23">
        <v>45108</v>
      </c>
      <c r="E828" s="24">
        <v>17319</v>
      </c>
      <c r="F828" s="5" t="s">
        <v>321</v>
      </c>
    </row>
    <row r="829" spans="1:6">
      <c r="A829" s="4">
        <f t="shared" si="12"/>
        <v>828</v>
      </c>
      <c r="B829" s="4" t="s">
        <v>324</v>
      </c>
      <c r="C829" s="5" t="s">
        <v>304</v>
      </c>
      <c r="D829" s="23">
        <v>45108</v>
      </c>
      <c r="E829" s="24">
        <v>35376.5</v>
      </c>
      <c r="F829" s="5" t="s">
        <v>321</v>
      </c>
    </row>
    <row r="830" spans="1:6">
      <c r="A830" s="4">
        <f t="shared" si="12"/>
        <v>829</v>
      </c>
      <c r="B830" s="4" t="s">
        <v>324</v>
      </c>
      <c r="C830" s="5" t="s">
        <v>299</v>
      </c>
      <c r="D830" s="23">
        <v>45108</v>
      </c>
      <c r="E830" s="24">
        <v>7529.54</v>
      </c>
      <c r="F830" s="5" t="s">
        <v>321</v>
      </c>
    </row>
    <row r="831" spans="1:6">
      <c r="A831" s="4">
        <f t="shared" si="12"/>
        <v>830</v>
      </c>
      <c r="B831" s="4" t="s">
        <v>324</v>
      </c>
      <c r="C831" s="5" t="s">
        <v>298</v>
      </c>
      <c r="D831" s="23">
        <v>45108</v>
      </c>
      <c r="E831" s="24">
        <v>29787.9</v>
      </c>
      <c r="F831" s="5" t="s">
        <v>321</v>
      </c>
    </row>
    <row r="832" spans="1:6">
      <c r="A832" s="4">
        <f t="shared" si="12"/>
        <v>831</v>
      </c>
      <c r="B832" s="4" t="s">
        <v>324</v>
      </c>
      <c r="C832" s="5" t="s">
        <v>295</v>
      </c>
      <c r="D832" s="23">
        <v>45108</v>
      </c>
      <c r="E832" s="24">
        <v>6605</v>
      </c>
      <c r="F832" s="5" t="s">
        <v>321</v>
      </c>
    </row>
    <row r="833" spans="1:6">
      <c r="A833" s="4">
        <f t="shared" si="12"/>
        <v>832</v>
      </c>
      <c r="B833" s="4" t="s">
        <v>324</v>
      </c>
      <c r="C833" s="5" t="s">
        <v>296</v>
      </c>
      <c r="D833" s="23">
        <v>45108</v>
      </c>
      <c r="E833" s="24">
        <v>10868.62</v>
      </c>
      <c r="F833" s="5" t="s">
        <v>321</v>
      </c>
    </row>
    <row r="834" spans="1:6">
      <c r="A834" s="4">
        <f t="shared" si="12"/>
        <v>833</v>
      </c>
      <c r="B834" s="4" t="s">
        <v>324</v>
      </c>
      <c r="C834" s="5" t="s">
        <v>308</v>
      </c>
      <c r="D834" s="23">
        <v>45108</v>
      </c>
      <c r="E834" s="24">
        <v>85989.11</v>
      </c>
      <c r="F834" s="5" t="s">
        <v>321</v>
      </c>
    </row>
    <row r="835" spans="1:6">
      <c r="A835" s="4">
        <f t="shared" si="12"/>
        <v>834</v>
      </c>
      <c r="B835" s="4" t="s">
        <v>324</v>
      </c>
      <c r="C835" s="5" t="s">
        <v>300</v>
      </c>
      <c r="D835" s="23">
        <v>45108</v>
      </c>
      <c r="E835" s="24">
        <v>95787.67</v>
      </c>
      <c r="F835" s="5" t="s">
        <v>321</v>
      </c>
    </row>
    <row r="836" spans="1:6">
      <c r="A836" s="4">
        <f t="shared" si="12"/>
        <v>835</v>
      </c>
      <c r="B836" s="4" t="s">
        <v>324</v>
      </c>
      <c r="C836" s="5" t="s">
        <v>307</v>
      </c>
      <c r="D836" s="23">
        <v>45108</v>
      </c>
      <c r="E836" s="24">
        <v>42720</v>
      </c>
      <c r="F836" s="5" t="s">
        <v>321</v>
      </c>
    </row>
    <row r="837" spans="1:6">
      <c r="A837" s="4">
        <f t="shared" si="12"/>
        <v>836</v>
      </c>
      <c r="B837" s="4" t="s">
        <v>324</v>
      </c>
      <c r="C837" s="5" t="s">
        <v>310</v>
      </c>
      <c r="D837" s="23">
        <v>45108</v>
      </c>
      <c r="E837" s="24">
        <v>9634.6200000000008</v>
      </c>
      <c r="F837" s="5" t="s">
        <v>321</v>
      </c>
    </row>
    <row r="838" spans="1:6">
      <c r="A838" s="4">
        <f t="shared" si="12"/>
        <v>837</v>
      </c>
      <c r="B838" s="4" t="s">
        <v>326</v>
      </c>
      <c r="C838" s="5" t="s">
        <v>302</v>
      </c>
      <c r="D838" s="23">
        <v>45108</v>
      </c>
      <c r="E838" s="24">
        <v>70732</v>
      </c>
      <c r="F838" s="5" t="s">
        <v>321</v>
      </c>
    </row>
    <row r="839" spans="1:6">
      <c r="A839" s="4">
        <f t="shared" si="12"/>
        <v>838</v>
      </c>
      <c r="B839" s="4" t="s">
        <v>322</v>
      </c>
      <c r="C839" s="5" t="s">
        <v>299</v>
      </c>
      <c r="D839" s="23">
        <v>45108</v>
      </c>
      <c r="E839" s="24">
        <v>5876</v>
      </c>
      <c r="F839" s="5" t="s">
        <v>321</v>
      </c>
    </row>
    <row r="840" spans="1:6">
      <c r="A840" s="4">
        <f t="shared" si="12"/>
        <v>839</v>
      </c>
      <c r="B840" s="4" t="s">
        <v>329</v>
      </c>
      <c r="C840" s="5" t="s">
        <v>296</v>
      </c>
      <c r="D840" s="26">
        <v>45078</v>
      </c>
      <c r="E840" s="24">
        <v>11022</v>
      </c>
      <c r="F840" s="5" t="s">
        <v>321</v>
      </c>
    </row>
    <row r="841" spans="1:6">
      <c r="A841" s="4">
        <f t="shared" si="12"/>
        <v>840</v>
      </c>
      <c r="B841" s="4" t="s">
        <v>323</v>
      </c>
      <c r="C841" s="5" t="s">
        <v>304</v>
      </c>
      <c r="D841" s="23">
        <v>45078</v>
      </c>
      <c r="E841" s="24">
        <v>18527.13</v>
      </c>
      <c r="F841" s="5" t="s">
        <v>321</v>
      </c>
    </row>
    <row r="842" spans="1:6">
      <c r="A842" s="4">
        <f t="shared" si="12"/>
        <v>841</v>
      </c>
      <c r="B842" s="4" t="s">
        <v>323</v>
      </c>
      <c r="C842" s="5" t="s">
        <v>298</v>
      </c>
      <c r="D842" s="23">
        <v>45078</v>
      </c>
      <c r="E842" s="24">
        <v>3570</v>
      </c>
      <c r="F842" s="5" t="s">
        <v>321</v>
      </c>
    </row>
    <row r="843" spans="1:6">
      <c r="A843" s="4">
        <f t="shared" ref="A843:A906" si="13">ROW()-1</f>
        <v>842</v>
      </c>
      <c r="B843" s="4" t="s">
        <v>323</v>
      </c>
      <c r="C843" s="5" t="s">
        <v>295</v>
      </c>
      <c r="D843" s="23">
        <v>45078</v>
      </c>
      <c r="E843" s="24">
        <v>4608</v>
      </c>
      <c r="F843" s="5" t="s">
        <v>321</v>
      </c>
    </row>
    <row r="844" spans="1:6">
      <c r="A844" s="4">
        <f t="shared" si="13"/>
        <v>843</v>
      </c>
      <c r="B844" s="4" t="s">
        <v>323</v>
      </c>
      <c r="C844" s="5" t="s">
        <v>308</v>
      </c>
      <c r="D844" s="23">
        <v>45078</v>
      </c>
      <c r="E844" s="24">
        <v>6740</v>
      </c>
      <c r="F844" s="5" t="s">
        <v>321</v>
      </c>
    </row>
    <row r="845" spans="1:6">
      <c r="A845" s="4">
        <f t="shared" si="13"/>
        <v>844</v>
      </c>
      <c r="B845" s="4" t="s">
        <v>323</v>
      </c>
      <c r="C845" s="5" t="s">
        <v>300</v>
      </c>
      <c r="D845" s="23">
        <v>45078</v>
      </c>
      <c r="E845" s="24">
        <v>120989.42999999996</v>
      </c>
      <c r="F845" s="5" t="s">
        <v>321</v>
      </c>
    </row>
    <row r="846" spans="1:6">
      <c r="A846" s="4">
        <f t="shared" si="13"/>
        <v>845</v>
      </c>
      <c r="B846" s="4" t="s">
        <v>323</v>
      </c>
      <c r="C846" s="5" t="s">
        <v>307</v>
      </c>
      <c r="D846" s="23">
        <v>45078</v>
      </c>
      <c r="E846" s="24">
        <v>47772</v>
      </c>
      <c r="F846" s="5" t="s">
        <v>321</v>
      </c>
    </row>
    <row r="847" spans="1:6">
      <c r="A847" s="4">
        <f t="shared" si="13"/>
        <v>846</v>
      </c>
      <c r="B847" s="4" t="s">
        <v>323</v>
      </c>
      <c r="C847" s="5" t="s">
        <v>310</v>
      </c>
      <c r="D847" s="23">
        <v>45078</v>
      </c>
      <c r="E847" s="24">
        <v>54525.829999999987</v>
      </c>
      <c r="F847" s="5" t="s">
        <v>321</v>
      </c>
    </row>
    <row r="848" spans="1:6">
      <c r="A848" s="4">
        <f t="shared" si="13"/>
        <v>847</v>
      </c>
      <c r="B848" s="4" t="s">
        <v>323</v>
      </c>
      <c r="C848" s="5" t="s">
        <v>312</v>
      </c>
      <c r="D848" s="23">
        <v>45078</v>
      </c>
      <c r="E848" s="24">
        <v>34592</v>
      </c>
      <c r="F848" s="5" t="s">
        <v>321</v>
      </c>
    </row>
    <row r="849" spans="1:6">
      <c r="A849" s="4">
        <f t="shared" si="13"/>
        <v>848</v>
      </c>
      <c r="B849" s="4" t="s">
        <v>324</v>
      </c>
      <c r="C849" s="5" t="s">
        <v>304</v>
      </c>
      <c r="D849" s="23">
        <v>45078</v>
      </c>
      <c r="E849" s="24">
        <v>6143.76</v>
      </c>
      <c r="F849" s="5" t="s">
        <v>321</v>
      </c>
    </row>
    <row r="850" spans="1:6">
      <c r="A850" s="4">
        <f t="shared" si="13"/>
        <v>849</v>
      </c>
      <c r="B850" s="4" t="s">
        <v>324</v>
      </c>
      <c r="C850" s="5" t="s">
        <v>298</v>
      </c>
      <c r="D850" s="23">
        <v>45078</v>
      </c>
      <c r="E850" s="24">
        <v>20940.48</v>
      </c>
      <c r="F850" s="5" t="s">
        <v>321</v>
      </c>
    </row>
    <row r="851" spans="1:6">
      <c r="A851" s="4">
        <f t="shared" si="13"/>
        <v>850</v>
      </c>
      <c r="B851" s="4" t="s">
        <v>324</v>
      </c>
      <c r="C851" s="5" t="s">
        <v>295</v>
      </c>
      <c r="D851" s="23">
        <v>45078</v>
      </c>
      <c r="E851" s="24">
        <v>8055</v>
      </c>
      <c r="F851" s="5" t="s">
        <v>321</v>
      </c>
    </row>
    <row r="852" spans="1:6">
      <c r="A852" s="4">
        <f t="shared" si="13"/>
        <v>851</v>
      </c>
      <c r="B852" s="4" t="s">
        <v>324</v>
      </c>
      <c r="C852" s="5" t="s">
        <v>296</v>
      </c>
      <c r="D852" s="23">
        <v>45078</v>
      </c>
      <c r="E852" s="24">
        <v>8724.2000000000007</v>
      </c>
      <c r="F852" s="5" t="s">
        <v>321</v>
      </c>
    </row>
    <row r="853" spans="1:6">
      <c r="A853" s="4">
        <f t="shared" si="13"/>
        <v>852</v>
      </c>
      <c r="B853" s="4" t="s">
        <v>324</v>
      </c>
      <c r="C853" s="5" t="s">
        <v>308</v>
      </c>
      <c r="D853" s="23">
        <v>45078</v>
      </c>
      <c r="E853" s="24">
        <v>45793.23</v>
      </c>
      <c r="F853" s="5" t="s">
        <v>321</v>
      </c>
    </row>
    <row r="854" spans="1:6">
      <c r="A854" s="4">
        <f t="shared" si="13"/>
        <v>853</v>
      </c>
      <c r="B854" s="4" t="s">
        <v>324</v>
      </c>
      <c r="C854" s="5" t="s">
        <v>300</v>
      </c>
      <c r="D854" s="23">
        <v>45078</v>
      </c>
      <c r="E854" s="24">
        <v>103797.15999999999</v>
      </c>
      <c r="F854" s="5" t="s">
        <v>321</v>
      </c>
    </row>
    <row r="855" spans="1:6">
      <c r="A855" s="4">
        <f t="shared" si="13"/>
        <v>854</v>
      </c>
      <c r="B855" s="4" t="s">
        <v>324</v>
      </c>
      <c r="C855" s="5" t="s">
        <v>307</v>
      </c>
      <c r="D855" s="23">
        <v>45078</v>
      </c>
      <c r="E855" s="24">
        <v>9616</v>
      </c>
      <c r="F855" s="5" t="s">
        <v>321</v>
      </c>
    </row>
    <row r="856" spans="1:6">
      <c r="A856" s="4">
        <f t="shared" si="13"/>
        <v>855</v>
      </c>
      <c r="B856" s="4" t="s">
        <v>324</v>
      </c>
      <c r="C856" s="5" t="s">
        <v>310</v>
      </c>
      <c r="D856" s="23">
        <v>45078</v>
      </c>
      <c r="E856" s="24">
        <v>9210.89</v>
      </c>
      <c r="F856" s="5" t="s">
        <v>321</v>
      </c>
    </row>
    <row r="857" spans="1:6">
      <c r="A857" s="4">
        <f t="shared" si="13"/>
        <v>856</v>
      </c>
      <c r="B857" s="4" t="s">
        <v>324</v>
      </c>
      <c r="C857" s="5" t="s">
        <v>309</v>
      </c>
      <c r="D857" s="23">
        <v>45078</v>
      </c>
      <c r="E857" s="24">
        <v>14679.48</v>
      </c>
      <c r="F857" s="5" t="s">
        <v>321</v>
      </c>
    </row>
    <row r="858" spans="1:6">
      <c r="A858" s="4">
        <f t="shared" si="13"/>
        <v>857</v>
      </c>
      <c r="B858" s="4" t="s">
        <v>326</v>
      </c>
      <c r="C858" s="5" t="s">
        <v>302</v>
      </c>
      <c r="D858" s="23">
        <v>45078</v>
      </c>
      <c r="E858" s="24">
        <v>69414</v>
      </c>
      <c r="F858" s="5" t="s">
        <v>321</v>
      </c>
    </row>
    <row r="859" spans="1:6">
      <c r="A859" s="4">
        <f t="shared" si="13"/>
        <v>858</v>
      </c>
      <c r="B859" s="4" t="s">
        <v>322</v>
      </c>
      <c r="C859" s="5" t="s">
        <v>299</v>
      </c>
      <c r="D859" s="23">
        <v>45078</v>
      </c>
      <c r="E859" s="24">
        <v>13566</v>
      </c>
      <c r="F859" s="5" t="s">
        <v>321</v>
      </c>
    </row>
    <row r="860" spans="1:6">
      <c r="A860" s="4">
        <f t="shared" si="13"/>
        <v>859</v>
      </c>
      <c r="B860" s="4" t="s">
        <v>323</v>
      </c>
      <c r="C860" s="5" t="s">
        <v>304</v>
      </c>
      <c r="D860" s="23">
        <v>45047</v>
      </c>
      <c r="E860" s="24">
        <v>24254.620000000003</v>
      </c>
      <c r="F860" s="5" t="s">
        <v>321</v>
      </c>
    </row>
    <row r="861" spans="1:6">
      <c r="A861" s="4">
        <f t="shared" si="13"/>
        <v>860</v>
      </c>
      <c r="B861" s="4" t="s">
        <v>323</v>
      </c>
      <c r="C861" s="5" t="s">
        <v>299</v>
      </c>
      <c r="D861" s="23">
        <v>45047</v>
      </c>
      <c r="E861" s="24">
        <v>85893.36</v>
      </c>
      <c r="F861" s="5" t="s">
        <v>321</v>
      </c>
    </row>
    <row r="862" spans="1:6">
      <c r="A862" s="4">
        <f t="shared" si="13"/>
        <v>861</v>
      </c>
      <c r="B862" s="4" t="s">
        <v>323</v>
      </c>
      <c r="C862" s="5" t="s">
        <v>298</v>
      </c>
      <c r="D862" s="23">
        <v>45047</v>
      </c>
      <c r="E862" s="24">
        <v>14229.76</v>
      </c>
      <c r="F862" s="5" t="s">
        <v>321</v>
      </c>
    </row>
    <row r="863" spans="1:6">
      <c r="A863" s="4">
        <f t="shared" si="13"/>
        <v>862</v>
      </c>
      <c r="B863" s="4" t="s">
        <v>323</v>
      </c>
      <c r="C863" s="5" t="s">
        <v>308</v>
      </c>
      <c r="D863" s="23">
        <v>45047</v>
      </c>
      <c r="E863" s="24">
        <v>12488.59</v>
      </c>
      <c r="F863" s="5" t="s">
        <v>321</v>
      </c>
    </row>
    <row r="864" spans="1:6">
      <c r="A864" s="4">
        <f t="shared" si="13"/>
        <v>863</v>
      </c>
      <c r="B864" s="4" t="s">
        <v>323</v>
      </c>
      <c r="C864" s="5" t="s">
        <v>300</v>
      </c>
      <c r="D864" s="23">
        <v>45047</v>
      </c>
      <c r="E864" s="24">
        <v>88783.38</v>
      </c>
      <c r="F864" s="5" t="s">
        <v>321</v>
      </c>
    </row>
    <row r="865" spans="1:6">
      <c r="A865" s="4">
        <f t="shared" si="13"/>
        <v>864</v>
      </c>
      <c r="B865" s="4" t="s">
        <v>323</v>
      </c>
      <c r="C865" s="5" t="s">
        <v>307</v>
      </c>
      <c r="D865" s="23">
        <v>45047</v>
      </c>
      <c r="E865" s="24">
        <v>28984</v>
      </c>
      <c r="F865" s="5" t="s">
        <v>321</v>
      </c>
    </row>
    <row r="866" spans="1:6">
      <c r="A866" s="4">
        <f t="shared" si="13"/>
        <v>865</v>
      </c>
      <c r="B866" s="4" t="s">
        <v>323</v>
      </c>
      <c r="C866" s="5" t="s">
        <v>310</v>
      </c>
      <c r="D866" s="23">
        <v>45047</v>
      </c>
      <c r="E866" s="24">
        <v>1422</v>
      </c>
      <c r="F866" s="5" t="s">
        <v>321</v>
      </c>
    </row>
    <row r="867" spans="1:6">
      <c r="A867" s="4">
        <f t="shared" si="13"/>
        <v>866</v>
      </c>
      <c r="B867" s="4" t="s">
        <v>323</v>
      </c>
      <c r="C867" s="5" t="s">
        <v>311</v>
      </c>
      <c r="D867" s="23">
        <v>45047</v>
      </c>
      <c r="E867" s="24">
        <v>4080</v>
      </c>
      <c r="F867" s="5" t="s">
        <v>321</v>
      </c>
    </row>
    <row r="868" spans="1:6">
      <c r="A868" s="4">
        <f t="shared" si="13"/>
        <v>867</v>
      </c>
      <c r="B868" s="4" t="s">
        <v>323</v>
      </c>
      <c r="C868" s="5" t="s">
        <v>312</v>
      </c>
      <c r="D868" s="23">
        <v>45047</v>
      </c>
      <c r="E868" s="24">
        <v>86829.6</v>
      </c>
      <c r="F868" s="5" t="s">
        <v>321</v>
      </c>
    </row>
    <row r="869" spans="1:6">
      <c r="A869" s="4">
        <f t="shared" si="13"/>
        <v>868</v>
      </c>
      <c r="B869" s="4" t="s">
        <v>324</v>
      </c>
      <c r="C869" s="5" t="s">
        <v>304</v>
      </c>
      <c r="D869" s="23">
        <v>45047</v>
      </c>
      <c r="E869" s="24">
        <v>42687.13</v>
      </c>
      <c r="F869" s="5" t="s">
        <v>321</v>
      </c>
    </row>
    <row r="870" spans="1:6">
      <c r="A870" s="4">
        <f t="shared" si="13"/>
        <v>869</v>
      </c>
      <c r="B870" s="4" t="s">
        <v>324</v>
      </c>
      <c r="C870" s="5" t="s">
        <v>299</v>
      </c>
      <c r="D870" s="23">
        <v>45047</v>
      </c>
      <c r="E870" s="24">
        <v>10900.01</v>
      </c>
      <c r="F870" s="5" t="s">
        <v>321</v>
      </c>
    </row>
    <row r="871" spans="1:6">
      <c r="A871" s="4">
        <f t="shared" si="13"/>
        <v>870</v>
      </c>
      <c r="B871" s="4" t="s">
        <v>324</v>
      </c>
      <c r="C871" s="5" t="s">
        <v>298</v>
      </c>
      <c r="D871" s="23">
        <v>45047</v>
      </c>
      <c r="E871" s="24">
        <v>19774</v>
      </c>
      <c r="F871" s="5" t="s">
        <v>321</v>
      </c>
    </row>
    <row r="872" spans="1:6">
      <c r="A872" s="4">
        <f t="shared" si="13"/>
        <v>871</v>
      </c>
      <c r="B872" s="4" t="s">
        <v>324</v>
      </c>
      <c r="C872" s="5" t="s">
        <v>295</v>
      </c>
      <c r="D872" s="23">
        <v>45047</v>
      </c>
      <c r="E872" s="24">
        <v>22041.279999999999</v>
      </c>
      <c r="F872" s="5" t="s">
        <v>321</v>
      </c>
    </row>
    <row r="873" spans="1:6">
      <c r="A873" s="4">
        <f t="shared" si="13"/>
        <v>872</v>
      </c>
      <c r="B873" s="4" t="s">
        <v>324</v>
      </c>
      <c r="C873" s="5" t="s">
        <v>296</v>
      </c>
      <c r="D873" s="23">
        <v>45047</v>
      </c>
      <c r="E873" s="24">
        <v>7502.8</v>
      </c>
      <c r="F873" s="5" t="s">
        <v>321</v>
      </c>
    </row>
    <row r="874" spans="1:6">
      <c r="A874" s="4">
        <f t="shared" si="13"/>
        <v>873</v>
      </c>
      <c r="B874" s="4" t="s">
        <v>324</v>
      </c>
      <c r="C874" s="5" t="s">
        <v>308</v>
      </c>
      <c r="D874" s="23">
        <v>45047</v>
      </c>
      <c r="E874" s="24">
        <v>55524.9</v>
      </c>
      <c r="F874" s="5" t="s">
        <v>321</v>
      </c>
    </row>
    <row r="875" spans="1:6">
      <c r="A875" s="4">
        <f t="shared" si="13"/>
        <v>874</v>
      </c>
      <c r="B875" s="4" t="s">
        <v>324</v>
      </c>
      <c r="C875" s="5" t="s">
        <v>300</v>
      </c>
      <c r="D875" s="23">
        <v>45047</v>
      </c>
      <c r="E875" s="24">
        <v>118137.23</v>
      </c>
      <c r="F875" s="5" t="s">
        <v>321</v>
      </c>
    </row>
    <row r="876" spans="1:6">
      <c r="A876" s="4">
        <f t="shared" si="13"/>
        <v>875</v>
      </c>
      <c r="B876" s="4" t="s">
        <v>324</v>
      </c>
      <c r="C876" s="5" t="s">
        <v>307</v>
      </c>
      <c r="D876" s="23">
        <v>45047</v>
      </c>
      <c r="E876" s="24">
        <v>27808</v>
      </c>
      <c r="F876" s="5" t="s">
        <v>321</v>
      </c>
    </row>
    <row r="877" spans="1:6">
      <c r="A877" s="4">
        <f t="shared" si="13"/>
        <v>876</v>
      </c>
      <c r="B877" s="4" t="s">
        <v>324</v>
      </c>
      <c r="C877" s="5" t="s">
        <v>309</v>
      </c>
      <c r="D877" s="23">
        <v>45047</v>
      </c>
      <c r="E877" s="24">
        <v>29989.45</v>
      </c>
      <c r="F877" s="5" t="s">
        <v>321</v>
      </c>
    </row>
    <row r="878" spans="1:6">
      <c r="A878" s="4">
        <f t="shared" si="13"/>
        <v>877</v>
      </c>
      <c r="B878" s="4" t="s">
        <v>324</v>
      </c>
      <c r="C878" s="5" t="s">
        <v>297</v>
      </c>
      <c r="D878" s="23">
        <v>45047</v>
      </c>
      <c r="E878" s="24">
        <v>4156.4399999999996</v>
      </c>
      <c r="F878" s="5" t="s">
        <v>321</v>
      </c>
    </row>
    <row r="879" spans="1:6">
      <c r="A879" s="4">
        <f t="shared" si="13"/>
        <v>878</v>
      </c>
      <c r="B879" s="4" t="s">
        <v>326</v>
      </c>
      <c r="C879" s="5" t="s">
        <v>302</v>
      </c>
      <c r="D879" s="23">
        <v>45047</v>
      </c>
      <c r="E879" s="24">
        <v>68400</v>
      </c>
      <c r="F879" s="5" t="s">
        <v>321</v>
      </c>
    </row>
    <row r="880" spans="1:6">
      <c r="A880" s="4">
        <f t="shared" si="13"/>
        <v>879</v>
      </c>
      <c r="B880" s="4" t="s">
        <v>326</v>
      </c>
      <c r="C880" s="5" t="s">
        <v>298</v>
      </c>
      <c r="D880" s="23">
        <v>45047</v>
      </c>
      <c r="E880" s="24">
        <v>51805.15</v>
      </c>
      <c r="F880" s="5" t="s">
        <v>321</v>
      </c>
    </row>
    <row r="881" spans="1:6">
      <c r="A881" s="4">
        <f t="shared" si="13"/>
        <v>880</v>
      </c>
      <c r="B881" s="4" t="s">
        <v>322</v>
      </c>
      <c r="C881" s="5" t="s">
        <v>299</v>
      </c>
      <c r="D881" s="23">
        <v>45047</v>
      </c>
      <c r="E881" s="24">
        <v>7930</v>
      </c>
      <c r="F881" s="5" t="s">
        <v>321</v>
      </c>
    </row>
    <row r="882" spans="1:6">
      <c r="A882" s="4">
        <f t="shared" si="13"/>
        <v>881</v>
      </c>
      <c r="B882" s="4" t="s">
        <v>323</v>
      </c>
      <c r="C882" s="5" t="s">
        <v>304</v>
      </c>
      <c r="D882" s="23">
        <v>45017</v>
      </c>
      <c r="E882" s="24">
        <v>45559.539999999994</v>
      </c>
      <c r="F882" s="5" t="s">
        <v>321</v>
      </c>
    </row>
    <row r="883" spans="1:6">
      <c r="A883" s="4">
        <f t="shared" si="13"/>
        <v>882</v>
      </c>
      <c r="B883" s="4" t="s">
        <v>323</v>
      </c>
      <c r="C883" s="5" t="s">
        <v>299</v>
      </c>
      <c r="D883" s="23">
        <v>45017</v>
      </c>
      <c r="E883" s="24">
        <v>130908.8</v>
      </c>
      <c r="F883" s="5" t="s">
        <v>321</v>
      </c>
    </row>
    <row r="884" spans="1:6">
      <c r="A884" s="4">
        <f t="shared" si="13"/>
        <v>883</v>
      </c>
      <c r="B884" s="4" t="s">
        <v>323</v>
      </c>
      <c r="C884" s="5" t="s">
        <v>298</v>
      </c>
      <c r="D884" s="23">
        <v>45017</v>
      </c>
      <c r="E884" s="24">
        <v>21641</v>
      </c>
      <c r="F884" s="5" t="s">
        <v>321</v>
      </c>
    </row>
    <row r="885" spans="1:6">
      <c r="A885" s="4">
        <f t="shared" si="13"/>
        <v>884</v>
      </c>
      <c r="B885" s="4" t="s">
        <v>323</v>
      </c>
      <c r="C885" s="5" t="s">
        <v>295</v>
      </c>
      <c r="D885" s="23">
        <v>45017</v>
      </c>
      <c r="E885" s="24">
        <v>4520</v>
      </c>
      <c r="F885" s="5" t="s">
        <v>321</v>
      </c>
    </row>
    <row r="886" spans="1:6">
      <c r="A886" s="4">
        <f t="shared" si="13"/>
        <v>885</v>
      </c>
      <c r="B886" s="4" t="s">
        <v>323</v>
      </c>
      <c r="C886" s="5" t="s">
        <v>300</v>
      </c>
      <c r="D886" s="23">
        <v>45017</v>
      </c>
      <c r="E886" s="24">
        <v>138854.09999999995</v>
      </c>
      <c r="F886" s="5" t="s">
        <v>321</v>
      </c>
    </row>
    <row r="887" spans="1:6">
      <c r="A887" s="4">
        <f t="shared" si="13"/>
        <v>886</v>
      </c>
      <c r="B887" s="4" t="s">
        <v>323</v>
      </c>
      <c r="C887" s="5" t="s">
        <v>307</v>
      </c>
      <c r="D887" s="23">
        <v>45017</v>
      </c>
      <c r="E887" s="24">
        <v>110412</v>
      </c>
      <c r="F887" s="5" t="s">
        <v>321</v>
      </c>
    </row>
    <row r="888" spans="1:6">
      <c r="A888" s="4">
        <f t="shared" si="13"/>
        <v>887</v>
      </c>
      <c r="B888" s="4" t="s">
        <v>323</v>
      </c>
      <c r="C888" s="5" t="s">
        <v>310</v>
      </c>
      <c r="D888" s="23">
        <v>45017</v>
      </c>
      <c r="E888" s="24">
        <v>42015.31</v>
      </c>
      <c r="F888" s="5" t="s">
        <v>321</v>
      </c>
    </row>
    <row r="889" spans="1:6">
      <c r="A889" s="4">
        <f t="shared" si="13"/>
        <v>888</v>
      </c>
      <c r="B889" s="4" t="s">
        <v>323</v>
      </c>
      <c r="C889" s="5" t="s">
        <v>291</v>
      </c>
      <c r="D889" s="23">
        <v>45017</v>
      </c>
      <c r="E889" s="24">
        <v>5249.0300000000007</v>
      </c>
      <c r="F889" s="5" t="s">
        <v>321</v>
      </c>
    </row>
    <row r="890" spans="1:6">
      <c r="A890" s="4">
        <f t="shared" si="13"/>
        <v>889</v>
      </c>
      <c r="B890" s="4" t="s">
        <v>323</v>
      </c>
      <c r="C890" s="5" t="s">
        <v>311</v>
      </c>
      <c r="D890" s="23">
        <v>45017</v>
      </c>
      <c r="E890" s="24">
        <v>1351.93</v>
      </c>
      <c r="F890" s="5" t="s">
        <v>321</v>
      </c>
    </row>
    <row r="891" spans="1:6">
      <c r="A891" s="4">
        <f t="shared" si="13"/>
        <v>890</v>
      </c>
      <c r="B891" s="4" t="s">
        <v>323</v>
      </c>
      <c r="C891" s="5" t="s">
        <v>312</v>
      </c>
      <c r="D891" s="23">
        <v>45017</v>
      </c>
      <c r="E891" s="24">
        <v>31970.000000000004</v>
      </c>
      <c r="F891" s="5" t="s">
        <v>321</v>
      </c>
    </row>
    <row r="892" spans="1:6">
      <c r="A892" s="4">
        <f t="shared" si="13"/>
        <v>891</v>
      </c>
      <c r="B892" s="4" t="s">
        <v>324</v>
      </c>
      <c r="C892" s="5" t="s">
        <v>304</v>
      </c>
      <c r="D892" s="23">
        <v>45017</v>
      </c>
      <c r="E892" s="24">
        <v>14476.97</v>
      </c>
      <c r="F892" s="5" t="s">
        <v>321</v>
      </c>
    </row>
    <row r="893" spans="1:6">
      <c r="A893" s="4">
        <f t="shared" si="13"/>
        <v>892</v>
      </c>
      <c r="B893" s="4" t="s">
        <v>324</v>
      </c>
      <c r="C893" s="5" t="s">
        <v>299</v>
      </c>
      <c r="D893" s="23">
        <v>45017</v>
      </c>
      <c r="E893" s="24">
        <v>2797.5</v>
      </c>
      <c r="F893" s="5" t="s">
        <v>321</v>
      </c>
    </row>
    <row r="894" spans="1:6">
      <c r="A894" s="4">
        <f t="shared" si="13"/>
        <v>893</v>
      </c>
      <c r="B894" s="4" t="s">
        <v>324</v>
      </c>
      <c r="C894" s="5" t="s">
        <v>298</v>
      </c>
      <c r="D894" s="23">
        <v>45017</v>
      </c>
      <c r="E894" s="24">
        <v>11710.48</v>
      </c>
      <c r="F894" s="5" t="s">
        <v>321</v>
      </c>
    </row>
    <row r="895" spans="1:6">
      <c r="A895" s="4">
        <f t="shared" si="13"/>
        <v>894</v>
      </c>
      <c r="B895" s="4" t="s">
        <v>324</v>
      </c>
      <c r="C895" s="5" t="s">
        <v>295</v>
      </c>
      <c r="D895" s="23">
        <v>45017</v>
      </c>
      <c r="E895" s="24">
        <v>26293.759999999998</v>
      </c>
      <c r="F895" s="5" t="s">
        <v>321</v>
      </c>
    </row>
    <row r="896" spans="1:6">
      <c r="A896" s="4">
        <f t="shared" si="13"/>
        <v>895</v>
      </c>
      <c r="B896" s="4" t="s">
        <v>324</v>
      </c>
      <c r="C896" s="5" t="s">
        <v>296</v>
      </c>
      <c r="D896" s="23">
        <v>45017</v>
      </c>
      <c r="E896" s="24">
        <v>4288.84</v>
      </c>
      <c r="F896" s="5" t="s">
        <v>321</v>
      </c>
    </row>
    <row r="897" spans="1:6">
      <c r="A897" s="4">
        <f t="shared" si="13"/>
        <v>896</v>
      </c>
      <c r="B897" s="4" t="s">
        <v>324</v>
      </c>
      <c r="C897" s="5" t="s">
        <v>308</v>
      </c>
      <c r="D897" s="23">
        <v>45017</v>
      </c>
      <c r="E897" s="24">
        <v>70580.820000000007</v>
      </c>
      <c r="F897" s="5" t="s">
        <v>321</v>
      </c>
    </row>
    <row r="898" spans="1:6">
      <c r="A898" s="4">
        <f t="shared" si="13"/>
        <v>897</v>
      </c>
      <c r="B898" s="4" t="s">
        <v>324</v>
      </c>
      <c r="C898" s="5" t="s">
        <v>300</v>
      </c>
      <c r="D898" s="23">
        <v>45017</v>
      </c>
      <c r="E898" s="24">
        <v>42748.32</v>
      </c>
      <c r="F898" s="5" t="s">
        <v>321</v>
      </c>
    </row>
    <row r="899" spans="1:6">
      <c r="A899" s="4">
        <f t="shared" si="13"/>
        <v>898</v>
      </c>
      <c r="B899" s="4" t="s">
        <v>324</v>
      </c>
      <c r="C899" s="5" t="s">
        <v>307</v>
      </c>
      <c r="D899" s="23">
        <v>45017</v>
      </c>
      <c r="E899" s="24">
        <v>31476</v>
      </c>
      <c r="F899" s="5" t="s">
        <v>321</v>
      </c>
    </row>
    <row r="900" spans="1:6">
      <c r="A900" s="4">
        <f t="shared" si="13"/>
        <v>899</v>
      </c>
      <c r="B900" s="4" t="s">
        <v>324</v>
      </c>
      <c r="C900" s="5" t="s">
        <v>291</v>
      </c>
      <c r="D900" s="23">
        <v>45017</v>
      </c>
      <c r="E900" s="24">
        <v>1929.45</v>
      </c>
      <c r="F900" s="5" t="s">
        <v>321</v>
      </c>
    </row>
    <row r="901" spans="1:6">
      <c r="A901" s="4">
        <f t="shared" si="13"/>
        <v>900</v>
      </c>
      <c r="B901" s="4" t="s">
        <v>324</v>
      </c>
      <c r="C901" s="5" t="s">
        <v>309</v>
      </c>
      <c r="D901" s="23">
        <v>45017</v>
      </c>
      <c r="E901" s="24">
        <v>38974.230000000003</v>
      </c>
      <c r="F901" s="5" t="s">
        <v>321</v>
      </c>
    </row>
    <row r="902" spans="1:6">
      <c r="A902" s="4">
        <f t="shared" si="13"/>
        <v>901</v>
      </c>
      <c r="B902" s="4" t="s">
        <v>324</v>
      </c>
      <c r="C902" s="5" t="s">
        <v>297</v>
      </c>
      <c r="D902" s="23">
        <v>45017</v>
      </c>
      <c r="E902" s="24">
        <v>5167.8</v>
      </c>
      <c r="F902" s="5" t="s">
        <v>321</v>
      </c>
    </row>
    <row r="903" spans="1:6">
      <c r="A903" s="4">
        <f t="shared" si="13"/>
        <v>902</v>
      </c>
      <c r="B903" s="4" t="s">
        <v>326</v>
      </c>
      <c r="C903" s="5" t="s">
        <v>302</v>
      </c>
      <c r="D903" s="23">
        <v>45017</v>
      </c>
      <c r="E903" s="24">
        <v>95004.2</v>
      </c>
      <c r="F903" s="5" t="s">
        <v>321</v>
      </c>
    </row>
    <row r="904" spans="1:6">
      <c r="A904" s="4">
        <f t="shared" si="13"/>
        <v>903</v>
      </c>
      <c r="B904" s="4" t="s">
        <v>322</v>
      </c>
      <c r="C904" s="5" t="s">
        <v>299</v>
      </c>
      <c r="D904" s="23">
        <v>45017</v>
      </c>
      <c r="E904" s="24">
        <v>12120</v>
      </c>
      <c r="F904" s="5" t="s">
        <v>321</v>
      </c>
    </row>
    <row r="905" spans="1:6">
      <c r="A905" s="4">
        <f t="shared" si="13"/>
        <v>904</v>
      </c>
      <c r="B905" s="4" t="s">
        <v>323</v>
      </c>
      <c r="C905" s="5" t="s">
        <v>304</v>
      </c>
      <c r="D905" s="23">
        <v>44986</v>
      </c>
      <c r="E905" s="24">
        <v>33746.839999999997</v>
      </c>
      <c r="F905" s="5" t="s">
        <v>321</v>
      </c>
    </row>
    <row r="906" spans="1:6">
      <c r="A906" s="4">
        <f t="shared" si="13"/>
        <v>905</v>
      </c>
      <c r="B906" s="4" t="s">
        <v>323</v>
      </c>
      <c r="C906" s="5" t="s">
        <v>299</v>
      </c>
      <c r="D906" s="23">
        <v>44986</v>
      </c>
      <c r="E906" s="24">
        <v>73253.959999999992</v>
      </c>
      <c r="F906" s="5" t="s">
        <v>321</v>
      </c>
    </row>
    <row r="907" spans="1:6">
      <c r="A907" s="4">
        <f t="shared" ref="A907:A970" si="14">ROW()-1</f>
        <v>906</v>
      </c>
      <c r="B907" s="4" t="s">
        <v>323</v>
      </c>
      <c r="C907" s="5" t="s">
        <v>298</v>
      </c>
      <c r="D907" s="23">
        <v>44986</v>
      </c>
      <c r="E907" s="24">
        <v>24556.110000000004</v>
      </c>
      <c r="F907" s="5" t="s">
        <v>321</v>
      </c>
    </row>
    <row r="908" spans="1:6">
      <c r="A908" s="4">
        <f t="shared" si="14"/>
        <v>907</v>
      </c>
      <c r="B908" s="4" t="s">
        <v>323</v>
      </c>
      <c r="C908" s="5" t="s">
        <v>295</v>
      </c>
      <c r="D908" s="23">
        <v>44986</v>
      </c>
      <c r="E908" s="24">
        <v>3192</v>
      </c>
      <c r="F908" s="5" t="s">
        <v>321</v>
      </c>
    </row>
    <row r="909" spans="1:6">
      <c r="A909" s="4">
        <f t="shared" si="14"/>
        <v>908</v>
      </c>
      <c r="B909" s="4" t="s">
        <v>323</v>
      </c>
      <c r="C909" s="5" t="s">
        <v>296</v>
      </c>
      <c r="D909" s="23">
        <v>44986</v>
      </c>
      <c r="E909" s="24">
        <v>8712.9</v>
      </c>
      <c r="F909" s="5" t="s">
        <v>321</v>
      </c>
    </row>
    <row r="910" spans="1:6">
      <c r="A910" s="4">
        <f t="shared" si="14"/>
        <v>909</v>
      </c>
      <c r="B910" s="4" t="s">
        <v>323</v>
      </c>
      <c r="C910" s="5" t="s">
        <v>308</v>
      </c>
      <c r="D910" s="23">
        <v>44986</v>
      </c>
      <c r="E910" s="24">
        <v>19734.14</v>
      </c>
      <c r="F910" s="5" t="s">
        <v>321</v>
      </c>
    </row>
    <row r="911" spans="1:6">
      <c r="A911" s="4">
        <f t="shared" si="14"/>
        <v>910</v>
      </c>
      <c r="B911" s="4" t="s">
        <v>323</v>
      </c>
      <c r="C911" s="5" t="s">
        <v>300</v>
      </c>
      <c r="D911" s="23">
        <v>44986</v>
      </c>
      <c r="E911" s="24">
        <v>171312.14</v>
      </c>
      <c r="F911" s="5" t="s">
        <v>321</v>
      </c>
    </row>
    <row r="912" spans="1:6">
      <c r="A912" s="4">
        <f t="shared" si="14"/>
        <v>911</v>
      </c>
      <c r="B912" s="4" t="s">
        <v>323</v>
      </c>
      <c r="C912" s="5" t="s">
        <v>307</v>
      </c>
      <c r="D912" s="23">
        <v>44986</v>
      </c>
      <c r="E912" s="24">
        <v>125852</v>
      </c>
      <c r="F912" s="5" t="s">
        <v>321</v>
      </c>
    </row>
    <row r="913" spans="1:6">
      <c r="A913" s="4">
        <f t="shared" si="14"/>
        <v>912</v>
      </c>
      <c r="B913" s="4" t="s">
        <v>323</v>
      </c>
      <c r="C913" s="5" t="s">
        <v>310</v>
      </c>
      <c r="D913" s="23">
        <v>44986</v>
      </c>
      <c r="E913" s="24">
        <v>10398.200000000001</v>
      </c>
      <c r="F913" s="5" t="s">
        <v>321</v>
      </c>
    </row>
    <row r="914" spans="1:6">
      <c r="A914" s="4">
        <f t="shared" si="14"/>
        <v>913</v>
      </c>
      <c r="B914" s="4" t="s">
        <v>324</v>
      </c>
      <c r="C914" s="5" t="s">
        <v>304</v>
      </c>
      <c r="D914" s="23">
        <v>44986</v>
      </c>
      <c r="E914" s="24">
        <v>28409.45</v>
      </c>
      <c r="F914" s="5" t="s">
        <v>321</v>
      </c>
    </row>
    <row r="915" spans="1:6">
      <c r="A915" s="4">
        <f t="shared" si="14"/>
        <v>914</v>
      </c>
      <c r="B915" s="4" t="s">
        <v>324</v>
      </c>
      <c r="C915" s="5" t="s">
        <v>299</v>
      </c>
      <c r="D915" s="23">
        <v>44986</v>
      </c>
      <c r="E915" s="24">
        <v>8458.5</v>
      </c>
      <c r="F915" s="5" t="s">
        <v>321</v>
      </c>
    </row>
    <row r="916" spans="1:6">
      <c r="A916" s="4">
        <f t="shared" si="14"/>
        <v>915</v>
      </c>
      <c r="B916" s="4" t="s">
        <v>324</v>
      </c>
      <c r="C916" s="5" t="s">
        <v>298</v>
      </c>
      <c r="D916" s="23">
        <v>44986</v>
      </c>
      <c r="E916" s="24">
        <v>11938.36</v>
      </c>
      <c r="F916" s="5" t="s">
        <v>321</v>
      </c>
    </row>
    <row r="917" spans="1:6">
      <c r="A917" s="4">
        <f t="shared" si="14"/>
        <v>916</v>
      </c>
      <c r="B917" s="4" t="s">
        <v>324</v>
      </c>
      <c r="C917" s="5" t="s">
        <v>295</v>
      </c>
      <c r="D917" s="23">
        <v>44986</v>
      </c>
      <c r="E917" s="24">
        <v>24249.56</v>
      </c>
      <c r="F917" s="5" t="s">
        <v>321</v>
      </c>
    </row>
    <row r="918" spans="1:6">
      <c r="A918" s="4">
        <f t="shared" si="14"/>
        <v>917</v>
      </c>
      <c r="B918" s="4" t="s">
        <v>324</v>
      </c>
      <c r="C918" s="5" t="s">
        <v>296</v>
      </c>
      <c r="D918" s="23">
        <v>44986</v>
      </c>
      <c r="E918" s="24">
        <v>17778.32</v>
      </c>
      <c r="F918" s="5" t="s">
        <v>321</v>
      </c>
    </row>
    <row r="919" spans="1:6">
      <c r="A919" s="4">
        <f t="shared" si="14"/>
        <v>918</v>
      </c>
      <c r="B919" s="4" t="s">
        <v>324</v>
      </c>
      <c r="C919" s="5" t="s">
        <v>308</v>
      </c>
      <c r="D919" s="23">
        <v>44986</v>
      </c>
      <c r="E919" s="24">
        <v>86599.85</v>
      </c>
      <c r="F919" s="5" t="s">
        <v>321</v>
      </c>
    </row>
    <row r="920" spans="1:6">
      <c r="A920" s="4">
        <f t="shared" si="14"/>
        <v>919</v>
      </c>
      <c r="B920" s="4" t="s">
        <v>324</v>
      </c>
      <c r="C920" s="5" t="s">
        <v>300</v>
      </c>
      <c r="D920" s="23">
        <v>44986</v>
      </c>
      <c r="E920" s="24">
        <v>122415.48000000001</v>
      </c>
      <c r="F920" s="5" t="s">
        <v>321</v>
      </c>
    </row>
    <row r="921" spans="1:6">
      <c r="A921" s="4">
        <f t="shared" si="14"/>
        <v>920</v>
      </c>
      <c r="B921" s="4" t="s">
        <v>324</v>
      </c>
      <c r="C921" s="5" t="s">
        <v>307</v>
      </c>
      <c r="D921" s="23">
        <v>44986</v>
      </c>
      <c r="E921" s="24">
        <v>40076</v>
      </c>
      <c r="F921" s="5" t="s">
        <v>321</v>
      </c>
    </row>
    <row r="922" spans="1:6">
      <c r="A922" s="4">
        <f t="shared" si="14"/>
        <v>921</v>
      </c>
      <c r="B922" s="4" t="s">
        <v>324</v>
      </c>
      <c r="C922" s="5" t="s">
        <v>309</v>
      </c>
      <c r="D922" s="23">
        <v>44986</v>
      </c>
      <c r="E922" s="24">
        <v>20529.07</v>
      </c>
      <c r="F922" s="5" t="s">
        <v>321</v>
      </c>
    </row>
    <row r="923" spans="1:6">
      <c r="A923" s="4">
        <f t="shared" si="14"/>
        <v>922</v>
      </c>
      <c r="B923" s="4" t="s">
        <v>326</v>
      </c>
      <c r="C923" s="5" t="s">
        <v>302</v>
      </c>
      <c r="D923" s="23">
        <v>44986</v>
      </c>
      <c r="E923" s="24">
        <v>90652.4</v>
      </c>
      <c r="F923" s="5" t="s">
        <v>321</v>
      </c>
    </row>
    <row r="924" spans="1:6">
      <c r="A924" s="4">
        <f t="shared" si="14"/>
        <v>923</v>
      </c>
      <c r="B924" s="4" t="s">
        <v>322</v>
      </c>
      <c r="C924" s="5" t="s">
        <v>299</v>
      </c>
      <c r="D924" s="23">
        <v>44986</v>
      </c>
      <c r="E924" s="24">
        <v>8290</v>
      </c>
      <c r="F924" s="5" t="s">
        <v>321</v>
      </c>
    </row>
    <row r="925" spans="1:6">
      <c r="A925" s="4">
        <f t="shared" si="14"/>
        <v>924</v>
      </c>
      <c r="B925" s="4" t="s">
        <v>323</v>
      </c>
      <c r="C925" s="5" t="s">
        <v>304</v>
      </c>
      <c r="D925" s="23">
        <v>44958</v>
      </c>
      <c r="E925" s="24">
        <v>21776.42</v>
      </c>
      <c r="F925" s="5" t="s">
        <v>321</v>
      </c>
    </row>
    <row r="926" spans="1:6">
      <c r="A926" s="4">
        <f t="shared" si="14"/>
        <v>925</v>
      </c>
      <c r="B926" s="4" t="s">
        <v>323</v>
      </c>
      <c r="C926" s="5" t="s">
        <v>299</v>
      </c>
      <c r="D926" s="23">
        <v>44958</v>
      </c>
      <c r="E926" s="24">
        <v>72900.33</v>
      </c>
      <c r="F926" s="5" t="s">
        <v>321</v>
      </c>
    </row>
    <row r="927" spans="1:6">
      <c r="A927" s="4">
        <f t="shared" si="14"/>
        <v>926</v>
      </c>
      <c r="B927" s="4" t="s">
        <v>323</v>
      </c>
      <c r="C927" s="5" t="s">
        <v>298</v>
      </c>
      <c r="D927" s="23">
        <v>44958</v>
      </c>
      <c r="E927" s="24">
        <v>25083.56</v>
      </c>
      <c r="F927" s="5" t="s">
        <v>321</v>
      </c>
    </row>
    <row r="928" spans="1:6">
      <c r="A928" s="4">
        <f t="shared" si="14"/>
        <v>927</v>
      </c>
      <c r="B928" s="4" t="s">
        <v>323</v>
      </c>
      <c r="C928" s="5" t="s">
        <v>295</v>
      </c>
      <c r="D928" s="23">
        <v>44958</v>
      </c>
      <c r="E928" s="24">
        <v>10153.6</v>
      </c>
      <c r="F928" s="5" t="s">
        <v>321</v>
      </c>
    </row>
    <row r="929" spans="1:6">
      <c r="A929" s="4">
        <f t="shared" si="14"/>
        <v>928</v>
      </c>
      <c r="B929" s="4" t="s">
        <v>323</v>
      </c>
      <c r="C929" s="5" t="s">
        <v>296</v>
      </c>
      <c r="D929" s="23">
        <v>44958</v>
      </c>
      <c r="E929" s="24">
        <v>4062.3</v>
      </c>
      <c r="F929" s="5" t="s">
        <v>321</v>
      </c>
    </row>
    <row r="930" spans="1:6">
      <c r="A930" s="4">
        <f t="shared" si="14"/>
        <v>929</v>
      </c>
      <c r="B930" s="4" t="s">
        <v>323</v>
      </c>
      <c r="C930" s="5" t="s">
        <v>308</v>
      </c>
      <c r="D930" s="23">
        <v>44958</v>
      </c>
      <c r="E930" s="24">
        <v>9351.26</v>
      </c>
      <c r="F930" s="5" t="s">
        <v>321</v>
      </c>
    </row>
    <row r="931" spans="1:6">
      <c r="A931" s="4">
        <f t="shared" si="14"/>
        <v>930</v>
      </c>
      <c r="B931" s="4" t="s">
        <v>323</v>
      </c>
      <c r="C931" s="5" t="s">
        <v>300</v>
      </c>
      <c r="D931" s="23">
        <v>44958</v>
      </c>
      <c r="E931" s="24">
        <v>133366.54999999996</v>
      </c>
      <c r="F931" s="5" t="s">
        <v>321</v>
      </c>
    </row>
    <row r="932" spans="1:6">
      <c r="A932" s="4">
        <f t="shared" si="14"/>
        <v>931</v>
      </c>
      <c r="B932" s="4" t="s">
        <v>323</v>
      </c>
      <c r="C932" s="5" t="s">
        <v>307</v>
      </c>
      <c r="D932" s="23">
        <v>44958</v>
      </c>
      <c r="E932" s="24">
        <v>65100</v>
      </c>
      <c r="F932" s="5" t="s">
        <v>321</v>
      </c>
    </row>
    <row r="933" spans="1:6">
      <c r="A933" s="4">
        <f t="shared" si="14"/>
        <v>932</v>
      </c>
      <c r="B933" s="4" t="s">
        <v>323</v>
      </c>
      <c r="C933" s="5" t="s">
        <v>310</v>
      </c>
      <c r="D933" s="23">
        <v>44958</v>
      </c>
      <c r="E933" s="24">
        <v>21670.079999999998</v>
      </c>
      <c r="F933" s="5" t="s">
        <v>321</v>
      </c>
    </row>
    <row r="934" spans="1:6">
      <c r="A934" s="4">
        <f t="shared" si="14"/>
        <v>933</v>
      </c>
      <c r="B934" s="4" t="s">
        <v>324</v>
      </c>
      <c r="C934" s="5" t="s">
        <v>304</v>
      </c>
      <c r="D934" s="23">
        <v>44958</v>
      </c>
      <c r="E934" s="24">
        <v>10278.15</v>
      </c>
      <c r="F934" s="5" t="s">
        <v>321</v>
      </c>
    </row>
    <row r="935" spans="1:6">
      <c r="A935" s="4">
        <f t="shared" si="14"/>
        <v>934</v>
      </c>
      <c r="B935" s="4" t="s">
        <v>324</v>
      </c>
      <c r="C935" s="5" t="s">
        <v>299</v>
      </c>
      <c r="D935" s="23">
        <v>44958</v>
      </c>
      <c r="E935" s="24">
        <v>6364</v>
      </c>
      <c r="F935" s="5" t="s">
        <v>321</v>
      </c>
    </row>
    <row r="936" spans="1:6">
      <c r="A936" s="4">
        <f t="shared" si="14"/>
        <v>935</v>
      </c>
      <c r="B936" s="4" t="s">
        <v>324</v>
      </c>
      <c r="C936" s="5" t="s">
        <v>298</v>
      </c>
      <c r="D936" s="23">
        <v>44958</v>
      </c>
      <c r="E936" s="24">
        <v>3668.92</v>
      </c>
      <c r="F936" s="5" t="s">
        <v>321</v>
      </c>
    </row>
    <row r="937" spans="1:6">
      <c r="A937" s="4">
        <f t="shared" si="14"/>
        <v>936</v>
      </c>
      <c r="B937" s="4" t="s">
        <v>324</v>
      </c>
      <c r="C937" s="5" t="s">
        <v>295</v>
      </c>
      <c r="D937" s="23">
        <v>44958</v>
      </c>
      <c r="E937" s="24">
        <v>23809.5</v>
      </c>
      <c r="F937" s="5" t="s">
        <v>321</v>
      </c>
    </row>
    <row r="938" spans="1:6">
      <c r="A938" s="4">
        <f t="shared" si="14"/>
        <v>937</v>
      </c>
      <c r="B938" s="4" t="s">
        <v>324</v>
      </c>
      <c r="C938" s="5" t="s">
        <v>296</v>
      </c>
      <c r="D938" s="23">
        <v>44958</v>
      </c>
      <c r="E938" s="24">
        <v>6146.92</v>
      </c>
      <c r="F938" s="5" t="s">
        <v>321</v>
      </c>
    </row>
    <row r="939" spans="1:6">
      <c r="A939" s="4">
        <f t="shared" si="14"/>
        <v>938</v>
      </c>
      <c r="B939" s="4" t="s">
        <v>324</v>
      </c>
      <c r="C939" s="5" t="s">
        <v>308</v>
      </c>
      <c r="D939" s="23">
        <v>44958</v>
      </c>
      <c r="E939" s="24">
        <v>66431.100000000006</v>
      </c>
      <c r="F939" s="5" t="s">
        <v>321</v>
      </c>
    </row>
    <row r="940" spans="1:6">
      <c r="A940" s="4">
        <f t="shared" si="14"/>
        <v>939</v>
      </c>
      <c r="B940" s="4" t="s">
        <v>324</v>
      </c>
      <c r="C940" s="5" t="s">
        <v>300</v>
      </c>
      <c r="D940" s="23">
        <v>44958</v>
      </c>
      <c r="E940" s="24">
        <v>135712.27000000002</v>
      </c>
      <c r="F940" s="5" t="s">
        <v>321</v>
      </c>
    </row>
    <row r="941" spans="1:6">
      <c r="A941" s="4">
        <f t="shared" si="14"/>
        <v>940</v>
      </c>
      <c r="B941" s="4" t="s">
        <v>324</v>
      </c>
      <c r="C941" s="5" t="s">
        <v>307</v>
      </c>
      <c r="D941" s="23">
        <v>44958</v>
      </c>
      <c r="E941" s="24">
        <v>25036</v>
      </c>
      <c r="F941" s="5" t="s">
        <v>321</v>
      </c>
    </row>
    <row r="942" spans="1:6">
      <c r="A942" s="4">
        <f t="shared" si="14"/>
        <v>941</v>
      </c>
      <c r="B942" s="4" t="s">
        <v>324</v>
      </c>
      <c r="C942" s="5" t="s">
        <v>310</v>
      </c>
      <c r="D942" s="23">
        <v>44958</v>
      </c>
      <c r="E942" s="24">
        <v>5600</v>
      </c>
      <c r="F942" s="5" t="s">
        <v>321</v>
      </c>
    </row>
    <row r="943" spans="1:6">
      <c r="A943" s="4">
        <f t="shared" si="14"/>
        <v>942</v>
      </c>
      <c r="B943" s="4" t="s">
        <v>326</v>
      </c>
      <c r="C943" s="5" t="s">
        <v>302</v>
      </c>
      <c r="D943" s="23">
        <v>44958</v>
      </c>
      <c r="E943" s="24">
        <v>89102.6</v>
      </c>
      <c r="F943" s="5" t="s">
        <v>321</v>
      </c>
    </row>
    <row r="944" spans="1:6">
      <c r="A944" s="4">
        <f t="shared" si="14"/>
        <v>943</v>
      </c>
      <c r="B944" s="4" t="s">
        <v>326</v>
      </c>
      <c r="C944" s="5" t="s">
        <v>298</v>
      </c>
      <c r="D944" s="23">
        <v>44958</v>
      </c>
      <c r="E944" s="24">
        <v>78512.600000000006</v>
      </c>
      <c r="F944" s="5" t="s">
        <v>321</v>
      </c>
    </row>
    <row r="945" spans="1:6">
      <c r="A945" s="4">
        <f t="shared" si="14"/>
        <v>944</v>
      </c>
      <c r="B945" s="4" t="s">
        <v>322</v>
      </c>
      <c r="C945" s="5" t="s">
        <v>299</v>
      </c>
      <c r="D945" s="23">
        <v>44958</v>
      </c>
      <c r="E945" s="24">
        <v>10518</v>
      </c>
      <c r="F945" s="5" t="s">
        <v>321</v>
      </c>
    </row>
    <row r="946" spans="1:6">
      <c r="A946" s="4">
        <f t="shared" si="14"/>
        <v>945</v>
      </c>
      <c r="B946" s="4" t="s">
        <v>323</v>
      </c>
      <c r="C946" s="5" t="s">
        <v>304</v>
      </c>
      <c r="D946" s="23">
        <v>44927</v>
      </c>
      <c r="E946" s="24">
        <v>21909.490000000005</v>
      </c>
      <c r="F946" s="5" t="s">
        <v>321</v>
      </c>
    </row>
    <row r="947" spans="1:6">
      <c r="A947" s="4">
        <f t="shared" si="14"/>
        <v>946</v>
      </c>
      <c r="B947" s="4" t="s">
        <v>323</v>
      </c>
      <c r="C947" s="5" t="s">
        <v>299</v>
      </c>
      <c r="D947" s="23">
        <v>44927</v>
      </c>
      <c r="E947" s="24">
        <v>62819.67</v>
      </c>
      <c r="F947" s="5" t="s">
        <v>321</v>
      </c>
    </row>
    <row r="948" spans="1:6">
      <c r="A948" s="4">
        <f t="shared" si="14"/>
        <v>947</v>
      </c>
      <c r="B948" s="4" t="s">
        <v>323</v>
      </c>
      <c r="C948" s="5" t="s">
        <v>298</v>
      </c>
      <c r="D948" s="23">
        <v>44927</v>
      </c>
      <c r="E948" s="24">
        <v>36540.759999999987</v>
      </c>
      <c r="F948" s="5" t="s">
        <v>321</v>
      </c>
    </row>
    <row r="949" spans="1:6">
      <c r="A949" s="4">
        <f t="shared" si="14"/>
        <v>948</v>
      </c>
      <c r="B949" s="4" t="s">
        <v>323</v>
      </c>
      <c r="C949" s="5" t="s">
        <v>295</v>
      </c>
      <c r="D949" s="23">
        <v>44927</v>
      </c>
      <c r="E949" s="24">
        <v>6079.4</v>
      </c>
      <c r="F949" s="5" t="s">
        <v>321</v>
      </c>
    </row>
    <row r="950" spans="1:6">
      <c r="A950" s="4">
        <f t="shared" si="14"/>
        <v>949</v>
      </c>
      <c r="B950" s="4" t="s">
        <v>323</v>
      </c>
      <c r="C950" s="5" t="s">
        <v>308</v>
      </c>
      <c r="D950" s="23">
        <v>44927</v>
      </c>
      <c r="E950" s="24">
        <v>7590</v>
      </c>
      <c r="F950" s="5" t="s">
        <v>321</v>
      </c>
    </row>
    <row r="951" spans="1:6">
      <c r="A951" s="4">
        <f t="shared" si="14"/>
        <v>950</v>
      </c>
      <c r="B951" s="4" t="s">
        <v>323</v>
      </c>
      <c r="C951" s="5" t="s">
        <v>300</v>
      </c>
      <c r="D951" s="23">
        <v>44927</v>
      </c>
      <c r="E951" s="24">
        <v>120297.47000000006</v>
      </c>
      <c r="F951" s="5" t="s">
        <v>321</v>
      </c>
    </row>
    <row r="952" spans="1:6">
      <c r="A952" s="4">
        <f t="shared" si="14"/>
        <v>951</v>
      </c>
      <c r="B952" s="4" t="s">
        <v>323</v>
      </c>
      <c r="C952" s="5" t="s">
        <v>307</v>
      </c>
      <c r="D952" s="23">
        <v>44927</v>
      </c>
      <c r="E952" s="24">
        <v>44174</v>
      </c>
      <c r="F952" s="5" t="s">
        <v>321</v>
      </c>
    </row>
    <row r="953" spans="1:6">
      <c r="A953" s="4">
        <f t="shared" si="14"/>
        <v>952</v>
      </c>
      <c r="B953" s="4" t="s">
        <v>323</v>
      </c>
      <c r="C953" s="5" t="s">
        <v>310</v>
      </c>
      <c r="D953" s="23">
        <v>44927</v>
      </c>
      <c r="E953" s="24">
        <v>15621.41</v>
      </c>
      <c r="F953" s="5" t="s">
        <v>321</v>
      </c>
    </row>
    <row r="954" spans="1:6">
      <c r="A954" s="4">
        <f t="shared" si="14"/>
        <v>953</v>
      </c>
      <c r="B954" s="4" t="s">
        <v>323</v>
      </c>
      <c r="C954" s="5" t="s">
        <v>311</v>
      </c>
      <c r="D954" s="23">
        <v>44927</v>
      </c>
      <c r="E954" s="24">
        <v>5610</v>
      </c>
      <c r="F954" s="5" t="s">
        <v>321</v>
      </c>
    </row>
    <row r="955" spans="1:6">
      <c r="A955" s="4">
        <f t="shared" si="14"/>
        <v>954</v>
      </c>
      <c r="B955" s="4" t="s">
        <v>324</v>
      </c>
      <c r="C955" s="5" t="s">
        <v>304</v>
      </c>
      <c r="D955" s="23">
        <v>44927</v>
      </c>
      <c r="E955" s="24">
        <v>20725</v>
      </c>
      <c r="F955" s="5" t="s">
        <v>321</v>
      </c>
    </row>
    <row r="956" spans="1:6">
      <c r="A956" s="4">
        <f t="shared" si="14"/>
        <v>955</v>
      </c>
      <c r="B956" s="4" t="s">
        <v>324</v>
      </c>
      <c r="C956" s="5" t="s">
        <v>299</v>
      </c>
      <c r="D956" s="23">
        <v>44927</v>
      </c>
      <c r="E956" s="24">
        <v>7592</v>
      </c>
      <c r="F956" s="5" t="s">
        <v>321</v>
      </c>
    </row>
    <row r="957" spans="1:6">
      <c r="A957" s="4">
        <f t="shared" si="14"/>
        <v>956</v>
      </c>
      <c r="B957" s="4" t="s">
        <v>324</v>
      </c>
      <c r="C957" s="5" t="s">
        <v>298</v>
      </c>
      <c r="D957" s="23">
        <v>44927</v>
      </c>
      <c r="E957" s="24">
        <v>10731.8</v>
      </c>
      <c r="F957" s="5" t="s">
        <v>321</v>
      </c>
    </row>
    <row r="958" spans="1:6">
      <c r="A958" s="4">
        <f t="shared" si="14"/>
        <v>957</v>
      </c>
      <c r="B958" s="4" t="s">
        <v>324</v>
      </c>
      <c r="C958" s="5" t="s">
        <v>295</v>
      </c>
      <c r="D958" s="23">
        <v>44927</v>
      </c>
      <c r="E958" s="24">
        <v>4636</v>
      </c>
      <c r="F958" s="5" t="s">
        <v>321</v>
      </c>
    </row>
    <row r="959" spans="1:6">
      <c r="A959" s="4">
        <f t="shared" si="14"/>
        <v>958</v>
      </c>
      <c r="B959" s="4" t="s">
        <v>324</v>
      </c>
      <c r="C959" s="5" t="s">
        <v>296</v>
      </c>
      <c r="D959" s="23">
        <v>44927</v>
      </c>
      <c r="E959" s="24">
        <v>17832.5</v>
      </c>
      <c r="F959" s="5" t="s">
        <v>321</v>
      </c>
    </row>
    <row r="960" spans="1:6">
      <c r="A960" s="4">
        <f t="shared" si="14"/>
        <v>959</v>
      </c>
      <c r="B960" s="4" t="s">
        <v>324</v>
      </c>
      <c r="C960" s="5" t="s">
        <v>308</v>
      </c>
      <c r="D960" s="23">
        <v>44927</v>
      </c>
      <c r="E960" s="24">
        <v>79557.590000000011</v>
      </c>
      <c r="F960" s="5" t="s">
        <v>321</v>
      </c>
    </row>
    <row r="961" spans="1:6">
      <c r="A961" s="4">
        <f t="shared" si="14"/>
        <v>960</v>
      </c>
      <c r="B961" s="4" t="s">
        <v>324</v>
      </c>
      <c r="C961" s="5" t="s">
        <v>300</v>
      </c>
      <c r="D961" s="23">
        <v>44927</v>
      </c>
      <c r="E961" s="24">
        <v>87024.47</v>
      </c>
      <c r="F961" s="5" t="s">
        <v>321</v>
      </c>
    </row>
    <row r="962" spans="1:6">
      <c r="A962" s="4">
        <f t="shared" si="14"/>
        <v>961</v>
      </c>
      <c r="B962" s="4" t="s">
        <v>324</v>
      </c>
      <c r="C962" s="5" t="s">
        <v>307</v>
      </c>
      <c r="D962" s="23">
        <v>44927</v>
      </c>
      <c r="E962" s="24">
        <v>18136</v>
      </c>
      <c r="F962" s="5" t="s">
        <v>321</v>
      </c>
    </row>
    <row r="963" spans="1:6">
      <c r="A963" s="4">
        <f t="shared" si="14"/>
        <v>962</v>
      </c>
      <c r="B963" s="4" t="s">
        <v>324</v>
      </c>
      <c r="C963" s="5" t="s">
        <v>310</v>
      </c>
      <c r="D963" s="23">
        <v>44927</v>
      </c>
      <c r="E963" s="24">
        <v>1416.09</v>
      </c>
      <c r="F963" s="5" t="s">
        <v>321</v>
      </c>
    </row>
    <row r="964" spans="1:6">
      <c r="A964" s="4">
        <f t="shared" si="14"/>
        <v>963</v>
      </c>
      <c r="B964" s="4" t="s">
        <v>326</v>
      </c>
      <c r="C964" s="5" t="s">
        <v>302</v>
      </c>
      <c r="D964" s="23">
        <v>44927</v>
      </c>
      <c r="E964" s="24">
        <v>139722.20000000001</v>
      </c>
      <c r="F964" s="5" t="s">
        <v>321</v>
      </c>
    </row>
    <row r="965" spans="1:6">
      <c r="A965" s="4">
        <f t="shared" si="14"/>
        <v>964</v>
      </c>
      <c r="B965" s="4" t="s">
        <v>322</v>
      </c>
      <c r="C965" s="5" t="s">
        <v>299</v>
      </c>
      <c r="D965" s="23">
        <v>44927</v>
      </c>
      <c r="E965" s="24">
        <v>12816</v>
      </c>
      <c r="F965" s="5" t="s">
        <v>321</v>
      </c>
    </row>
    <row r="966" spans="1:6">
      <c r="A966" s="4">
        <f t="shared" si="14"/>
        <v>965</v>
      </c>
      <c r="B966" s="4" t="s">
        <v>329</v>
      </c>
      <c r="C966" s="5" t="s">
        <v>296</v>
      </c>
      <c r="D966" s="26">
        <v>44896</v>
      </c>
      <c r="E966" s="24">
        <v>646</v>
      </c>
      <c r="F966" s="5" t="s">
        <v>321</v>
      </c>
    </row>
    <row r="967" spans="1:6">
      <c r="A967" s="4">
        <f t="shared" si="14"/>
        <v>966</v>
      </c>
      <c r="B967" s="4" t="s">
        <v>323</v>
      </c>
      <c r="C967" s="5" t="s">
        <v>304</v>
      </c>
      <c r="D967" s="23">
        <v>44896</v>
      </c>
      <c r="E967" s="24">
        <v>48984.76999999999</v>
      </c>
      <c r="F967" s="5" t="s">
        <v>321</v>
      </c>
    </row>
    <row r="968" spans="1:6">
      <c r="A968" s="4">
        <f t="shared" si="14"/>
        <v>967</v>
      </c>
      <c r="B968" s="4" t="s">
        <v>323</v>
      </c>
      <c r="C968" s="5" t="s">
        <v>299</v>
      </c>
      <c r="D968" s="23">
        <v>44896</v>
      </c>
      <c r="E968" s="24">
        <v>104892.93999999999</v>
      </c>
      <c r="F968" s="5" t="s">
        <v>321</v>
      </c>
    </row>
    <row r="969" spans="1:6">
      <c r="A969" s="4">
        <f t="shared" si="14"/>
        <v>968</v>
      </c>
      <c r="B969" s="4" t="s">
        <v>323</v>
      </c>
      <c r="C969" s="5" t="s">
        <v>298</v>
      </c>
      <c r="D969" s="23">
        <v>44896</v>
      </c>
      <c r="E969" s="24">
        <v>11372.7</v>
      </c>
      <c r="F969" s="5" t="s">
        <v>321</v>
      </c>
    </row>
    <row r="970" spans="1:6">
      <c r="A970" s="4">
        <f t="shared" si="14"/>
        <v>969</v>
      </c>
      <c r="B970" s="4" t="s">
        <v>323</v>
      </c>
      <c r="C970" s="5" t="s">
        <v>295</v>
      </c>
      <c r="D970" s="23">
        <v>44896</v>
      </c>
      <c r="E970" s="24">
        <v>9992.5</v>
      </c>
      <c r="F970" s="5" t="s">
        <v>321</v>
      </c>
    </row>
    <row r="971" spans="1:6">
      <c r="A971" s="4">
        <f t="shared" ref="A971:A1034" si="15">ROW()-1</f>
        <v>970</v>
      </c>
      <c r="B971" s="4" t="s">
        <v>323</v>
      </c>
      <c r="C971" s="5" t="s">
        <v>308</v>
      </c>
      <c r="D971" s="23">
        <v>44896</v>
      </c>
      <c r="E971" s="24">
        <v>13647.76</v>
      </c>
      <c r="F971" s="5" t="s">
        <v>321</v>
      </c>
    </row>
    <row r="972" spans="1:6">
      <c r="A972" s="4">
        <f t="shared" si="15"/>
        <v>971</v>
      </c>
      <c r="B972" s="4" t="s">
        <v>323</v>
      </c>
      <c r="C972" s="5" t="s">
        <v>300</v>
      </c>
      <c r="D972" s="23">
        <v>44896</v>
      </c>
      <c r="E972" s="24">
        <v>177250.34999999998</v>
      </c>
      <c r="F972" s="5" t="s">
        <v>321</v>
      </c>
    </row>
    <row r="973" spans="1:6">
      <c r="A973" s="4">
        <f t="shared" si="15"/>
        <v>972</v>
      </c>
      <c r="B973" s="4" t="s">
        <v>323</v>
      </c>
      <c r="C973" s="5" t="s">
        <v>307</v>
      </c>
      <c r="D973" s="23">
        <v>44896</v>
      </c>
      <c r="E973" s="24">
        <v>54393</v>
      </c>
      <c r="F973" s="5" t="s">
        <v>321</v>
      </c>
    </row>
    <row r="974" spans="1:6">
      <c r="A974" s="4">
        <f t="shared" si="15"/>
        <v>973</v>
      </c>
      <c r="B974" s="4" t="s">
        <v>323</v>
      </c>
      <c r="C974" s="5" t="s">
        <v>310</v>
      </c>
      <c r="D974" s="23">
        <v>44896</v>
      </c>
      <c r="E974" s="24">
        <v>12274.2</v>
      </c>
      <c r="F974" s="5" t="s">
        <v>321</v>
      </c>
    </row>
    <row r="975" spans="1:6">
      <c r="A975" s="4">
        <f t="shared" si="15"/>
        <v>974</v>
      </c>
      <c r="B975" s="4" t="s">
        <v>323</v>
      </c>
      <c r="C975" s="5" t="s">
        <v>311</v>
      </c>
      <c r="D975" s="23">
        <v>44896</v>
      </c>
      <c r="E975" s="24">
        <v>2040</v>
      </c>
      <c r="F975" s="5" t="s">
        <v>321</v>
      </c>
    </row>
    <row r="976" spans="1:6">
      <c r="A976" s="4">
        <f t="shared" si="15"/>
        <v>975</v>
      </c>
      <c r="B976" s="4" t="s">
        <v>324</v>
      </c>
      <c r="C976" s="5" t="s">
        <v>304</v>
      </c>
      <c r="D976" s="23">
        <v>44896</v>
      </c>
      <c r="E976" s="24">
        <v>18760.66</v>
      </c>
      <c r="F976" s="5" t="s">
        <v>321</v>
      </c>
    </row>
    <row r="977" spans="1:6">
      <c r="A977" s="4">
        <f t="shared" si="15"/>
        <v>976</v>
      </c>
      <c r="B977" s="4" t="s">
        <v>324</v>
      </c>
      <c r="C977" s="5" t="s">
        <v>299</v>
      </c>
      <c r="D977" s="23">
        <v>44896</v>
      </c>
      <c r="E977" s="24">
        <v>7685</v>
      </c>
      <c r="F977" s="5" t="s">
        <v>321</v>
      </c>
    </row>
    <row r="978" spans="1:6">
      <c r="A978" s="4">
        <f t="shared" si="15"/>
        <v>977</v>
      </c>
      <c r="B978" s="4" t="s">
        <v>324</v>
      </c>
      <c r="C978" s="5" t="s">
        <v>298</v>
      </c>
      <c r="D978" s="23">
        <v>44896</v>
      </c>
      <c r="E978" s="24">
        <v>357</v>
      </c>
      <c r="F978" s="5" t="s">
        <v>321</v>
      </c>
    </row>
    <row r="979" spans="1:6">
      <c r="A979" s="4">
        <f t="shared" si="15"/>
        <v>978</v>
      </c>
      <c r="B979" s="4" t="s">
        <v>324</v>
      </c>
      <c r="C979" s="5" t="s">
        <v>295</v>
      </c>
      <c r="D979" s="23">
        <v>44896</v>
      </c>
      <c r="E979" s="24">
        <v>13813.12</v>
      </c>
      <c r="F979" s="5" t="s">
        <v>321</v>
      </c>
    </row>
    <row r="980" spans="1:6">
      <c r="A980" s="4">
        <f t="shared" si="15"/>
        <v>979</v>
      </c>
      <c r="B980" s="4" t="s">
        <v>324</v>
      </c>
      <c r="C980" s="5" t="s">
        <v>296</v>
      </c>
      <c r="D980" s="23">
        <v>44896</v>
      </c>
      <c r="E980" s="24">
        <v>9250.24</v>
      </c>
      <c r="F980" s="5" t="s">
        <v>321</v>
      </c>
    </row>
    <row r="981" spans="1:6">
      <c r="A981" s="4">
        <f t="shared" si="15"/>
        <v>980</v>
      </c>
      <c r="B981" s="4" t="s">
        <v>324</v>
      </c>
      <c r="C981" s="5" t="s">
        <v>308</v>
      </c>
      <c r="D981" s="23">
        <v>44896</v>
      </c>
      <c r="E981" s="24">
        <v>79416.160000000003</v>
      </c>
      <c r="F981" s="5" t="s">
        <v>321</v>
      </c>
    </row>
    <row r="982" spans="1:6">
      <c r="A982" s="4">
        <f t="shared" si="15"/>
        <v>981</v>
      </c>
      <c r="B982" s="4" t="s">
        <v>324</v>
      </c>
      <c r="C982" s="5" t="s">
        <v>300</v>
      </c>
      <c r="D982" s="23">
        <v>44896</v>
      </c>
      <c r="E982" s="24">
        <v>105978.43</v>
      </c>
      <c r="F982" s="5" t="s">
        <v>321</v>
      </c>
    </row>
    <row r="983" spans="1:6">
      <c r="A983" s="4">
        <f t="shared" si="15"/>
        <v>982</v>
      </c>
      <c r="B983" s="4" t="s">
        <v>324</v>
      </c>
      <c r="C983" s="5" t="s">
        <v>307</v>
      </c>
      <c r="D983" s="23">
        <v>44896</v>
      </c>
      <c r="E983" s="24">
        <v>33760</v>
      </c>
      <c r="F983" s="5" t="s">
        <v>321</v>
      </c>
    </row>
    <row r="984" spans="1:6">
      <c r="A984" s="4">
        <f t="shared" si="15"/>
        <v>983</v>
      </c>
      <c r="B984" s="4" t="s">
        <v>324</v>
      </c>
      <c r="C984" s="5" t="s">
        <v>310</v>
      </c>
      <c r="D984" s="23">
        <v>44896</v>
      </c>
      <c r="E984" s="24">
        <v>2400</v>
      </c>
      <c r="F984" s="5" t="s">
        <v>321</v>
      </c>
    </row>
    <row r="985" spans="1:6">
      <c r="A985" s="4">
        <f t="shared" si="15"/>
        <v>984</v>
      </c>
      <c r="B985" s="4" t="s">
        <v>326</v>
      </c>
      <c r="C985" s="5" t="s">
        <v>302</v>
      </c>
      <c r="D985" s="23">
        <v>44896</v>
      </c>
      <c r="E985" s="24">
        <v>113999</v>
      </c>
      <c r="F985" s="5" t="s">
        <v>321</v>
      </c>
    </row>
    <row r="986" spans="1:6">
      <c r="A986" s="4">
        <f t="shared" si="15"/>
        <v>985</v>
      </c>
      <c r="B986" s="4" t="s">
        <v>322</v>
      </c>
      <c r="C986" s="5" t="s">
        <v>299</v>
      </c>
      <c r="D986" s="23">
        <v>44896</v>
      </c>
      <c r="E986" s="24">
        <v>10726</v>
      </c>
      <c r="F986" s="5" t="s">
        <v>321</v>
      </c>
    </row>
    <row r="987" spans="1:6">
      <c r="A987" s="4">
        <f t="shared" si="15"/>
        <v>986</v>
      </c>
      <c r="B987" s="4" t="s">
        <v>323</v>
      </c>
      <c r="C987" s="5" t="s">
        <v>304</v>
      </c>
      <c r="D987" s="23">
        <v>44866</v>
      </c>
      <c r="E987" s="24">
        <v>57966.109999999986</v>
      </c>
      <c r="F987" s="5" t="s">
        <v>321</v>
      </c>
    </row>
    <row r="988" spans="1:6">
      <c r="A988" s="4">
        <f t="shared" si="15"/>
        <v>987</v>
      </c>
      <c r="B988" s="4" t="s">
        <v>323</v>
      </c>
      <c r="C988" s="5" t="s">
        <v>299</v>
      </c>
      <c r="D988" s="23">
        <v>44866</v>
      </c>
      <c r="E988" s="24">
        <v>63132.869999999995</v>
      </c>
      <c r="F988" s="5" t="s">
        <v>321</v>
      </c>
    </row>
    <row r="989" spans="1:6">
      <c r="A989" s="4">
        <f t="shared" si="15"/>
        <v>988</v>
      </c>
      <c r="B989" s="4" t="s">
        <v>323</v>
      </c>
      <c r="C989" s="5" t="s">
        <v>298</v>
      </c>
      <c r="D989" s="23">
        <v>44866</v>
      </c>
      <c r="E989" s="24">
        <v>59896.83</v>
      </c>
      <c r="F989" s="5" t="s">
        <v>321</v>
      </c>
    </row>
    <row r="990" spans="1:6">
      <c r="A990" s="4">
        <f t="shared" si="15"/>
        <v>989</v>
      </c>
      <c r="B990" s="4" t="s">
        <v>323</v>
      </c>
      <c r="C990" s="5" t="s">
        <v>295</v>
      </c>
      <c r="D990" s="23">
        <v>44866</v>
      </c>
      <c r="E990" s="24">
        <v>6973.5</v>
      </c>
      <c r="F990" s="5" t="s">
        <v>321</v>
      </c>
    </row>
    <row r="991" spans="1:6">
      <c r="A991" s="4">
        <f t="shared" si="15"/>
        <v>990</v>
      </c>
      <c r="B991" s="4" t="s">
        <v>323</v>
      </c>
      <c r="C991" s="5" t="s">
        <v>308</v>
      </c>
      <c r="D991" s="23">
        <v>44866</v>
      </c>
      <c r="E991" s="24">
        <v>5274</v>
      </c>
      <c r="F991" s="5" t="s">
        <v>321</v>
      </c>
    </row>
    <row r="992" spans="1:6">
      <c r="A992" s="4">
        <f t="shared" si="15"/>
        <v>991</v>
      </c>
      <c r="B992" s="4" t="s">
        <v>323</v>
      </c>
      <c r="C992" s="5" t="s">
        <v>300</v>
      </c>
      <c r="D992" s="23">
        <v>44866</v>
      </c>
      <c r="E992" s="24">
        <v>195072.56999999992</v>
      </c>
      <c r="F992" s="5" t="s">
        <v>321</v>
      </c>
    </row>
    <row r="993" spans="1:6">
      <c r="A993" s="4">
        <f t="shared" si="15"/>
        <v>992</v>
      </c>
      <c r="B993" s="4" t="s">
        <v>323</v>
      </c>
      <c r="C993" s="5" t="s">
        <v>307</v>
      </c>
      <c r="D993" s="23">
        <v>44866</v>
      </c>
      <c r="E993" s="24">
        <v>99631.3</v>
      </c>
      <c r="F993" s="5" t="s">
        <v>321</v>
      </c>
    </row>
    <row r="994" spans="1:6">
      <c r="A994" s="4">
        <f t="shared" si="15"/>
        <v>993</v>
      </c>
      <c r="B994" s="4" t="s">
        <v>323</v>
      </c>
      <c r="C994" s="5" t="s">
        <v>310</v>
      </c>
      <c r="D994" s="23">
        <v>44866</v>
      </c>
      <c r="E994" s="24">
        <v>26828.200000000004</v>
      </c>
      <c r="F994" s="5" t="s">
        <v>321</v>
      </c>
    </row>
    <row r="995" spans="1:6">
      <c r="A995" s="4">
        <f t="shared" si="15"/>
        <v>994</v>
      </c>
      <c r="B995" s="4" t="s">
        <v>324</v>
      </c>
      <c r="C995" s="5" t="s">
        <v>304</v>
      </c>
      <c r="D995" s="23">
        <v>44866</v>
      </c>
      <c r="E995" s="24">
        <v>18812.300000000003</v>
      </c>
      <c r="F995" s="5" t="s">
        <v>321</v>
      </c>
    </row>
    <row r="996" spans="1:6">
      <c r="A996" s="4">
        <f t="shared" si="15"/>
        <v>995</v>
      </c>
      <c r="B996" s="4" t="s">
        <v>324</v>
      </c>
      <c r="C996" s="5" t="s">
        <v>299</v>
      </c>
      <c r="D996" s="23">
        <v>44866</v>
      </c>
      <c r="E996" s="24">
        <v>33614.089999999997</v>
      </c>
      <c r="F996" s="5" t="s">
        <v>321</v>
      </c>
    </row>
    <row r="997" spans="1:6">
      <c r="A997" s="4">
        <f t="shared" si="15"/>
        <v>996</v>
      </c>
      <c r="B997" s="4" t="s">
        <v>324</v>
      </c>
      <c r="C997" s="5" t="s">
        <v>298</v>
      </c>
      <c r="D997" s="23">
        <v>44866</v>
      </c>
      <c r="E997" s="24">
        <v>6148.5</v>
      </c>
      <c r="F997" s="5" t="s">
        <v>321</v>
      </c>
    </row>
    <row r="998" spans="1:6">
      <c r="A998" s="4">
        <f t="shared" si="15"/>
        <v>997</v>
      </c>
      <c r="B998" s="4" t="s">
        <v>324</v>
      </c>
      <c r="C998" s="5" t="s">
        <v>295</v>
      </c>
      <c r="D998" s="23">
        <v>44866</v>
      </c>
      <c r="E998" s="24">
        <v>15760</v>
      </c>
      <c r="F998" s="5" t="s">
        <v>321</v>
      </c>
    </row>
    <row r="999" spans="1:6">
      <c r="A999" s="4">
        <f t="shared" si="15"/>
        <v>998</v>
      </c>
      <c r="B999" s="4" t="s">
        <v>324</v>
      </c>
      <c r="C999" s="5" t="s">
        <v>296</v>
      </c>
      <c r="D999" s="23">
        <v>44866</v>
      </c>
      <c r="E999" s="24">
        <v>3032.12</v>
      </c>
      <c r="F999" s="5" t="s">
        <v>321</v>
      </c>
    </row>
    <row r="1000" spans="1:6">
      <c r="A1000" s="4">
        <f t="shared" si="15"/>
        <v>999</v>
      </c>
      <c r="B1000" s="4" t="s">
        <v>324</v>
      </c>
      <c r="C1000" s="5" t="s">
        <v>308</v>
      </c>
      <c r="D1000" s="23">
        <v>44866</v>
      </c>
      <c r="E1000" s="24">
        <v>33303.74</v>
      </c>
      <c r="F1000" s="5" t="s">
        <v>321</v>
      </c>
    </row>
    <row r="1001" spans="1:6">
      <c r="A1001" s="4">
        <f t="shared" si="15"/>
        <v>1000</v>
      </c>
      <c r="B1001" s="4" t="s">
        <v>324</v>
      </c>
      <c r="C1001" s="5" t="s">
        <v>300</v>
      </c>
      <c r="D1001" s="23">
        <v>44866</v>
      </c>
      <c r="E1001" s="24">
        <v>81538.2</v>
      </c>
      <c r="F1001" s="5" t="s">
        <v>321</v>
      </c>
    </row>
    <row r="1002" spans="1:6">
      <c r="A1002" s="4">
        <f t="shared" si="15"/>
        <v>1001</v>
      </c>
      <c r="B1002" s="4" t="s">
        <v>324</v>
      </c>
      <c r="C1002" s="5" t="s">
        <v>307</v>
      </c>
      <c r="D1002" s="23">
        <v>44866</v>
      </c>
      <c r="E1002" s="24">
        <v>25904</v>
      </c>
      <c r="F1002" s="5" t="s">
        <v>321</v>
      </c>
    </row>
    <row r="1003" spans="1:6">
      <c r="A1003" s="4">
        <f t="shared" si="15"/>
        <v>1002</v>
      </c>
      <c r="B1003" s="4" t="s">
        <v>324</v>
      </c>
      <c r="C1003" s="5" t="s">
        <v>310</v>
      </c>
      <c r="D1003" s="23">
        <v>44866</v>
      </c>
      <c r="E1003" s="24">
        <v>4400</v>
      </c>
      <c r="F1003" s="5" t="s">
        <v>321</v>
      </c>
    </row>
    <row r="1004" spans="1:6">
      <c r="A1004" s="4">
        <f t="shared" si="15"/>
        <v>1003</v>
      </c>
      <c r="B1004" s="4" t="s">
        <v>326</v>
      </c>
      <c r="C1004" s="5" t="s">
        <v>302</v>
      </c>
      <c r="D1004" s="23">
        <v>44866</v>
      </c>
      <c r="E1004" s="24">
        <v>114210</v>
      </c>
      <c r="F1004" s="5" t="s">
        <v>321</v>
      </c>
    </row>
    <row r="1005" spans="1:6">
      <c r="A1005" s="4">
        <f t="shared" si="15"/>
        <v>1004</v>
      </c>
      <c r="B1005" s="4" t="s">
        <v>326</v>
      </c>
      <c r="C1005" s="5" t="s">
        <v>298</v>
      </c>
      <c r="D1005" s="23">
        <v>44866</v>
      </c>
      <c r="E1005" s="24">
        <v>204559.5</v>
      </c>
      <c r="F1005" s="5" t="s">
        <v>321</v>
      </c>
    </row>
    <row r="1006" spans="1:6">
      <c r="A1006" s="4">
        <f t="shared" si="15"/>
        <v>1005</v>
      </c>
      <c r="B1006" s="4" t="s">
        <v>322</v>
      </c>
      <c r="C1006" s="5" t="s">
        <v>299</v>
      </c>
      <c r="D1006" s="23">
        <v>44866</v>
      </c>
      <c r="E1006" s="24">
        <v>10540</v>
      </c>
      <c r="F1006" s="5" t="s">
        <v>321</v>
      </c>
    </row>
    <row r="1007" spans="1:6">
      <c r="A1007" s="4">
        <f t="shared" si="15"/>
        <v>1006</v>
      </c>
      <c r="B1007" s="4" t="s">
        <v>329</v>
      </c>
      <c r="C1007" s="5" t="s">
        <v>296</v>
      </c>
      <c r="D1007" s="26">
        <v>44835</v>
      </c>
      <c r="E1007" s="24">
        <v>376</v>
      </c>
      <c r="F1007" s="5" t="s">
        <v>321</v>
      </c>
    </row>
    <row r="1008" spans="1:6">
      <c r="A1008" s="4">
        <f t="shared" si="15"/>
        <v>1007</v>
      </c>
      <c r="B1008" s="4" t="s">
        <v>323</v>
      </c>
      <c r="C1008" s="5" t="s">
        <v>304</v>
      </c>
      <c r="D1008" s="23">
        <v>44835</v>
      </c>
      <c r="E1008" s="24">
        <v>35494.819999999992</v>
      </c>
      <c r="F1008" s="5" t="s">
        <v>321</v>
      </c>
    </row>
    <row r="1009" spans="1:6">
      <c r="A1009" s="4">
        <f t="shared" si="15"/>
        <v>1008</v>
      </c>
      <c r="B1009" s="4" t="s">
        <v>323</v>
      </c>
      <c r="C1009" s="5" t="s">
        <v>299</v>
      </c>
      <c r="D1009" s="23">
        <v>44835</v>
      </c>
      <c r="E1009" s="24">
        <v>44071.5</v>
      </c>
      <c r="F1009" s="5" t="s">
        <v>321</v>
      </c>
    </row>
    <row r="1010" spans="1:6">
      <c r="A1010" s="4">
        <f t="shared" si="15"/>
        <v>1009</v>
      </c>
      <c r="B1010" s="4" t="s">
        <v>323</v>
      </c>
      <c r="C1010" s="5" t="s">
        <v>298</v>
      </c>
      <c r="D1010" s="23">
        <v>44835</v>
      </c>
      <c r="E1010" s="24">
        <v>3372.6799999999994</v>
      </c>
      <c r="F1010" s="5" t="s">
        <v>321</v>
      </c>
    </row>
    <row r="1011" spans="1:6">
      <c r="A1011" s="4">
        <f t="shared" si="15"/>
        <v>1010</v>
      </c>
      <c r="B1011" s="4" t="s">
        <v>323</v>
      </c>
      <c r="C1011" s="5" t="s">
        <v>295</v>
      </c>
      <c r="D1011" s="23">
        <v>44835</v>
      </c>
      <c r="E1011" s="24">
        <v>2936</v>
      </c>
      <c r="F1011" s="5" t="s">
        <v>321</v>
      </c>
    </row>
    <row r="1012" spans="1:6">
      <c r="A1012" s="4">
        <f t="shared" si="15"/>
        <v>1011</v>
      </c>
      <c r="B1012" s="4" t="s">
        <v>323</v>
      </c>
      <c r="C1012" s="5" t="s">
        <v>308</v>
      </c>
      <c r="D1012" s="23">
        <v>44835</v>
      </c>
      <c r="E1012" s="24">
        <v>6313.5</v>
      </c>
      <c r="F1012" s="5" t="s">
        <v>321</v>
      </c>
    </row>
    <row r="1013" spans="1:6">
      <c r="A1013" s="4">
        <f t="shared" si="15"/>
        <v>1012</v>
      </c>
      <c r="B1013" s="4" t="s">
        <v>323</v>
      </c>
      <c r="C1013" s="5" t="s">
        <v>300</v>
      </c>
      <c r="D1013" s="23">
        <v>44835</v>
      </c>
      <c r="E1013" s="24">
        <v>61391.85</v>
      </c>
      <c r="F1013" s="5" t="s">
        <v>321</v>
      </c>
    </row>
    <row r="1014" spans="1:6">
      <c r="A1014" s="4">
        <f t="shared" si="15"/>
        <v>1013</v>
      </c>
      <c r="B1014" s="4" t="s">
        <v>323</v>
      </c>
      <c r="C1014" s="5" t="s">
        <v>307</v>
      </c>
      <c r="D1014" s="23">
        <v>44835</v>
      </c>
      <c r="E1014" s="24">
        <v>25087.3</v>
      </c>
      <c r="F1014" s="5" t="s">
        <v>321</v>
      </c>
    </row>
    <row r="1015" spans="1:6">
      <c r="A1015" s="4">
        <f t="shared" si="15"/>
        <v>1014</v>
      </c>
      <c r="B1015" s="4" t="s">
        <v>323</v>
      </c>
      <c r="C1015" s="5" t="s">
        <v>310</v>
      </c>
      <c r="D1015" s="23">
        <v>44835</v>
      </c>
      <c r="E1015" s="24">
        <v>18905.400000000001</v>
      </c>
      <c r="F1015" s="5" t="s">
        <v>321</v>
      </c>
    </row>
    <row r="1016" spans="1:6">
      <c r="A1016" s="4">
        <f t="shared" si="15"/>
        <v>1015</v>
      </c>
      <c r="B1016" s="4" t="s">
        <v>324</v>
      </c>
      <c r="C1016" s="5" t="s">
        <v>304</v>
      </c>
      <c r="D1016" s="23">
        <v>44835</v>
      </c>
      <c r="E1016" s="24">
        <v>22101.97</v>
      </c>
      <c r="F1016" s="5" t="s">
        <v>321</v>
      </c>
    </row>
    <row r="1017" spans="1:6">
      <c r="A1017" s="4">
        <f t="shared" si="15"/>
        <v>1016</v>
      </c>
      <c r="B1017" s="4" t="s">
        <v>324</v>
      </c>
      <c r="C1017" s="5" t="s">
        <v>299</v>
      </c>
      <c r="D1017" s="23">
        <v>44835</v>
      </c>
      <c r="E1017" s="24">
        <v>3589</v>
      </c>
      <c r="F1017" s="5" t="s">
        <v>321</v>
      </c>
    </row>
    <row r="1018" spans="1:6">
      <c r="A1018" s="4">
        <f t="shared" si="15"/>
        <v>1017</v>
      </c>
      <c r="B1018" s="4" t="s">
        <v>324</v>
      </c>
      <c r="C1018" s="5" t="s">
        <v>298</v>
      </c>
      <c r="D1018" s="23">
        <v>44835</v>
      </c>
      <c r="E1018" s="24">
        <v>10420.5</v>
      </c>
      <c r="F1018" s="5" t="s">
        <v>321</v>
      </c>
    </row>
    <row r="1019" spans="1:6">
      <c r="A1019" s="4">
        <f t="shared" si="15"/>
        <v>1018</v>
      </c>
      <c r="B1019" s="4" t="s">
        <v>324</v>
      </c>
      <c r="C1019" s="5" t="s">
        <v>295</v>
      </c>
      <c r="D1019" s="23">
        <v>44835</v>
      </c>
      <c r="E1019" s="24">
        <v>6024</v>
      </c>
      <c r="F1019" s="5" t="s">
        <v>321</v>
      </c>
    </row>
    <row r="1020" spans="1:6">
      <c r="A1020" s="4">
        <f t="shared" si="15"/>
        <v>1019</v>
      </c>
      <c r="B1020" s="4" t="s">
        <v>324</v>
      </c>
      <c r="C1020" s="5" t="s">
        <v>308</v>
      </c>
      <c r="D1020" s="23">
        <v>44835</v>
      </c>
      <c r="E1020" s="24">
        <v>23720.5</v>
      </c>
      <c r="F1020" s="5" t="s">
        <v>321</v>
      </c>
    </row>
    <row r="1021" spans="1:6">
      <c r="A1021" s="4">
        <f t="shared" si="15"/>
        <v>1020</v>
      </c>
      <c r="B1021" s="4" t="s">
        <v>324</v>
      </c>
      <c r="C1021" s="5" t="s">
        <v>300</v>
      </c>
      <c r="D1021" s="23">
        <v>44835</v>
      </c>
      <c r="E1021" s="24">
        <v>22410.42</v>
      </c>
      <c r="F1021" s="5" t="s">
        <v>321</v>
      </c>
    </row>
    <row r="1022" spans="1:6">
      <c r="A1022" s="4">
        <f t="shared" si="15"/>
        <v>1021</v>
      </c>
      <c r="B1022" s="4" t="s">
        <v>324</v>
      </c>
      <c r="C1022" s="5" t="s">
        <v>307</v>
      </c>
      <c r="D1022" s="23">
        <v>44835</v>
      </c>
      <c r="E1022" s="24">
        <v>6760</v>
      </c>
      <c r="F1022" s="5" t="s">
        <v>321</v>
      </c>
    </row>
    <row r="1023" spans="1:6">
      <c r="A1023" s="4">
        <f t="shared" si="15"/>
        <v>1022</v>
      </c>
      <c r="B1023" s="4" t="s">
        <v>326</v>
      </c>
      <c r="C1023" s="5" t="s">
        <v>302</v>
      </c>
      <c r="D1023" s="23">
        <v>44835</v>
      </c>
      <c r="E1023" s="24">
        <v>107469.75999999999</v>
      </c>
      <c r="F1023" s="5" t="s">
        <v>321</v>
      </c>
    </row>
    <row r="1024" spans="1:6">
      <c r="A1024" s="4">
        <f t="shared" si="15"/>
        <v>1023</v>
      </c>
      <c r="B1024" s="4" t="s">
        <v>322</v>
      </c>
      <c r="C1024" s="5" t="s">
        <v>299</v>
      </c>
      <c r="D1024" s="23">
        <v>44835</v>
      </c>
      <c r="E1024" s="24">
        <v>7285</v>
      </c>
      <c r="F1024" s="5" t="s">
        <v>321</v>
      </c>
    </row>
    <row r="1025" spans="1:6">
      <c r="A1025" s="4">
        <f t="shared" si="15"/>
        <v>1024</v>
      </c>
      <c r="B1025" s="4" t="s">
        <v>329</v>
      </c>
      <c r="C1025" s="5" t="s">
        <v>296</v>
      </c>
      <c r="D1025" s="26">
        <v>44805</v>
      </c>
      <c r="E1025" s="24">
        <v>1376</v>
      </c>
      <c r="F1025" s="5" t="s">
        <v>321</v>
      </c>
    </row>
    <row r="1026" spans="1:6">
      <c r="A1026" s="4">
        <f t="shared" si="15"/>
        <v>1025</v>
      </c>
      <c r="B1026" s="4" t="s">
        <v>323</v>
      </c>
      <c r="C1026" s="5" t="s">
        <v>304</v>
      </c>
      <c r="D1026" s="23">
        <v>44805</v>
      </c>
      <c r="E1026" s="24">
        <v>43077.149999999987</v>
      </c>
      <c r="F1026" s="5" t="s">
        <v>321</v>
      </c>
    </row>
    <row r="1027" spans="1:6">
      <c r="A1027" s="4">
        <f t="shared" si="15"/>
        <v>1026</v>
      </c>
      <c r="B1027" s="4" t="s">
        <v>323</v>
      </c>
      <c r="C1027" s="5" t="s">
        <v>299</v>
      </c>
      <c r="D1027" s="23">
        <v>44805</v>
      </c>
      <c r="E1027" s="24">
        <v>42518.11</v>
      </c>
      <c r="F1027" s="5" t="s">
        <v>321</v>
      </c>
    </row>
    <row r="1028" spans="1:6">
      <c r="A1028" s="4">
        <f t="shared" si="15"/>
        <v>1027</v>
      </c>
      <c r="B1028" s="4" t="s">
        <v>323</v>
      </c>
      <c r="C1028" s="5" t="s">
        <v>298</v>
      </c>
      <c r="D1028" s="23">
        <v>44805</v>
      </c>
      <c r="E1028" s="24">
        <v>78879.399999999994</v>
      </c>
      <c r="F1028" s="5" t="s">
        <v>321</v>
      </c>
    </row>
    <row r="1029" spans="1:6">
      <c r="A1029" s="4">
        <f t="shared" si="15"/>
        <v>1028</v>
      </c>
      <c r="B1029" s="4" t="s">
        <v>323</v>
      </c>
      <c r="C1029" s="5" t="s">
        <v>295</v>
      </c>
      <c r="D1029" s="23">
        <v>44805</v>
      </c>
      <c r="E1029" s="24">
        <v>4385</v>
      </c>
      <c r="F1029" s="5" t="s">
        <v>321</v>
      </c>
    </row>
    <row r="1030" spans="1:6">
      <c r="A1030" s="4">
        <f t="shared" si="15"/>
        <v>1029</v>
      </c>
      <c r="B1030" s="4" t="s">
        <v>323</v>
      </c>
      <c r="C1030" s="5" t="s">
        <v>308</v>
      </c>
      <c r="D1030" s="23">
        <v>44805</v>
      </c>
      <c r="E1030" s="24">
        <v>22197</v>
      </c>
      <c r="F1030" s="5" t="s">
        <v>321</v>
      </c>
    </row>
    <row r="1031" spans="1:6">
      <c r="A1031" s="4">
        <f t="shared" si="15"/>
        <v>1030</v>
      </c>
      <c r="B1031" s="4" t="s">
        <v>323</v>
      </c>
      <c r="C1031" s="5" t="s">
        <v>300</v>
      </c>
      <c r="D1031" s="23">
        <v>44805</v>
      </c>
      <c r="E1031" s="24">
        <v>90817.699999999968</v>
      </c>
      <c r="F1031" s="5" t="s">
        <v>321</v>
      </c>
    </row>
    <row r="1032" spans="1:6">
      <c r="A1032" s="4">
        <f t="shared" si="15"/>
        <v>1031</v>
      </c>
      <c r="B1032" s="4" t="s">
        <v>323</v>
      </c>
      <c r="C1032" s="5" t="s">
        <v>307</v>
      </c>
      <c r="D1032" s="23">
        <v>44805</v>
      </c>
      <c r="E1032" s="24">
        <v>19496</v>
      </c>
      <c r="F1032" s="5" t="s">
        <v>321</v>
      </c>
    </row>
    <row r="1033" spans="1:6">
      <c r="A1033" s="4">
        <f t="shared" si="15"/>
        <v>1032</v>
      </c>
      <c r="B1033" s="4" t="s">
        <v>323</v>
      </c>
      <c r="C1033" s="5" t="s">
        <v>310</v>
      </c>
      <c r="D1033" s="23">
        <v>44805</v>
      </c>
      <c r="E1033" s="24">
        <v>31246.129999999997</v>
      </c>
      <c r="F1033" s="5" t="s">
        <v>321</v>
      </c>
    </row>
    <row r="1034" spans="1:6">
      <c r="A1034" s="4">
        <f t="shared" si="15"/>
        <v>1033</v>
      </c>
      <c r="B1034" s="4" t="s">
        <v>324</v>
      </c>
      <c r="C1034" s="5" t="s">
        <v>304</v>
      </c>
      <c r="D1034" s="23">
        <v>44805</v>
      </c>
      <c r="E1034" s="24">
        <v>20399.23</v>
      </c>
      <c r="F1034" s="5" t="s">
        <v>321</v>
      </c>
    </row>
    <row r="1035" spans="1:6">
      <c r="A1035" s="4">
        <f t="shared" ref="A1035:A1098" si="16">ROW()-1</f>
        <v>1034</v>
      </c>
      <c r="B1035" s="4" t="s">
        <v>324</v>
      </c>
      <c r="C1035" s="5" t="s">
        <v>299</v>
      </c>
      <c r="D1035" s="23">
        <v>44805</v>
      </c>
      <c r="E1035" s="24">
        <v>31054</v>
      </c>
      <c r="F1035" s="5" t="s">
        <v>321</v>
      </c>
    </row>
    <row r="1036" spans="1:6">
      <c r="A1036" s="4">
        <f t="shared" si="16"/>
        <v>1035</v>
      </c>
      <c r="B1036" s="4" t="s">
        <v>324</v>
      </c>
      <c r="C1036" s="5" t="s">
        <v>298</v>
      </c>
      <c r="D1036" s="23">
        <v>44805</v>
      </c>
      <c r="E1036" s="24">
        <v>1253</v>
      </c>
      <c r="F1036" s="5" t="s">
        <v>321</v>
      </c>
    </row>
    <row r="1037" spans="1:6">
      <c r="A1037" s="4">
        <f t="shared" si="16"/>
        <v>1036</v>
      </c>
      <c r="B1037" s="4" t="s">
        <v>324</v>
      </c>
      <c r="C1037" s="5" t="s">
        <v>295</v>
      </c>
      <c r="D1037" s="23">
        <v>44805</v>
      </c>
      <c r="E1037" s="24">
        <v>7100</v>
      </c>
      <c r="F1037" s="5" t="s">
        <v>321</v>
      </c>
    </row>
    <row r="1038" spans="1:6">
      <c r="A1038" s="4">
        <f t="shared" si="16"/>
        <v>1037</v>
      </c>
      <c r="B1038" s="4" t="s">
        <v>324</v>
      </c>
      <c r="C1038" s="5" t="s">
        <v>308</v>
      </c>
      <c r="D1038" s="23">
        <v>44805</v>
      </c>
      <c r="E1038" s="24">
        <v>39438.050000000003</v>
      </c>
      <c r="F1038" s="5" t="s">
        <v>321</v>
      </c>
    </row>
    <row r="1039" spans="1:6">
      <c r="A1039" s="4">
        <f t="shared" si="16"/>
        <v>1038</v>
      </c>
      <c r="B1039" s="4" t="s">
        <v>324</v>
      </c>
      <c r="C1039" s="5" t="s">
        <v>300</v>
      </c>
      <c r="D1039" s="23">
        <v>44805</v>
      </c>
      <c r="E1039" s="24">
        <v>59435.1</v>
      </c>
      <c r="F1039" s="5" t="s">
        <v>321</v>
      </c>
    </row>
    <row r="1040" spans="1:6">
      <c r="A1040" s="4">
        <f t="shared" si="16"/>
        <v>1039</v>
      </c>
      <c r="B1040" s="4" t="s">
        <v>324</v>
      </c>
      <c r="C1040" s="5" t="s">
        <v>307</v>
      </c>
      <c r="D1040" s="23">
        <v>44805</v>
      </c>
      <c r="E1040" s="24">
        <v>7232</v>
      </c>
      <c r="F1040" s="5" t="s">
        <v>321</v>
      </c>
    </row>
    <row r="1041" spans="1:6">
      <c r="A1041" s="4">
        <f t="shared" si="16"/>
        <v>1040</v>
      </c>
      <c r="B1041" s="4" t="s">
        <v>324</v>
      </c>
      <c r="C1041" s="5" t="s">
        <v>310</v>
      </c>
      <c r="D1041" s="23">
        <v>44805</v>
      </c>
      <c r="E1041" s="24">
        <v>2184.9499999999998</v>
      </c>
      <c r="F1041" s="5" t="s">
        <v>321</v>
      </c>
    </row>
    <row r="1042" spans="1:6">
      <c r="A1042" s="4">
        <f t="shared" si="16"/>
        <v>1041</v>
      </c>
      <c r="B1042" s="4" t="s">
        <v>326</v>
      </c>
      <c r="C1042" s="5" t="s">
        <v>302</v>
      </c>
      <c r="D1042" s="23">
        <v>44805</v>
      </c>
      <c r="E1042" s="24">
        <v>72731.06</v>
      </c>
      <c r="F1042" s="5" t="s">
        <v>321</v>
      </c>
    </row>
    <row r="1043" spans="1:6">
      <c r="A1043" s="4">
        <f t="shared" si="16"/>
        <v>1042</v>
      </c>
      <c r="B1043" s="4" t="s">
        <v>322</v>
      </c>
      <c r="C1043" s="5" t="s">
        <v>299</v>
      </c>
      <c r="D1043" s="23">
        <v>44805</v>
      </c>
      <c r="E1043" s="24">
        <v>9630</v>
      </c>
      <c r="F1043" s="5" t="s">
        <v>321</v>
      </c>
    </row>
    <row r="1044" spans="1:6">
      <c r="A1044" s="4">
        <f t="shared" si="16"/>
        <v>1043</v>
      </c>
      <c r="B1044" s="4" t="s">
        <v>323</v>
      </c>
      <c r="C1044" s="5" t="s">
        <v>304</v>
      </c>
      <c r="D1044" s="23">
        <v>44774</v>
      </c>
      <c r="E1044" s="24">
        <v>39334.239999999998</v>
      </c>
      <c r="F1044" s="5" t="s">
        <v>321</v>
      </c>
    </row>
    <row r="1045" spans="1:6">
      <c r="A1045" s="4">
        <f t="shared" si="16"/>
        <v>1044</v>
      </c>
      <c r="B1045" s="4" t="s">
        <v>323</v>
      </c>
      <c r="C1045" s="5" t="s">
        <v>299</v>
      </c>
      <c r="D1045" s="23">
        <v>44774</v>
      </c>
      <c r="E1045" s="24">
        <v>40570.509999999995</v>
      </c>
      <c r="F1045" s="5" t="s">
        <v>321</v>
      </c>
    </row>
    <row r="1046" spans="1:6">
      <c r="A1046" s="4">
        <f t="shared" si="16"/>
        <v>1045</v>
      </c>
      <c r="B1046" s="4" t="s">
        <v>323</v>
      </c>
      <c r="C1046" s="5" t="s">
        <v>298</v>
      </c>
      <c r="D1046" s="23">
        <v>44774</v>
      </c>
      <c r="E1046" s="24">
        <v>12837.46</v>
      </c>
      <c r="F1046" s="5" t="s">
        <v>321</v>
      </c>
    </row>
    <row r="1047" spans="1:6">
      <c r="A1047" s="4">
        <f t="shared" si="16"/>
        <v>1046</v>
      </c>
      <c r="B1047" s="4" t="s">
        <v>323</v>
      </c>
      <c r="C1047" s="5" t="s">
        <v>308</v>
      </c>
      <c r="D1047" s="23">
        <v>44774</v>
      </c>
      <c r="E1047" s="24">
        <v>11498.71</v>
      </c>
      <c r="F1047" s="5" t="s">
        <v>321</v>
      </c>
    </row>
    <row r="1048" spans="1:6">
      <c r="A1048" s="4">
        <f t="shared" si="16"/>
        <v>1047</v>
      </c>
      <c r="B1048" s="4" t="s">
        <v>323</v>
      </c>
      <c r="C1048" s="5" t="s">
        <v>300</v>
      </c>
      <c r="D1048" s="23">
        <v>44774</v>
      </c>
      <c r="E1048" s="24">
        <v>32726.21</v>
      </c>
      <c r="F1048" s="5" t="s">
        <v>321</v>
      </c>
    </row>
    <row r="1049" spans="1:6">
      <c r="A1049" s="4">
        <f t="shared" si="16"/>
        <v>1048</v>
      </c>
      <c r="B1049" s="4" t="s">
        <v>323</v>
      </c>
      <c r="C1049" s="5" t="s">
        <v>307</v>
      </c>
      <c r="D1049" s="23">
        <v>44774</v>
      </c>
      <c r="E1049" s="24">
        <v>35048</v>
      </c>
      <c r="F1049" s="5" t="s">
        <v>321</v>
      </c>
    </row>
    <row r="1050" spans="1:6">
      <c r="A1050" s="4">
        <f t="shared" si="16"/>
        <v>1049</v>
      </c>
      <c r="B1050" s="4" t="s">
        <v>323</v>
      </c>
      <c r="C1050" s="5" t="s">
        <v>310</v>
      </c>
      <c r="D1050" s="23">
        <v>44774</v>
      </c>
      <c r="E1050" s="24">
        <v>3200</v>
      </c>
      <c r="F1050" s="5" t="s">
        <v>321</v>
      </c>
    </row>
    <row r="1051" spans="1:6">
      <c r="A1051" s="4">
        <f t="shared" si="16"/>
        <v>1050</v>
      </c>
      <c r="B1051" s="4" t="s">
        <v>324</v>
      </c>
      <c r="C1051" s="5" t="s">
        <v>304</v>
      </c>
      <c r="D1051" s="23">
        <v>44774</v>
      </c>
      <c r="E1051" s="24">
        <v>16785.37</v>
      </c>
      <c r="F1051" s="5" t="s">
        <v>321</v>
      </c>
    </row>
    <row r="1052" spans="1:6">
      <c r="A1052" s="4">
        <f t="shared" si="16"/>
        <v>1051</v>
      </c>
      <c r="B1052" s="4" t="s">
        <v>324</v>
      </c>
      <c r="C1052" s="5" t="s">
        <v>299</v>
      </c>
      <c r="D1052" s="23">
        <v>44774</v>
      </c>
      <c r="E1052" s="24">
        <v>10566</v>
      </c>
      <c r="F1052" s="5" t="s">
        <v>321</v>
      </c>
    </row>
    <row r="1053" spans="1:6">
      <c r="A1053" s="4">
        <f t="shared" si="16"/>
        <v>1052</v>
      </c>
      <c r="B1053" s="4" t="s">
        <v>324</v>
      </c>
      <c r="C1053" s="5" t="s">
        <v>298</v>
      </c>
      <c r="D1053" s="23">
        <v>44774</v>
      </c>
      <c r="E1053" s="24">
        <v>7687.32</v>
      </c>
      <c r="F1053" s="5" t="s">
        <v>321</v>
      </c>
    </row>
    <row r="1054" spans="1:6">
      <c r="A1054" s="4">
        <f t="shared" si="16"/>
        <v>1053</v>
      </c>
      <c r="B1054" s="4" t="s">
        <v>324</v>
      </c>
      <c r="C1054" s="5" t="s">
        <v>296</v>
      </c>
      <c r="D1054" s="23">
        <v>44774</v>
      </c>
      <c r="E1054" s="24">
        <v>622.96</v>
      </c>
      <c r="F1054" s="5" t="s">
        <v>321</v>
      </c>
    </row>
    <row r="1055" spans="1:6">
      <c r="A1055" s="4">
        <f t="shared" si="16"/>
        <v>1054</v>
      </c>
      <c r="B1055" s="4" t="s">
        <v>324</v>
      </c>
      <c r="C1055" s="5" t="s">
        <v>308</v>
      </c>
      <c r="D1055" s="23">
        <v>44774</v>
      </c>
      <c r="E1055" s="24">
        <v>16279.53</v>
      </c>
      <c r="F1055" s="5" t="s">
        <v>321</v>
      </c>
    </row>
    <row r="1056" spans="1:6">
      <c r="A1056" s="4">
        <f t="shared" si="16"/>
        <v>1055</v>
      </c>
      <c r="B1056" s="4" t="s">
        <v>324</v>
      </c>
      <c r="C1056" s="5" t="s">
        <v>300</v>
      </c>
      <c r="D1056" s="23">
        <v>44774</v>
      </c>
      <c r="E1056" s="24">
        <v>39031.909999999996</v>
      </c>
      <c r="F1056" s="5" t="s">
        <v>321</v>
      </c>
    </row>
    <row r="1057" spans="1:6">
      <c r="A1057" s="4">
        <f t="shared" si="16"/>
        <v>1056</v>
      </c>
      <c r="B1057" s="4" t="s">
        <v>324</v>
      </c>
      <c r="C1057" s="5" t="s">
        <v>307</v>
      </c>
      <c r="D1057" s="23">
        <v>44774</v>
      </c>
      <c r="E1057" s="24">
        <v>3840</v>
      </c>
      <c r="F1057" s="5" t="s">
        <v>321</v>
      </c>
    </row>
    <row r="1058" spans="1:6">
      <c r="A1058" s="4">
        <f t="shared" si="16"/>
        <v>1057</v>
      </c>
      <c r="B1058" s="4" t="s">
        <v>326</v>
      </c>
      <c r="C1058" s="5" t="s">
        <v>302</v>
      </c>
      <c r="D1058" s="23">
        <v>44774</v>
      </c>
      <c r="E1058" s="24">
        <v>79420.2</v>
      </c>
      <c r="F1058" s="5" t="s">
        <v>321</v>
      </c>
    </row>
    <row r="1059" spans="1:6">
      <c r="A1059" s="4">
        <f t="shared" si="16"/>
        <v>1058</v>
      </c>
      <c r="B1059" s="4" t="s">
        <v>326</v>
      </c>
      <c r="C1059" s="5" t="s">
        <v>298</v>
      </c>
      <c r="D1059" s="23">
        <v>44774</v>
      </c>
      <c r="E1059" s="24">
        <v>29206</v>
      </c>
      <c r="F1059" s="5" t="s">
        <v>321</v>
      </c>
    </row>
    <row r="1060" spans="1:6">
      <c r="A1060" s="4">
        <f t="shared" si="16"/>
        <v>1059</v>
      </c>
      <c r="B1060" s="4" t="s">
        <v>322</v>
      </c>
      <c r="C1060" s="5" t="s">
        <v>299</v>
      </c>
      <c r="D1060" s="23">
        <v>44774</v>
      </c>
      <c r="E1060" s="24">
        <v>13812</v>
      </c>
      <c r="F1060" s="5" t="s">
        <v>321</v>
      </c>
    </row>
    <row r="1061" spans="1:6">
      <c r="A1061" s="4">
        <f t="shared" si="16"/>
        <v>1060</v>
      </c>
      <c r="B1061" s="4" t="s">
        <v>323</v>
      </c>
      <c r="C1061" s="5" t="s">
        <v>304</v>
      </c>
      <c r="D1061" s="23">
        <v>44743</v>
      </c>
      <c r="E1061" s="24">
        <v>34101.1</v>
      </c>
      <c r="F1061" s="5" t="s">
        <v>321</v>
      </c>
    </row>
    <row r="1062" spans="1:6">
      <c r="A1062" s="4">
        <f t="shared" si="16"/>
        <v>1061</v>
      </c>
      <c r="B1062" s="4" t="s">
        <v>323</v>
      </c>
      <c r="C1062" s="5" t="s">
        <v>299</v>
      </c>
      <c r="D1062" s="23">
        <v>44743</v>
      </c>
      <c r="E1062" s="24">
        <v>34058.51</v>
      </c>
      <c r="F1062" s="5" t="s">
        <v>321</v>
      </c>
    </row>
    <row r="1063" spans="1:6">
      <c r="A1063" s="4">
        <f t="shared" si="16"/>
        <v>1062</v>
      </c>
      <c r="B1063" s="4" t="s">
        <v>323</v>
      </c>
      <c r="C1063" s="5" t="s">
        <v>298</v>
      </c>
      <c r="D1063" s="23">
        <v>44743</v>
      </c>
      <c r="E1063" s="24">
        <v>4332.6400000000003</v>
      </c>
      <c r="F1063" s="5" t="s">
        <v>321</v>
      </c>
    </row>
    <row r="1064" spans="1:6">
      <c r="A1064" s="4">
        <f t="shared" si="16"/>
        <v>1063</v>
      </c>
      <c r="B1064" s="4" t="s">
        <v>323</v>
      </c>
      <c r="C1064" s="5" t="s">
        <v>295</v>
      </c>
      <c r="D1064" s="23">
        <v>44743</v>
      </c>
      <c r="E1064" s="24">
        <v>1686.5</v>
      </c>
      <c r="F1064" s="5" t="s">
        <v>321</v>
      </c>
    </row>
    <row r="1065" spans="1:6">
      <c r="A1065" s="4">
        <f t="shared" si="16"/>
        <v>1064</v>
      </c>
      <c r="B1065" s="4" t="s">
        <v>323</v>
      </c>
      <c r="C1065" s="5" t="s">
        <v>308</v>
      </c>
      <c r="D1065" s="23">
        <v>44743</v>
      </c>
      <c r="E1065" s="24">
        <v>2617.9499999999998</v>
      </c>
      <c r="F1065" s="5" t="s">
        <v>321</v>
      </c>
    </row>
    <row r="1066" spans="1:6">
      <c r="A1066" s="4">
        <f t="shared" si="16"/>
        <v>1065</v>
      </c>
      <c r="B1066" s="4" t="s">
        <v>323</v>
      </c>
      <c r="C1066" s="5" t="s">
        <v>300</v>
      </c>
      <c r="D1066" s="23">
        <v>44743</v>
      </c>
      <c r="E1066" s="24">
        <v>80379.260000000024</v>
      </c>
      <c r="F1066" s="5" t="s">
        <v>321</v>
      </c>
    </row>
    <row r="1067" spans="1:6">
      <c r="A1067" s="4">
        <f t="shared" si="16"/>
        <v>1066</v>
      </c>
      <c r="B1067" s="4" t="s">
        <v>323</v>
      </c>
      <c r="C1067" s="5" t="s">
        <v>307</v>
      </c>
      <c r="D1067" s="23">
        <v>44743</v>
      </c>
      <c r="E1067" s="24">
        <v>35152</v>
      </c>
      <c r="F1067" s="5" t="s">
        <v>321</v>
      </c>
    </row>
    <row r="1068" spans="1:6">
      <c r="A1068" s="4">
        <f t="shared" si="16"/>
        <v>1067</v>
      </c>
      <c r="B1068" s="4" t="s">
        <v>323</v>
      </c>
      <c r="C1068" s="5" t="s">
        <v>310</v>
      </c>
      <c r="D1068" s="23">
        <v>44743</v>
      </c>
      <c r="E1068" s="24">
        <v>29915.760000000002</v>
      </c>
      <c r="F1068" s="5" t="s">
        <v>321</v>
      </c>
    </row>
    <row r="1069" spans="1:6">
      <c r="A1069" s="4">
        <f t="shared" si="16"/>
        <v>1068</v>
      </c>
      <c r="B1069" s="4" t="s">
        <v>324</v>
      </c>
      <c r="C1069" s="5" t="s">
        <v>304</v>
      </c>
      <c r="D1069" s="23">
        <v>44743</v>
      </c>
      <c r="E1069" s="24">
        <v>21689.26</v>
      </c>
      <c r="F1069" s="5" t="s">
        <v>321</v>
      </c>
    </row>
    <row r="1070" spans="1:6">
      <c r="A1070" s="4">
        <f t="shared" si="16"/>
        <v>1069</v>
      </c>
      <c r="B1070" s="4" t="s">
        <v>324</v>
      </c>
      <c r="C1070" s="5" t="s">
        <v>299</v>
      </c>
      <c r="D1070" s="23">
        <v>44743</v>
      </c>
      <c r="E1070" s="24">
        <v>21447</v>
      </c>
      <c r="F1070" s="5" t="s">
        <v>321</v>
      </c>
    </row>
    <row r="1071" spans="1:6">
      <c r="A1071" s="4">
        <f t="shared" si="16"/>
        <v>1070</v>
      </c>
      <c r="B1071" s="4" t="s">
        <v>324</v>
      </c>
      <c r="C1071" s="5" t="s">
        <v>295</v>
      </c>
      <c r="D1071" s="23">
        <v>44743</v>
      </c>
      <c r="E1071" s="24">
        <v>12976</v>
      </c>
      <c r="F1071" s="5" t="s">
        <v>321</v>
      </c>
    </row>
    <row r="1072" spans="1:6">
      <c r="A1072" s="4">
        <f t="shared" si="16"/>
        <v>1071</v>
      </c>
      <c r="B1072" s="4" t="s">
        <v>324</v>
      </c>
      <c r="C1072" s="5" t="s">
        <v>308</v>
      </c>
      <c r="D1072" s="23">
        <v>44743</v>
      </c>
      <c r="E1072" s="24">
        <v>17963.25</v>
      </c>
      <c r="F1072" s="5" t="s">
        <v>321</v>
      </c>
    </row>
    <row r="1073" spans="1:6">
      <c r="A1073" s="4">
        <f t="shared" si="16"/>
        <v>1072</v>
      </c>
      <c r="B1073" s="4" t="s">
        <v>324</v>
      </c>
      <c r="C1073" s="5" t="s">
        <v>300</v>
      </c>
      <c r="D1073" s="23">
        <v>44743</v>
      </c>
      <c r="E1073" s="24">
        <v>31459.85</v>
      </c>
      <c r="F1073" s="5" t="s">
        <v>321</v>
      </c>
    </row>
    <row r="1074" spans="1:6">
      <c r="A1074" s="4">
        <f t="shared" si="16"/>
        <v>1073</v>
      </c>
      <c r="B1074" s="4" t="s">
        <v>324</v>
      </c>
      <c r="C1074" s="5" t="s">
        <v>307</v>
      </c>
      <c r="D1074" s="23">
        <v>44743</v>
      </c>
      <c r="E1074" s="24">
        <v>5120</v>
      </c>
      <c r="F1074" s="5" t="s">
        <v>321</v>
      </c>
    </row>
    <row r="1075" spans="1:6">
      <c r="A1075" s="4">
        <f t="shared" si="16"/>
        <v>1074</v>
      </c>
      <c r="B1075" s="4" t="s">
        <v>324</v>
      </c>
      <c r="C1075" s="5" t="s">
        <v>310</v>
      </c>
      <c r="D1075" s="23">
        <v>44743</v>
      </c>
      <c r="E1075" s="24">
        <v>400</v>
      </c>
      <c r="F1075" s="5" t="s">
        <v>321</v>
      </c>
    </row>
    <row r="1076" spans="1:6">
      <c r="A1076" s="4">
        <f t="shared" si="16"/>
        <v>1075</v>
      </c>
      <c r="B1076" s="4" t="s">
        <v>326</v>
      </c>
      <c r="C1076" s="5" t="s">
        <v>302</v>
      </c>
      <c r="D1076" s="23">
        <v>44743</v>
      </c>
      <c r="E1076" s="24">
        <v>54896</v>
      </c>
      <c r="F1076" s="5" t="s">
        <v>321</v>
      </c>
    </row>
    <row r="1077" spans="1:6">
      <c r="A1077" s="4">
        <f t="shared" si="16"/>
        <v>1076</v>
      </c>
      <c r="B1077" s="4" t="s">
        <v>326</v>
      </c>
      <c r="C1077" s="5" t="s">
        <v>298</v>
      </c>
      <c r="D1077" s="23">
        <v>44743</v>
      </c>
      <c r="E1077" s="24">
        <v>79290.149999999994</v>
      </c>
      <c r="F1077" s="5" t="s">
        <v>321</v>
      </c>
    </row>
    <row r="1078" spans="1:6">
      <c r="A1078" s="4">
        <f t="shared" si="16"/>
        <v>1077</v>
      </c>
      <c r="B1078" s="4" t="s">
        <v>322</v>
      </c>
      <c r="C1078" s="5" t="s">
        <v>299</v>
      </c>
      <c r="D1078" s="23">
        <v>44743</v>
      </c>
      <c r="E1078" s="24">
        <v>11480</v>
      </c>
      <c r="F1078" s="5" t="s">
        <v>321</v>
      </c>
    </row>
    <row r="1079" spans="1:6">
      <c r="A1079" s="4">
        <f t="shared" si="16"/>
        <v>1078</v>
      </c>
      <c r="B1079" s="4" t="s">
        <v>329</v>
      </c>
      <c r="C1079" s="5" t="s">
        <v>296</v>
      </c>
      <c r="D1079" s="26">
        <v>44713</v>
      </c>
      <c r="E1079" s="24">
        <v>1504</v>
      </c>
      <c r="F1079" s="5" t="s">
        <v>321</v>
      </c>
    </row>
    <row r="1080" spans="1:6">
      <c r="A1080" s="4">
        <f t="shared" si="16"/>
        <v>1079</v>
      </c>
      <c r="B1080" s="4" t="s">
        <v>323</v>
      </c>
      <c r="C1080" s="5" t="s">
        <v>304</v>
      </c>
      <c r="D1080" s="23">
        <v>44713</v>
      </c>
      <c r="E1080" s="24">
        <v>29069.62</v>
      </c>
      <c r="F1080" s="5" t="s">
        <v>321</v>
      </c>
    </row>
    <row r="1081" spans="1:6">
      <c r="A1081" s="4">
        <f t="shared" si="16"/>
        <v>1080</v>
      </c>
      <c r="B1081" s="4" t="s">
        <v>323</v>
      </c>
      <c r="C1081" s="5" t="s">
        <v>299</v>
      </c>
      <c r="D1081" s="23">
        <v>44713</v>
      </c>
      <c r="E1081" s="24">
        <v>18889.870000000003</v>
      </c>
      <c r="F1081" s="5" t="s">
        <v>321</v>
      </c>
    </row>
    <row r="1082" spans="1:6">
      <c r="A1082" s="4">
        <f t="shared" si="16"/>
        <v>1081</v>
      </c>
      <c r="B1082" s="4" t="s">
        <v>323</v>
      </c>
      <c r="C1082" s="5" t="s">
        <v>298</v>
      </c>
      <c r="D1082" s="23">
        <v>44713</v>
      </c>
      <c r="E1082" s="24">
        <v>5894.6</v>
      </c>
      <c r="F1082" s="5" t="s">
        <v>321</v>
      </c>
    </row>
    <row r="1083" spans="1:6">
      <c r="A1083" s="4">
        <f t="shared" si="16"/>
        <v>1082</v>
      </c>
      <c r="B1083" s="4" t="s">
        <v>323</v>
      </c>
      <c r="C1083" s="5" t="s">
        <v>295</v>
      </c>
      <c r="D1083" s="23">
        <v>44713</v>
      </c>
      <c r="E1083" s="24">
        <v>768</v>
      </c>
      <c r="F1083" s="5" t="s">
        <v>321</v>
      </c>
    </row>
    <row r="1084" spans="1:6">
      <c r="A1084" s="4">
        <f t="shared" si="16"/>
        <v>1083</v>
      </c>
      <c r="B1084" s="4" t="s">
        <v>323</v>
      </c>
      <c r="C1084" s="5" t="s">
        <v>308</v>
      </c>
      <c r="D1084" s="23">
        <v>44713</v>
      </c>
      <c r="E1084" s="24">
        <v>15175.400000000001</v>
      </c>
      <c r="F1084" s="5" t="s">
        <v>321</v>
      </c>
    </row>
    <row r="1085" spans="1:6">
      <c r="A1085" s="4">
        <f t="shared" si="16"/>
        <v>1084</v>
      </c>
      <c r="B1085" s="4" t="s">
        <v>323</v>
      </c>
      <c r="C1085" s="5" t="s">
        <v>300</v>
      </c>
      <c r="D1085" s="23">
        <v>44713</v>
      </c>
      <c r="E1085" s="24">
        <v>38290.300000000003</v>
      </c>
      <c r="F1085" s="5" t="s">
        <v>321</v>
      </c>
    </row>
    <row r="1086" spans="1:6">
      <c r="A1086" s="4">
        <f t="shared" si="16"/>
        <v>1085</v>
      </c>
      <c r="B1086" s="4" t="s">
        <v>323</v>
      </c>
      <c r="C1086" s="5" t="s">
        <v>307</v>
      </c>
      <c r="D1086" s="23">
        <v>44713</v>
      </c>
      <c r="E1086" s="24">
        <v>5208</v>
      </c>
      <c r="F1086" s="5" t="s">
        <v>321</v>
      </c>
    </row>
    <row r="1087" spans="1:6">
      <c r="A1087" s="4">
        <f t="shared" si="16"/>
        <v>1086</v>
      </c>
      <c r="B1087" s="4" t="s">
        <v>323</v>
      </c>
      <c r="C1087" s="5" t="s">
        <v>310</v>
      </c>
      <c r="D1087" s="23">
        <v>44713</v>
      </c>
      <c r="E1087" s="24">
        <v>22664.77</v>
      </c>
      <c r="F1087" s="5" t="s">
        <v>321</v>
      </c>
    </row>
    <row r="1088" spans="1:6">
      <c r="A1088" s="4">
        <f t="shared" si="16"/>
        <v>1087</v>
      </c>
      <c r="B1088" s="4" t="s">
        <v>324</v>
      </c>
      <c r="C1088" s="5" t="s">
        <v>304</v>
      </c>
      <c r="D1088" s="23">
        <v>44713</v>
      </c>
      <c r="E1088" s="24">
        <v>12800.44</v>
      </c>
      <c r="F1088" s="5" t="s">
        <v>321</v>
      </c>
    </row>
    <row r="1089" spans="1:6">
      <c r="A1089" s="4">
        <f t="shared" si="16"/>
        <v>1088</v>
      </c>
      <c r="B1089" s="4" t="s">
        <v>324</v>
      </c>
      <c r="C1089" s="5" t="s">
        <v>299</v>
      </c>
      <c r="D1089" s="23">
        <v>44713</v>
      </c>
      <c r="E1089" s="24">
        <v>36384</v>
      </c>
      <c r="F1089" s="5" t="s">
        <v>321</v>
      </c>
    </row>
    <row r="1090" spans="1:6">
      <c r="A1090" s="4">
        <f t="shared" si="16"/>
        <v>1089</v>
      </c>
      <c r="B1090" s="4" t="s">
        <v>324</v>
      </c>
      <c r="C1090" s="5" t="s">
        <v>298</v>
      </c>
      <c r="D1090" s="23">
        <v>44713</v>
      </c>
      <c r="E1090" s="24">
        <v>503.5</v>
      </c>
      <c r="F1090" s="5" t="s">
        <v>321</v>
      </c>
    </row>
    <row r="1091" spans="1:6">
      <c r="A1091" s="4">
        <f t="shared" si="16"/>
        <v>1090</v>
      </c>
      <c r="B1091" s="4" t="s">
        <v>324</v>
      </c>
      <c r="C1091" s="5" t="s">
        <v>295</v>
      </c>
      <c r="D1091" s="23">
        <v>44713</v>
      </c>
      <c r="E1091" s="24">
        <v>3456</v>
      </c>
      <c r="F1091" s="5" t="s">
        <v>321</v>
      </c>
    </row>
    <row r="1092" spans="1:6">
      <c r="A1092" s="4">
        <f t="shared" si="16"/>
        <v>1091</v>
      </c>
      <c r="B1092" s="4" t="s">
        <v>324</v>
      </c>
      <c r="C1092" s="5" t="s">
        <v>296</v>
      </c>
      <c r="D1092" s="23">
        <v>44713</v>
      </c>
      <c r="E1092" s="24">
        <v>1800</v>
      </c>
      <c r="F1092" s="5" t="s">
        <v>321</v>
      </c>
    </row>
    <row r="1093" spans="1:6">
      <c r="A1093" s="4">
        <f t="shared" si="16"/>
        <v>1092</v>
      </c>
      <c r="B1093" s="4" t="s">
        <v>324</v>
      </c>
      <c r="C1093" s="5" t="s">
        <v>308</v>
      </c>
      <c r="D1093" s="23">
        <v>44713</v>
      </c>
      <c r="E1093" s="24">
        <v>35575.15</v>
      </c>
      <c r="F1093" s="5" t="s">
        <v>321</v>
      </c>
    </row>
    <row r="1094" spans="1:6">
      <c r="A1094" s="4">
        <f t="shared" si="16"/>
        <v>1093</v>
      </c>
      <c r="B1094" s="4" t="s">
        <v>324</v>
      </c>
      <c r="C1094" s="5" t="s">
        <v>300</v>
      </c>
      <c r="D1094" s="23">
        <v>44713</v>
      </c>
      <c r="E1094" s="24">
        <v>15809.92</v>
      </c>
      <c r="F1094" s="5" t="s">
        <v>321</v>
      </c>
    </row>
    <row r="1095" spans="1:6">
      <c r="A1095" s="4">
        <f t="shared" si="16"/>
        <v>1094</v>
      </c>
      <c r="B1095" s="4" t="s">
        <v>324</v>
      </c>
      <c r="C1095" s="5" t="s">
        <v>307</v>
      </c>
      <c r="D1095" s="23">
        <v>44713</v>
      </c>
      <c r="E1095" s="24">
        <v>4640</v>
      </c>
      <c r="F1095" s="5" t="s">
        <v>321</v>
      </c>
    </row>
    <row r="1096" spans="1:6">
      <c r="A1096" s="4">
        <f t="shared" si="16"/>
        <v>1095</v>
      </c>
      <c r="B1096" s="4" t="s">
        <v>326</v>
      </c>
      <c r="C1096" s="5" t="s">
        <v>302</v>
      </c>
      <c r="D1096" s="23">
        <v>44713</v>
      </c>
      <c r="E1096" s="24">
        <v>45621.2</v>
      </c>
      <c r="F1096" s="5" t="s">
        <v>321</v>
      </c>
    </row>
    <row r="1097" spans="1:6">
      <c r="A1097" s="4">
        <f t="shared" si="16"/>
        <v>1096</v>
      </c>
      <c r="B1097" s="4" t="s">
        <v>322</v>
      </c>
      <c r="C1097" s="5" t="s">
        <v>299</v>
      </c>
      <c r="D1097" s="23">
        <v>44713</v>
      </c>
      <c r="E1097" s="24">
        <v>13020</v>
      </c>
      <c r="F1097" s="5" t="s">
        <v>321</v>
      </c>
    </row>
    <row r="1098" spans="1:6">
      <c r="A1098" s="4">
        <f t="shared" si="16"/>
        <v>1097</v>
      </c>
      <c r="B1098" s="4" t="s">
        <v>323</v>
      </c>
      <c r="C1098" s="5" t="s">
        <v>304</v>
      </c>
      <c r="D1098" s="23">
        <v>44682</v>
      </c>
      <c r="E1098" s="24">
        <v>34668.5</v>
      </c>
      <c r="F1098" s="5" t="s">
        <v>321</v>
      </c>
    </row>
    <row r="1099" spans="1:6">
      <c r="A1099" s="4">
        <f t="shared" ref="A1099:A1162" si="17">ROW()-1</f>
        <v>1098</v>
      </c>
      <c r="B1099" s="4" t="s">
        <v>323</v>
      </c>
      <c r="C1099" s="5" t="s">
        <v>299</v>
      </c>
      <c r="D1099" s="23">
        <v>44682</v>
      </c>
      <c r="E1099" s="24">
        <v>47398.09</v>
      </c>
      <c r="F1099" s="5" t="s">
        <v>321</v>
      </c>
    </row>
    <row r="1100" spans="1:6">
      <c r="A1100" s="4">
        <f t="shared" si="17"/>
        <v>1099</v>
      </c>
      <c r="B1100" s="4" t="s">
        <v>323</v>
      </c>
      <c r="C1100" s="5" t="s">
        <v>298</v>
      </c>
      <c r="D1100" s="23">
        <v>44682</v>
      </c>
      <c r="E1100" s="24">
        <v>2293.84</v>
      </c>
      <c r="F1100" s="5" t="s">
        <v>321</v>
      </c>
    </row>
    <row r="1101" spans="1:6">
      <c r="A1101" s="4">
        <f t="shared" si="17"/>
        <v>1100</v>
      </c>
      <c r="B1101" s="4" t="s">
        <v>323</v>
      </c>
      <c r="C1101" s="5" t="s">
        <v>295</v>
      </c>
      <c r="D1101" s="23">
        <v>44682</v>
      </c>
      <c r="E1101" s="24">
        <v>1280</v>
      </c>
      <c r="F1101" s="5" t="s">
        <v>321</v>
      </c>
    </row>
    <row r="1102" spans="1:6">
      <c r="A1102" s="4">
        <f t="shared" si="17"/>
        <v>1101</v>
      </c>
      <c r="B1102" s="4" t="s">
        <v>323</v>
      </c>
      <c r="C1102" s="5" t="s">
        <v>308</v>
      </c>
      <c r="D1102" s="23">
        <v>44682</v>
      </c>
      <c r="E1102" s="24">
        <v>12245</v>
      </c>
      <c r="F1102" s="5" t="s">
        <v>321</v>
      </c>
    </row>
    <row r="1103" spans="1:6">
      <c r="A1103" s="4">
        <f t="shared" si="17"/>
        <v>1102</v>
      </c>
      <c r="B1103" s="4" t="s">
        <v>323</v>
      </c>
      <c r="C1103" s="5" t="s">
        <v>300</v>
      </c>
      <c r="D1103" s="23">
        <v>44682</v>
      </c>
      <c r="E1103" s="24">
        <v>91042.190000000017</v>
      </c>
      <c r="F1103" s="5" t="s">
        <v>321</v>
      </c>
    </row>
    <row r="1104" spans="1:6">
      <c r="A1104" s="4">
        <f t="shared" si="17"/>
        <v>1103</v>
      </c>
      <c r="B1104" s="4" t="s">
        <v>323</v>
      </c>
      <c r="C1104" s="5" t="s">
        <v>307</v>
      </c>
      <c r="D1104" s="23">
        <v>44682</v>
      </c>
      <c r="E1104" s="24">
        <v>29696</v>
      </c>
      <c r="F1104" s="5" t="s">
        <v>321</v>
      </c>
    </row>
    <row r="1105" spans="1:6">
      <c r="A1105" s="4">
        <f t="shared" si="17"/>
        <v>1104</v>
      </c>
      <c r="B1105" s="4" t="s">
        <v>323</v>
      </c>
      <c r="C1105" s="5" t="s">
        <v>310</v>
      </c>
      <c r="D1105" s="23">
        <v>44682</v>
      </c>
      <c r="E1105" s="24">
        <v>29602.22</v>
      </c>
      <c r="F1105" s="5" t="s">
        <v>321</v>
      </c>
    </row>
    <row r="1106" spans="1:6">
      <c r="A1106" s="4">
        <f t="shared" si="17"/>
        <v>1105</v>
      </c>
      <c r="B1106" s="4" t="s">
        <v>323</v>
      </c>
      <c r="C1106" s="5" t="s">
        <v>311</v>
      </c>
      <c r="D1106" s="23">
        <v>44682</v>
      </c>
      <c r="E1106" s="24">
        <v>510</v>
      </c>
      <c r="F1106" s="5" t="s">
        <v>321</v>
      </c>
    </row>
    <row r="1107" spans="1:6">
      <c r="A1107" s="4">
        <f t="shared" si="17"/>
        <v>1106</v>
      </c>
      <c r="B1107" s="4" t="s">
        <v>324</v>
      </c>
      <c r="C1107" s="5" t="s">
        <v>304</v>
      </c>
      <c r="D1107" s="23">
        <v>44682</v>
      </c>
      <c r="E1107" s="24">
        <v>15554.19</v>
      </c>
      <c r="F1107" s="5" t="s">
        <v>321</v>
      </c>
    </row>
    <row r="1108" spans="1:6">
      <c r="A1108" s="4">
        <f t="shared" si="17"/>
        <v>1107</v>
      </c>
      <c r="B1108" s="4" t="s">
        <v>324</v>
      </c>
      <c r="C1108" s="5" t="s">
        <v>299</v>
      </c>
      <c r="D1108" s="23">
        <v>44682</v>
      </c>
      <c r="E1108" s="24">
        <v>8311.5</v>
      </c>
      <c r="F1108" s="5" t="s">
        <v>321</v>
      </c>
    </row>
    <row r="1109" spans="1:6">
      <c r="A1109" s="4">
        <f t="shared" si="17"/>
        <v>1108</v>
      </c>
      <c r="B1109" s="4" t="s">
        <v>324</v>
      </c>
      <c r="C1109" s="5" t="s">
        <v>298</v>
      </c>
      <c r="D1109" s="23">
        <v>44682</v>
      </c>
      <c r="E1109" s="24">
        <v>1880</v>
      </c>
      <c r="F1109" s="5" t="s">
        <v>321</v>
      </c>
    </row>
    <row r="1110" spans="1:6">
      <c r="A1110" s="4">
        <f t="shared" si="17"/>
        <v>1109</v>
      </c>
      <c r="B1110" s="4" t="s">
        <v>324</v>
      </c>
      <c r="C1110" s="5" t="s">
        <v>295</v>
      </c>
      <c r="D1110" s="23">
        <v>44682</v>
      </c>
      <c r="E1110" s="24">
        <v>25812</v>
      </c>
      <c r="F1110" s="5" t="s">
        <v>321</v>
      </c>
    </row>
    <row r="1111" spans="1:6">
      <c r="A1111" s="4">
        <f t="shared" si="17"/>
        <v>1110</v>
      </c>
      <c r="B1111" s="4" t="s">
        <v>324</v>
      </c>
      <c r="C1111" s="5" t="s">
        <v>296</v>
      </c>
      <c r="D1111" s="23">
        <v>44682</v>
      </c>
      <c r="E1111" s="24">
        <v>7674</v>
      </c>
      <c r="F1111" s="5" t="s">
        <v>321</v>
      </c>
    </row>
    <row r="1112" spans="1:6">
      <c r="A1112" s="4">
        <f t="shared" si="17"/>
        <v>1111</v>
      </c>
      <c r="B1112" s="4" t="s">
        <v>324</v>
      </c>
      <c r="C1112" s="5" t="s">
        <v>308</v>
      </c>
      <c r="D1112" s="23">
        <v>44682</v>
      </c>
      <c r="E1112" s="24">
        <v>19825.55</v>
      </c>
      <c r="F1112" s="5" t="s">
        <v>321</v>
      </c>
    </row>
    <row r="1113" spans="1:6">
      <c r="A1113" s="4">
        <f t="shared" si="17"/>
        <v>1112</v>
      </c>
      <c r="B1113" s="4" t="s">
        <v>324</v>
      </c>
      <c r="C1113" s="5" t="s">
        <v>300</v>
      </c>
      <c r="D1113" s="23">
        <v>44682</v>
      </c>
      <c r="E1113" s="24">
        <v>19980.52</v>
      </c>
      <c r="F1113" s="5" t="s">
        <v>321</v>
      </c>
    </row>
    <row r="1114" spans="1:6">
      <c r="A1114" s="4">
        <f t="shared" si="17"/>
        <v>1113</v>
      </c>
      <c r="B1114" s="4" t="s">
        <v>324</v>
      </c>
      <c r="C1114" s="5" t="s">
        <v>310</v>
      </c>
      <c r="D1114" s="23">
        <v>44682</v>
      </c>
      <c r="E1114" s="24">
        <v>1702.97</v>
      </c>
      <c r="F1114" s="5" t="s">
        <v>321</v>
      </c>
    </row>
    <row r="1115" spans="1:6">
      <c r="A1115" s="4">
        <f t="shared" si="17"/>
        <v>1114</v>
      </c>
      <c r="B1115" s="4" t="s">
        <v>326</v>
      </c>
      <c r="C1115" s="5" t="s">
        <v>302</v>
      </c>
      <c r="D1115" s="23">
        <v>44682</v>
      </c>
      <c r="E1115" s="24">
        <v>38231.26</v>
      </c>
      <c r="F1115" s="5" t="s">
        <v>321</v>
      </c>
    </row>
    <row r="1116" spans="1:6">
      <c r="A1116" s="4">
        <f t="shared" si="17"/>
        <v>1115</v>
      </c>
      <c r="B1116" s="4" t="s">
        <v>322</v>
      </c>
      <c r="C1116" s="5" t="s">
        <v>299</v>
      </c>
      <c r="D1116" s="23">
        <v>44682</v>
      </c>
      <c r="E1116" s="24">
        <v>12485</v>
      </c>
      <c r="F1116" s="5" t="s">
        <v>321</v>
      </c>
    </row>
    <row r="1117" spans="1:6">
      <c r="A1117" s="4">
        <f t="shared" si="17"/>
        <v>1116</v>
      </c>
      <c r="B1117" s="4" t="s">
        <v>323</v>
      </c>
      <c r="C1117" s="5" t="s">
        <v>304</v>
      </c>
      <c r="D1117" s="23">
        <v>44652</v>
      </c>
      <c r="E1117" s="24">
        <v>50563.46</v>
      </c>
      <c r="F1117" s="5" t="s">
        <v>321</v>
      </c>
    </row>
    <row r="1118" spans="1:6">
      <c r="A1118" s="4">
        <f t="shared" si="17"/>
        <v>1117</v>
      </c>
      <c r="B1118" s="4" t="s">
        <v>323</v>
      </c>
      <c r="C1118" s="5" t="s">
        <v>299</v>
      </c>
      <c r="D1118" s="23">
        <v>44652</v>
      </c>
      <c r="E1118" s="24">
        <v>51546.000000000007</v>
      </c>
      <c r="F1118" s="5" t="s">
        <v>321</v>
      </c>
    </row>
    <row r="1119" spans="1:6">
      <c r="A1119" s="4">
        <f t="shared" si="17"/>
        <v>1118</v>
      </c>
      <c r="B1119" s="4" t="s">
        <v>323</v>
      </c>
      <c r="C1119" s="5" t="s">
        <v>298</v>
      </c>
      <c r="D1119" s="23">
        <v>44652</v>
      </c>
      <c r="E1119" s="24">
        <v>1489.6</v>
      </c>
      <c r="F1119" s="5" t="s">
        <v>321</v>
      </c>
    </row>
    <row r="1120" spans="1:6">
      <c r="A1120" s="4">
        <f t="shared" si="17"/>
        <v>1119</v>
      </c>
      <c r="B1120" s="4" t="s">
        <v>323</v>
      </c>
      <c r="C1120" s="5" t="s">
        <v>295</v>
      </c>
      <c r="D1120" s="23">
        <v>44652</v>
      </c>
      <c r="E1120" s="24">
        <v>3448</v>
      </c>
      <c r="F1120" s="5" t="s">
        <v>321</v>
      </c>
    </row>
    <row r="1121" spans="1:6">
      <c r="A1121" s="4">
        <f t="shared" si="17"/>
        <v>1120</v>
      </c>
      <c r="B1121" s="4" t="s">
        <v>323</v>
      </c>
      <c r="C1121" s="5" t="s">
        <v>308</v>
      </c>
      <c r="D1121" s="23">
        <v>44652</v>
      </c>
      <c r="E1121" s="24">
        <v>13798.1</v>
      </c>
      <c r="F1121" s="5" t="s">
        <v>321</v>
      </c>
    </row>
    <row r="1122" spans="1:6">
      <c r="A1122" s="4">
        <f t="shared" si="17"/>
        <v>1121</v>
      </c>
      <c r="B1122" s="4" t="s">
        <v>323</v>
      </c>
      <c r="C1122" s="5" t="s">
        <v>300</v>
      </c>
      <c r="D1122" s="23">
        <v>44652</v>
      </c>
      <c r="E1122" s="24">
        <v>61052.64999999998</v>
      </c>
      <c r="F1122" s="5" t="s">
        <v>321</v>
      </c>
    </row>
    <row r="1123" spans="1:6">
      <c r="A1123" s="4">
        <f t="shared" si="17"/>
        <v>1122</v>
      </c>
      <c r="B1123" s="4" t="s">
        <v>323</v>
      </c>
      <c r="C1123" s="5" t="s">
        <v>307</v>
      </c>
      <c r="D1123" s="23">
        <v>44652</v>
      </c>
      <c r="E1123" s="24">
        <v>28032</v>
      </c>
      <c r="F1123" s="5" t="s">
        <v>321</v>
      </c>
    </row>
    <row r="1124" spans="1:6">
      <c r="A1124" s="4">
        <f t="shared" si="17"/>
        <v>1123</v>
      </c>
      <c r="B1124" s="4" t="s">
        <v>323</v>
      </c>
      <c r="C1124" s="5" t="s">
        <v>310</v>
      </c>
      <c r="D1124" s="23">
        <v>44652</v>
      </c>
      <c r="E1124" s="24">
        <v>16718.170000000002</v>
      </c>
      <c r="F1124" s="5" t="s">
        <v>321</v>
      </c>
    </row>
    <row r="1125" spans="1:6">
      <c r="A1125" s="4">
        <f t="shared" si="17"/>
        <v>1124</v>
      </c>
      <c r="B1125" s="4" t="s">
        <v>324</v>
      </c>
      <c r="C1125" s="5" t="s">
        <v>304</v>
      </c>
      <c r="D1125" s="23">
        <v>44652</v>
      </c>
      <c r="E1125" s="24">
        <v>18266.86</v>
      </c>
      <c r="F1125" s="5" t="s">
        <v>321</v>
      </c>
    </row>
    <row r="1126" spans="1:6">
      <c r="A1126" s="4">
        <f t="shared" si="17"/>
        <v>1125</v>
      </c>
      <c r="B1126" s="4" t="s">
        <v>324</v>
      </c>
      <c r="C1126" s="5" t="s">
        <v>299</v>
      </c>
      <c r="D1126" s="23">
        <v>44652</v>
      </c>
      <c r="E1126" s="24">
        <v>16615.009999999998</v>
      </c>
      <c r="F1126" s="5" t="s">
        <v>321</v>
      </c>
    </row>
    <row r="1127" spans="1:6">
      <c r="A1127" s="4">
        <f t="shared" si="17"/>
        <v>1126</v>
      </c>
      <c r="B1127" s="4" t="s">
        <v>324</v>
      </c>
      <c r="C1127" s="5" t="s">
        <v>298</v>
      </c>
      <c r="D1127" s="23">
        <v>44652</v>
      </c>
      <c r="E1127" s="24">
        <v>3712.36</v>
      </c>
      <c r="F1127" s="5" t="s">
        <v>321</v>
      </c>
    </row>
    <row r="1128" spans="1:6">
      <c r="A1128" s="4">
        <f t="shared" si="17"/>
        <v>1127</v>
      </c>
      <c r="B1128" s="4" t="s">
        <v>324</v>
      </c>
      <c r="C1128" s="5" t="s">
        <v>295</v>
      </c>
      <c r="D1128" s="23">
        <v>44652</v>
      </c>
      <c r="E1128" s="24">
        <v>2560</v>
      </c>
      <c r="F1128" s="5" t="s">
        <v>321</v>
      </c>
    </row>
    <row r="1129" spans="1:6">
      <c r="A1129" s="4">
        <f t="shared" si="17"/>
        <v>1128</v>
      </c>
      <c r="B1129" s="4" t="s">
        <v>324</v>
      </c>
      <c r="C1129" s="5" t="s">
        <v>296</v>
      </c>
      <c r="D1129" s="23">
        <v>44652</v>
      </c>
      <c r="E1129" s="24">
        <v>9000</v>
      </c>
      <c r="F1129" s="5" t="s">
        <v>321</v>
      </c>
    </row>
    <row r="1130" spans="1:6">
      <c r="A1130" s="4">
        <f t="shared" si="17"/>
        <v>1129</v>
      </c>
      <c r="B1130" s="4" t="s">
        <v>324</v>
      </c>
      <c r="C1130" s="5" t="s">
        <v>308</v>
      </c>
      <c r="D1130" s="23">
        <v>44652</v>
      </c>
      <c r="E1130" s="24">
        <v>19213.169999999998</v>
      </c>
      <c r="F1130" s="5" t="s">
        <v>321</v>
      </c>
    </row>
    <row r="1131" spans="1:6">
      <c r="A1131" s="4">
        <f t="shared" si="17"/>
        <v>1130</v>
      </c>
      <c r="B1131" s="4" t="s">
        <v>324</v>
      </c>
      <c r="C1131" s="5" t="s">
        <v>300</v>
      </c>
      <c r="D1131" s="23">
        <v>44652</v>
      </c>
      <c r="E1131" s="24">
        <v>29594.63</v>
      </c>
      <c r="F1131" s="5" t="s">
        <v>321</v>
      </c>
    </row>
    <row r="1132" spans="1:6">
      <c r="A1132" s="4">
        <f t="shared" si="17"/>
        <v>1131</v>
      </c>
      <c r="B1132" s="4" t="s">
        <v>324</v>
      </c>
      <c r="C1132" s="5" t="s">
        <v>307</v>
      </c>
      <c r="D1132" s="23">
        <v>44652</v>
      </c>
      <c r="E1132" s="24">
        <v>576</v>
      </c>
      <c r="F1132" s="5" t="s">
        <v>321</v>
      </c>
    </row>
    <row r="1133" spans="1:6">
      <c r="A1133" s="4">
        <f t="shared" si="17"/>
        <v>1132</v>
      </c>
      <c r="B1133" s="4" t="s">
        <v>324</v>
      </c>
      <c r="C1133" s="5" t="s">
        <v>310</v>
      </c>
      <c r="D1133" s="23">
        <v>44652</v>
      </c>
      <c r="E1133" s="24">
        <v>1708.7</v>
      </c>
      <c r="F1133" s="5" t="s">
        <v>321</v>
      </c>
    </row>
    <row r="1134" spans="1:6">
      <c r="A1134" s="4">
        <f t="shared" si="17"/>
        <v>1133</v>
      </c>
      <c r="B1134" s="4" t="s">
        <v>322</v>
      </c>
      <c r="C1134" s="5" t="s">
        <v>299</v>
      </c>
      <c r="D1134" s="23">
        <v>44652</v>
      </c>
      <c r="E1134" s="24">
        <v>8330</v>
      </c>
      <c r="F1134" s="5" t="s">
        <v>321</v>
      </c>
    </row>
    <row r="1135" spans="1:6">
      <c r="A1135" s="4">
        <f t="shared" si="17"/>
        <v>1134</v>
      </c>
      <c r="B1135" s="4" t="s">
        <v>323</v>
      </c>
      <c r="C1135" s="5" t="s">
        <v>304</v>
      </c>
      <c r="D1135" s="23">
        <v>44621</v>
      </c>
      <c r="E1135" s="24">
        <v>14197.28</v>
      </c>
      <c r="F1135" s="5" t="s">
        <v>321</v>
      </c>
    </row>
    <row r="1136" spans="1:6">
      <c r="A1136" s="4">
        <f t="shared" si="17"/>
        <v>1135</v>
      </c>
      <c r="B1136" s="4" t="s">
        <v>323</v>
      </c>
      <c r="C1136" s="5" t="s">
        <v>299</v>
      </c>
      <c r="D1136" s="23">
        <v>44621</v>
      </c>
      <c r="E1136" s="24">
        <v>38313.08</v>
      </c>
      <c r="F1136" s="5" t="s">
        <v>321</v>
      </c>
    </row>
    <row r="1137" spans="1:6">
      <c r="A1137" s="4">
        <f t="shared" si="17"/>
        <v>1136</v>
      </c>
      <c r="B1137" s="4" t="s">
        <v>323</v>
      </c>
      <c r="C1137" s="5" t="s">
        <v>298</v>
      </c>
      <c r="D1137" s="23">
        <v>44621</v>
      </c>
      <c r="E1137" s="24">
        <v>376</v>
      </c>
      <c r="F1137" s="5" t="s">
        <v>321</v>
      </c>
    </row>
    <row r="1138" spans="1:6">
      <c r="A1138" s="4">
        <f t="shared" si="17"/>
        <v>1137</v>
      </c>
      <c r="B1138" s="4" t="s">
        <v>323</v>
      </c>
      <c r="C1138" s="5" t="s">
        <v>295</v>
      </c>
      <c r="D1138" s="23">
        <v>44621</v>
      </c>
      <c r="E1138" s="24">
        <v>5343.5</v>
      </c>
      <c r="F1138" s="5" t="s">
        <v>321</v>
      </c>
    </row>
    <row r="1139" spans="1:6">
      <c r="A1139" s="4">
        <f t="shared" si="17"/>
        <v>1138</v>
      </c>
      <c r="B1139" s="4" t="s">
        <v>323</v>
      </c>
      <c r="C1139" s="5" t="s">
        <v>308</v>
      </c>
      <c r="D1139" s="23">
        <v>44621</v>
      </c>
      <c r="E1139" s="24">
        <v>7530</v>
      </c>
      <c r="F1139" s="5" t="s">
        <v>321</v>
      </c>
    </row>
    <row r="1140" spans="1:6">
      <c r="A1140" s="4">
        <f t="shared" si="17"/>
        <v>1139</v>
      </c>
      <c r="B1140" s="4" t="s">
        <v>323</v>
      </c>
      <c r="C1140" s="5" t="s">
        <v>300</v>
      </c>
      <c r="D1140" s="23">
        <v>44621</v>
      </c>
      <c r="E1140" s="24">
        <v>6454.6699999999992</v>
      </c>
      <c r="F1140" s="5" t="s">
        <v>321</v>
      </c>
    </row>
    <row r="1141" spans="1:6">
      <c r="A1141" s="4">
        <f t="shared" si="17"/>
        <v>1140</v>
      </c>
      <c r="B1141" s="4" t="s">
        <v>323</v>
      </c>
      <c r="C1141" s="5" t="s">
        <v>307</v>
      </c>
      <c r="D1141" s="23">
        <v>44621</v>
      </c>
      <c r="E1141" s="24">
        <v>6880</v>
      </c>
      <c r="F1141" s="5" t="s">
        <v>321</v>
      </c>
    </row>
    <row r="1142" spans="1:6">
      <c r="A1142" s="4">
        <f t="shared" si="17"/>
        <v>1141</v>
      </c>
      <c r="B1142" s="4" t="s">
        <v>323</v>
      </c>
      <c r="C1142" s="5" t="s">
        <v>310</v>
      </c>
      <c r="D1142" s="23">
        <v>44621</v>
      </c>
      <c r="E1142" s="24">
        <v>474</v>
      </c>
      <c r="F1142" s="5" t="s">
        <v>321</v>
      </c>
    </row>
    <row r="1143" spans="1:6">
      <c r="A1143" s="4">
        <f t="shared" si="17"/>
        <v>1142</v>
      </c>
      <c r="B1143" s="4" t="s">
        <v>324</v>
      </c>
      <c r="C1143" s="5" t="s">
        <v>304</v>
      </c>
      <c r="D1143" s="23">
        <v>44621</v>
      </c>
      <c r="E1143" s="24">
        <v>7843.46</v>
      </c>
      <c r="F1143" s="5" t="s">
        <v>321</v>
      </c>
    </row>
    <row r="1144" spans="1:6">
      <c r="A1144" s="4">
        <f t="shared" si="17"/>
        <v>1143</v>
      </c>
      <c r="B1144" s="4" t="s">
        <v>324</v>
      </c>
      <c r="C1144" s="5" t="s">
        <v>299</v>
      </c>
      <c r="D1144" s="23">
        <v>44621</v>
      </c>
      <c r="E1144" s="24">
        <v>840</v>
      </c>
      <c r="F1144" s="5" t="s">
        <v>321</v>
      </c>
    </row>
    <row r="1145" spans="1:6">
      <c r="A1145" s="4">
        <f t="shared" si="17"/>
        <v>1144</v>
      </c>
      <c r="B1145" s="4" t="s">
        <v>324</v>
      </c>
      <c r="C1145" s="5" t="s">
        <v>298</v>
      </c>
      <c r="D1145" s="23">
        <v>44621</v>
      </c>
      <c r="E1145" s="24">
        <v>2256</v>
      </c>
      <c r="F1145" s="5" t="s">
        <v>321</v>
      </c>
    </row>
    <row r="1146" spans="1:6">
      <c r="A1146" s="4">
        <f t="shared" si="17"/>
        <v>1145</v>
      </c>
      <c r="B1146" s="4" t="s">
        <v>324</v>
      </c>
      <c r="C1146" s="5" t="s">
        <v>295</v>
      </c>
      <c r="D1146" s="23">
        <v>44621</v>
      </c>
      <c r="E1146" s="24">
        <v>5120</v>
      </c>
      <c r="F1146" s="5" t="s">
        <v>321</v>
      </c>
    </row>
    <row r="1147" spans="1:6">
      <c r="A1147" s="4">
        <f t="shared" si="17"/>
        <v>1146</v>
      </c>
      <c r="B1147" s="4" t="s">
        <v>324</v>
      </c>
      <c r="C1147" s="5" t="s">
        <v>296</v>
      </c>
      <c r="D1147" s="23">
        <v>44621</v>
      </c>
      <c r="E1147" s="24">
        <v>5406.06</v>
      </c>
      <c r="F1147" s="5" t="s">
        <v>321</v>
      </c>
    </row>
    <row r="1148" spans="1:6">
      <c r="A1148" s="4">
        <f t="shared" si="17"/>
        <v>1147</v>
      </c>
      <c r="B1148" s="4" t="s">
        <v>324</v>
      </c>
      <c r="C1148" s="5" t="s">
        <v>308</v>
      </c>
      <c r="D1148" s="23">
        <v>44621</v>
      </c>
      <c r="E1148" s="24">
        <v>16284.619999999999</v>
      </c>
      <c r="F1148" s="5" t="s">
        <v>321</v>
      </c>
    </row>
    <row r="1149" spans="1:6">
      <c r="A1149" s="4">
        <f t="shared" si="17"/>
        <v>1148</v>
      </c>
      <c r="B1149" s="4" t="s">
        <v>324</v>
      </c>
      <c r="C1149" s="5" t="s">
        <v>300</v>
      </c>
      <c r="D1149" s="23">
        <v>44621</v>
      </c>
      <c r="E1149" s="24">
        <v>29178.3</v>
      </c>
      <c r="F1149" s="5" t="s">
        <v>321</v>
      </c>
    </row>
    <row r="1150" spans="1:6">
      <c r="A1150" s="4">
        <f t="shared" si="17"/>
        <v>1149</v>
      </c>
      <c r="B1150" s="4" t="s">
        <v>324</v>
      </c>
      <c r="C1150" s="5" t="s">
        <v>307</v>
      </c>
      <c r="D1150" s="23">
        <v>44621</v>
      </c>
      <c r="E1150" s="24">
        <v>2304</v>
      </c>
      <c r="F1150" s="5" t="s">
        <v>321</v>
      </c>
    </row>
    <row r="1151" spans="1:6">
      <c r="A1151" s="4">
        <f t="shared" si="17"/>
        <v>1150</v>
      </c>
      <c r="B1151" s="4" t="s">
        <v>324</v>
      </c>
      <c r="C1151" s="5" t="s">
        <v>310</v>
      </c>
      <c r="D1151" s="23">
        <v>44621</v>
      </c>
      <c r="E1151" s="24">
        <v>2771.81</v>
      </c>
      <c r="F1151" s="5" t="s">
        <v>321</v>
      </c>
    </row>
    <row r="1152" spans="1:6">
      <c r="A1152" s="4">
        <f t="shared" si="17"/>
        <v>1151</v>
      </c>
      <c r="B1152" s="4" t="s">
        <v>322</v>
      </c>
      <c r="C1152" s="5" t="s">
        <v>299</v>
      </c>
      <c r="D1152" s="23">
        <v>44621</v>
      </c>
      <c r="E1152" s="24">
        <v>7934</v>
      </c>
      <c r="F1152" s="5" t="s">
        <v>321</v>
      </c>
    </row>
    <row r="1153" spans="1:6">
      <c r="A1153" s="4">
        <f t="shared" si="17"/>
        <v>1152</v>
      </c>
      <c r="B1153" s="4" t="s">
        <v>323</v>
      </c>
      <c r="C1153" s="5" t="s">
        <v>304</v>
      </c>
      <c r="D1153" s="23">
        <v>44593</v>
      </c>
      <c r="E1153" s="24">
        <v>35312.54</v>
      </c>
      <c r="F1153" s="5" t="s">
        <v>321</v>
      </c>
    </row>
    <row r="1154" spans="1:6">
      <c r="A1154" s="4">
        <f t="shared" si="17"/>
        <v>1153</v>
      </c>
      <c r="B1154" s="4" t="s">
        <v>323</v>
      </c>
      <c r="C1154" s="5" t="s">
        <v>295</v>
      </c>
      <c r="D1154" s="23">
        <v>44593</v>
      </c>
      <c r="E1154" s="24">
        <v>256</v>
      </c>
      <c r="F1154" s="5" t="s">
        <v>321</v>
      </c>
    </row>
    <row r="1155" spans="1:6">
      <c r="A1155" s="4">
        <f t="shared" si="17"/>
        <v>1154</v>
      </c>
      <c r="B1155" s="4" t="s">
        <v>323</v>
      </c>
      <c r="C1155" s="5" t="s">
        <v>308</v>
      </c>
      <c r="D1155" s="23">
        <v>44593</v>
      </c>
      <c r="E1155" s="24">
        <v>8609.2000000000007</v>
      </c>
      <c r="F1155" s="5" t="s">
        <v>321</v>
      </c>
    </row>
    <row r="1156" spans="1:6">
      <c r="A1156" s="4">
        <f t="shared" si="17"/>
        <v>1155</v>
      </c>
      <c r="B1156" s="4" t="s">
        <v>323</v>
      </c>
      <c r="C1156" s="5" t="s">
        <v>300</v>
      </c>
      <c r="D1156" s="23">
        <v>44593</v>
      </c>
      <c r="E1156" s="24">
        <v>42858.610000000008</v>
      </c>
      <c r="F1156" s="5" t="s">
        <v>321</v>
      </c>
    </row>
    <row r="1157" spans="1:6">
      <c r="A1157" s="4">
        <f t="shared" si="17"/>
        <v>1156</v>
      </c>
      <c r="B1157" s="4" t="s">
        <v>323</v>
      </c>
      <c r="C1157" s="5" t="s">
        <v>307</v>
      </c>
      <c r="D1157" s="23">
        <v>44593</v>
      </c>
      <c r="E1157" s="24">
        <v>19920</v>
      </c>
      <c r="F1157" s="5" t="s">
        <v>321</v>
      </c>
    </row>
    <row r="1158" spans="1:6">
      <c r="A1158" s="4">
        <f t="shared" si="17"/>
        <v>1157</v>
      </c>
      <c r="B1158" s="4" t="s">
        <v>323</v>
      </c>
      <c r="C1158" s="5" t="s">
        <v>310</v>
      </c>
      <c r="D1158" s="23">
        <v>44593</v>
      </c>
      <c r="E1158" s="24">
        <v>11724.6</v>
      </c>
      <c r="F1158" s="5" t="s">
        <v>321</v>
      </c>
    </row>
    <row r="1159" spans="1:6">
      <c r="A1159" s="4">
        <f t="shared" si="17"/>
        <v>1158</v>
      </c>
      <c r="B1159" s="4" t="s">
        <v>324</v>
      </c>
      <c r="C1159" s="5" t="s">
        <v>304</v>
      </c>
      <c r="D1159" s="23">
        <v>44593</v>
      </c>
      <c r="E1159" s="24">
        <v>9179.3799999999992</v>
      </c>
      <c r="F1159" s="5" t="s">
        <v>321</v>
      </c>
    </row>
    <row r="1160" spans="1:6">
      <c r="A1160" s="4">
        <f t="shared" si="17"/>
        <v>1159</v>
      </c>
      <c r="B1160" s="4" t="s">
        <v>324</v>
      </c>
      <c r="C1160" s="5" t="s">
        <v>299</v>
      </c>
      <c r="D1160" s="23">
        <v>44593</v>
      </c>
      <c r="E1160" s="24">
        <v>280</v>
      </c>
      <c r="F1160" s="5" t="s">
        <v>321</v>
      </c>
    </row>
    <row r="1161" spans="1:6">
      <c r="A1161" s="4">
        <f t="shared" si="17"/>
        <v>1160</v>
      </c>
      <c r="B1161" s="4" t="s">
        <v>324</v>
      </c>
      <c r="C1161" s="5" t="s">
        <v>298</v>
      </c>
      <c r="D1161" s="23">
        <v>44593</v>
      </c>
      <c r="E1161" s="24">
        <v>3008</v>
      </c>
      <c r="F1161" s="5" t="s">
        <v>321</v>
      </c>
    </row>
    <row r="1162" spans="1:6">
      <c r="A1162" s="4">
        <f t="shared" si="17"/>
        <v>1161</v>
      </c>
      <c r="B1162" s="4" t="s">
        <v>324</v>
      </c>
      <c r="C1162" s="5" t="s">
        <v>295</v>
      </c>
      <c r="D1162" s="23">
        <v>44593</v>
      </c>
      <c r="E1162" s="24">
        <v>7245.25</v>
      </c>
      <c r="F1162" s="5" t="s">
        <v>321</v>
      </c>
    </row>
    <row r="1163" spans="1:6">
      <c r="A1163" s="4">
        <f t="shared" ref="A1163:A1226" si="18">ROW()-1</f>
        <v>1162</v>
      </c>
      <c r="B1163" s="4" t="s">
        <v>324</v>
      </c>
      <c r="C1163" s="5" t="s">
        <v>296</v>
      </c>
      <c r="D1163" s="23">
        <v>44593</v>
      </c>
      <c r="E1163" s="24">
        <v>9741.4500000000007</v>
      </c>
      <c r="F1163" s="5" t="s">
        <v>321</v>
      </c>
    </row>
    <row r="1164" spans="1:6">
      <c r="A1164" s="4">
        <f t="shared" si="18"/>
        <v>1163</v>
      </c>
      <c r="B1164" s="4" t="s">
        <v>324</v>
      </c>
      <c r="C1164" s="5" t="s">
        <v>308</v>
      </c>
      <c r="D1164" s="23">
        <v>44593</v>
      </c>
      <c r="E1164" s="24">
        <v>18725.8</v>
      </c>
      <c r="F1164" s="5" t="s">
        <v>321</v>
      </c>
    </row>
    <row r="1165" spans="1:6">
      <c r="A1165" s="4">
        <f t="shared" si="18"/>
        <v>1164</v>
      </c>
      <c r="B1165" s="4" t="s">
        <v>324</v>
      </c>
      <c r="C1165" s="5" t="s">
        <v>300</v>
      </c>
      <c r="D1165" s="23">
        <v>44593</v>
      </c>
      <c r="E1165" s="24">
        <v>35592.980000000003</v>
      </c>
      <c r="F1165" s="5" t="s">
        <v>321</v>
      </c>
    </row>
    <row r="1166" spans="1:6">
      <c r="A1166" s="4">
        <f t="shared" si="18"/>
        <v>1165</v>
      </c>
      <c r="B1166" s="4" t="s">
        <v>324</v>
      </c>
      <c r="C1166" s="5" t="s">
        <v>307</v>
      </c>
      <c r="D1166" s="23">
        <v>44593</v>
      </c>
      <c r="E1166" s="24">
        <v>3808</v>
      </c>
      <c r="F1166" s="5" t="s">
        <v>321</v>
      </c>
    </row>
    <row r="1167" spans="1:6">
      <c r="A1167" s="4">
        <f t="shared" si="18"/>
        <v>1166</v>
      </c>
      <c r="B1167" s="4" t="s">
        <v>326</v>
      </c>
      <c r="C1167" s="5" t="s">
        <v>298</v>
      </c>
      <c r="D1167" s="23">
        <v>44593</v>
      </c>
      <c r="E1167" s="24">
        <v>257090.33</v>
      </c>
      <c r="F1167" s="5" t="s">
        <v>321</v>
      </c>
    </row>
    <row r="1168" spans="1:6">
      <c r="A1168" s="4">
        <f t="shared" si="18"/>
        <v>1167</v>
      </c>
      <c r="B1168" s="4" t="s">
        <v>322</v>
      </c>
      <c r="C1168" s="5" t="s">
        <v>299</v>
      </c>
      <c r="D1168" s="23">
        <v>44593</v>
      </c>
      <c r="E1168" s="24">
        <v>11930</v>
      </c>
      <c r="F1168" s="5" t="s">
        <v>321</v>
      </c>
    </row>
    <row r="1169" spans="1:6">
      <c r="A1169" s="4">
        <f t="shared" si="18"/>
        <v>1168</v>
      </c>
      <c r="B1169" s="4" t="s">
        <v>323</v>
      </c>
      <c r="C1169" s="5" t="s">
        <v>304</v>
      </c>
      <c r="D1169" s="23">
        <v>44562</v>
      </c>
      <c r="E1169" s="24">
        <v>33471.990000000005</v>
      </c>
      <c r="F1169" s="5" t="s">
        <v>321</v>
      </c>
    </row>
    <row r="1170" spans="1:6">
      <c r="A1170" s="4">
        <f t="shared" si="18"/>
        <v>1169</v>
      </c>
      <c r="B1170" s="4" t="s">
        <v>323</v>
      </c>
      <c r="C1170" s="5" t="s">
        <v>299</v>
      </c>
      <c r="D1170" s="23">
        <v>44562</v>
      </c>
      <c r="E1170" s="24">
        <v>43061.63</v>
      </c>
      <c r="F1170" s="5" t="s">
        <v>321</v>
      </c>
    </row>
    <row r="1171" spans="1:6">
      <c r="A1171" s="4">
        <f t="shared" si="18"/>
        <v>1170</v>
      </c>
      <c r="B1171" s="4" t="s">
        <v>323</v>
      </c>
      <c r="C1171" s="5" t="s">
        <v>298</v>
      </c>
      <c r="D1171" s="23">
        <v>44562</v>
      </c>
      <c r="E1171" s="24">
        <v>3220.8</v>
      </c>
      <c r="F1171" s="5" t="s">
        <v>321</v>
      </c>
    </row>
    <row r="1172" spans="1:6">
      <c r="A1172" s="4">
        <f t="shared" si="18"/>
        <v>1171</v>
      </c>
      <c r="B1172" s="4" t="s">
        <v>323</v>
      </c>
      <c r="C1172" s="5" t="s">
        <v>295</v>
      </c>
      <c r="D1172" s="23">
        <v>44562</v>
      </c>
      <c r="E1172" s="24">
        <v>5520</v>
      </c>
      <c r="F1172" s="5" t="s">
        <v>321</v>
      </c>
    </row>
    <row r="1173" spans="1:6">
      <c r="A1173" s="4">
        <f t="shared" si="18"/>
        <v>1172</v>
      </c>
      <c r="B1173" s="4" t="s">
        <v>323</v>
      </c>
      <c r="C1173" s="5" t="s">
        <v>308</v>
      </c>
      <c r="D1173" s="23">
        <v>44562</v>
      </c>
      <c r="E1173" s="24">
        <v>7348.2999999999993</v>
      </c>
      <c r="F1173" s="5" t="s">
        <v>321</v>
      </c>
    </row>
    <row r="1174" spans="1:6">
      <c r="A1174" s="4">
        <f t="shared" si="18"/>
        <v>1173</v>
      </c>
      <c r="B1174" s="4" t="s">
        <v>323</v>
      </c>
      <c r="C1174" s="5" t="s">
        <v>300</v>
      </c>
      <c r="D1174" s="23">
        <v>44562</v>
      </c>
      <c r="E1174" s="24">
        <v>51164.520000000004</v>
      </c>
      <c r="F1174" s="5" t="s">
        <v>321</v>
      </c>
    </row>
    <row r="1175" spans="1:6">
      <c r="A1175" s="4">
        <f t="shared" si="18"/>
        <v>1174</v>
      </c>
      <c r="B1175" s="4" t="s">
        <v>323</v>
      </c>
      <c r="C1175" s="5" t="s">
        <v>307</v>
      </c>
      <c r="D1175" s="23">
        <v>44562</v>
      </c>
      <c r="E1175" s="24">
        <v>25824</v>
      </c>
      <c r="F1175" s="5" t="s">
        <v>321</v>
      </c>
    </row>
    <row r="1176" spans="1:6">
      <c r="A1176" s="4">
        <f t="shared" si="18"/>
        <v>1175</v>
      </c>
      <c r="B1176" s="4" t="s">
        <v>323</v>
      </c>
      <c r="C1176" s="5" t="s">
        <v>310</v>
      </c>
      <c r="D1176" s="23">
        <v>44562</v>
      </c>
      <c r="E1176" s="24">
        <v>6023.4</v>
      </c>
      <c r="F1176" s="5" t="s">
        <v>321</v>
      </c>
    </row>
    <row r="1177" spans="1:6">
      <c r="A1177" s="4">
        <f t="shared" si="18"/>
        <v>1176</v>
      </c>
      <c r="B1177" s="4" t="s">
        <v>324</v>
      </c>
      <c r="C1177" s="5" t="s">
        <v>304</v>
      </c>
      <c r="D1177" s="23">
        <v>44562</v>
      </c>
      <c r="E1177" s="24">
        <v>21545.05</v>
      </c>
      <c r="F1177" s="5" t="s">
        <v>321</v>
      </c>
    </row>
    <row r="1178" spans="1:6">
      <c r="A1178" s="4">
        <f t="shared" si="18"/>
        <v>1177</v>
      </c>
      <c r="B1178" s="4" t="s">
        <v>324</v>
      </c>
      <c r="C1178" s="5" t="s">
        <v>299</v>
      </c>
      <c r="D1178" s="23">
        <v>44562</v>
      </c>
      <c r="E1178" s="24">
        <v>280</v>
      </c>
      <c r="F1178" s="5" t="s">
        <v>321</v>
      </c>
    </row>
    <row r="1179" spans="1:6">
      <c r="A1179" s="4">
        <f t="shared" si="18"/>
        <v>1178</v>
      </c>
      <c r="B1179" s="4" t="s">
        <v>324</v>
      </c>
      <c r="C1179" s="5" t="s">
        <v>298</v>
      </c>
      <c r="D1179" s="23">
        <v>44562</v>
      </c>
      <c r="E1179" s="24">
        <v>6432</v>
      </c>
      <c r="F1179" s="5" t="s">
        <v>321</v>
      </c>
    </row>
    <row r="1180" spans="1:6">
      <c r="A1180" s="4">
        <f t="shared" si="18"/>
        <v>1179</v>
      </c>
      <c r="B1180" s="4" t="s">
        <v>324</v>
      </c>
      <c r="C1180" s="5" t="s">
        <v>295</v>
      </c>
      <c r="D1180" s="23">
        <v>44562</v>
      </c>
      <c r="E1180" s="24">
        <v>3896</v>
      </c>
      <c r="F1180" s="5" t="s">
        <v>321</v>
      </c>
    </row>
    <row r="1181" spans="1:6">
      <c r="A1181" s="4">
        <f t="shared" si="18"/>
        <v>1180</v>
      </c>
      <c r="B1181" s="4" t="s">
        <v>324</v>
      </c>
      <c r="C1181" s="5" t="s">
        <v>308</v>
      </c>
      <c r="D1181" s="23">
        <v>44562</v>
      </c>
      <c r="E1181" s="24">
        <v>4306.22</v>
      </c>
      <c r="F1181" s="5" t="s">
        <v>321</v>
      </c>
    </row>
    <row r="1182" spans="1:6">
      <c r="A1182" s="4">
        <f t="shared" si="18"/>
        <v>1181</v>
      </c>
      <c r="B1182" s="4" t="s">
        <v>324</v>
      </c>
      <c r="C1182" s="5" t="s">
        <v>300</v>
      </c>
      <c r="D1182" s="23">
        <v>44562</v>
      </c>
      <c r="E1182" s="24">
        <v>20808.71</v>
      </c>
      <c r="F1182" s="5" t="s">
        <v>321</v>
      </c>
    </row>
    <row r="1183" spans="1:6">
      <c r="A1183" s="4">
        <f t="shared" si="18"/>
        <v>1182</v>
      </c>
      <c r="B1183" s="4" t="s">
        <v>324</v>
      </c>
      <c r="C1183" s="5" t="s">
        <v>307</v>
      </c>
      <c r="D1183" s="23">
        <v>44562</v>
      </c>
      <c r="E1183" s="24">
        <v>1152</v>
      </c>
      <c r="F1183" s="5" t="s">
        <v>321</v>
      </c>
    </row>
    <row r="1184" spans="1:6">
      <c r="A1184" s="4">
        <f t="shared" si="18"/>
        <v>1183</v>
      </c>
      <c r="B1184" s="4" t="s">
        <v>322</v>
      </c>
      <c r="C1184" s="5" t="s">
        <v>299</v>
      </c>
      <c r="D1184" s="23">
        <v>44562</v>
      </c>
      <c r="E1184" s="24">
        <v>10336</v>
      </c>
      <c r="F1184" s="5" t="s">
        <v>321</v>
      </c>
    </row>
    <row r="1185" spans="1:6">
      <c r="A1185" s="4">
        <f t="shared" si="18"/>
        <v>1184</v>
      </c>
      <c r="B1185" s="4" t="s">
        <v>323</v>
      </c>
      <c r="C1185" s="5" t="s">
        <v>304</v>
      </c>
      <c r="D1185" s="23">
        <v>44531</v>
      </c>
      <c r="E1185" s="24">
        <v>44942.41</v>
      </c>
      <c r="F1185" s="5" t="s">
        <v>321</v>
      </c>
    </row>
    <row r="1186" spans="1:6">
      <c r="A1186" s="4">
        <f t="shared" si="18"/>
        <v>1185</v>
      </c>
      <c r="B1186" s="4" t="s">
        <v>323</v>
      </c>
      <c r="C1186" s="5" t="s">
        <v>299</v>
      </c>
      <c r="D1186" s="23">
        <v>44531</v>
      </c>
      <c r="E1186" s="24">
        <v>31213.55</v>
      </c>
      <c r="F1186" s="5" t="s">
        <v>321</v>
      </c>
    </row>
    <row r="1187" spans="1:6">
      <c r="A1187" s="4">
        <f t="shared" si="18"/>
        <v>1186</v>
      </c>
      <c r="B1187" s="4" t="s">
        <v>323</v>
      </c>
      <c r="C1187" s="5" t="s">
        <v>295</v>
      </c>
      <c r="D1187" s="23">
        <v>44531</v>
      </c>
      <c r="E1187" s="24">
        <v>6576</v>
      </c>
      <c r="F1187" s="5" t="s">
        <v>321</v>
      </c>
    </row>
    <row r="1188" spans="1:6">
      <c r="A1188" s="4">
        <f t="shared" si="18"/>
        <v>1187</v>
      </c>
      <c r="B1188" s="4" t="s">
        <v>323</v>
      </c>
      <c r="C1188" s="5" t="s">
        <v>308</v>
      </c>
      <c r="D1188" s="23">
        <v>44531</v>
      </c>
      <c r="E1188" s="24">
        <v>5429.9</v>
      </c>
      <c r="F1188" s="5" t="s">
        <v>321</v>
      </c>
    </row>
    <row r="1189" spans="1:6">
      <c r="A1189" s="4">
        <f t="shared" si="18"/>
        <v>1188</v>
      </c>
      <c r="B1189" s="4" t="s">
        <v>323</v>
      </c>
      <c r="C1189" s="5" t="s">
        <v>300</v>
      </c>
      <c r="D1189" s="23">
        <v>44531</v>
      </c>
      <c r="E1189" s="24">
        <v>46086.759999999987</v>
      </c>
      <c r="F1189" s="5" t="s">
        <v>321</v>
      </c>
    </row>
    <row r="1190" spans="1:6">
      <c r="A1190" s="4">
        <f t="shared" si="18"/>
        <v>1189</v>
      </c>
      <c r="B1190" s="4" t="s">
        <v>323</v>
      </c>
      <c r="C1190" s="5" t="s">
        <v>307</v>
      </c>
      <c r="D1190" s="23">
        <v>44531</v>
      </c>
      <c r="E1190" s="24">
        <v>11008</v>
      </c>
      <c r="F1190" s="5" t="s">
        <v>321</v>
      </c>
    </row>
    <row r="1191" spans="1:6">
      <c r="A1191" s="4">
        <f t="shared" si="18"/>
        <v>1190</v>
      </c>
      <c r="B1191" s="4" t="s">
        <v>323</v>
      </c>
      <c r="C1191" s="5" t="s">
        <v>310</v>
      </c>
      <c r="D1191" s="23">
        <v>44531</v>
      </c>
      <c r="E1191" s="24">
        <v>16817.04</v>
      </c>
      <c r="F1191" s="5" t="s">
        <v>321</v>
      </c>
    </row>
    <row r="1192" spans="1:6">
      <c r="A1192" s="4">
        <f t="shared" si="18"/>
        <v>1191</v>
      </c>
      <c r="B1192" s="4" t="s">
        <v>324</v>
      </c>
      <c r="C1192" s="5" t="s">
        <v>304</v>
      </c>
      <c r="D1192" s="23">
        <v>44531</v>
      </c>
      <c r="E1192" s="24">
        <v>17154.61</v>
      </c>
      <c r="F1192" s="5" t="s">
        <v>321</v>
      </c>
    </row>
    <row r="1193" spans="1:6">
      <c r="A1193" s="4">
        <f t="shared" si="18"/>
        <v>1192</v>
      </c>
      <c r="B1193" s="4" t="s">
        <v>324</v>
      </c>
      <c r="C1193" s="5" t="s">
        <v>298</v>
      </c>
      <c r="D1193" s="23">
        <v>44531</v>
      </c>
      <c r="E1193" s="24">
        <v>752</v>
      </c>
      <c r="F1193" s="5" t="s">
        <v>321</v>
      </c>
    </row>
    <row r="1194" spans="1:6">
      <c r="A1194" s="4">
        <f t="shared" si="18"/>
        <v>1193</v>
      </c>
      <c r="B1194" s="4" t="s">
        <v>324</v>
      </c>
      <c r="C1194" s="5" t="s">
        <v>295</v>
      </c>
      <c r="D1194" s="23">
        <v>44531</v>
      </c>
      <c r="E1194" s="24">
        <v>2912</v>
      </c>
      <c r="F1194" s="5" t="s">
        <v>321</v>
      </c>
    </row>
    <row r="1195" spans="1:6">
      <c r="A1195" s="4">
        <f t="shared" si="18"/>
        <v>1194</v>
      </c>
      <c r="B1195" s="4" t="s">
        <v>324</v>
      </c>
      <c r="C1195" s="5" t="s">
        <v>308</v>
      </c>
      <c r="D1195" s="23">
        <v>44531</v>
      </c>
      <c r="E1195" s="24">
        <v>2912.05</v>
      </c>
      <c r="F1195" s="5" t="s">
        <v>321</v>
      </c>
    </row>
    <row r="1196" spans="1:6">
      <c r="A1196" s="4">
        <f t="shared" si="18"/>
        <v>1195</v>
      </c>
      <c r="B1196" s="4" t="s">
        <v>324</v>
      </c>
      <c r="C1196" s="5" t="s">
        <v>300</v>
      </c>
      <c r="D1196" s="23">
        <v>44531</v>
      </c>
      <c r="E1196" s="24">
        <v>37936.030000000006</v>
      </c>
      <c r="F1196" s="5" t="s">
        <v>321</v>
      </c>
    </row>
    <row r="1197" spans="1:6">
      <c r="A1197" s="4">
        <f t="shared" si="18"/>
        <v>1196</v>
      </c>
      <c r="B1197" s="4" t="s">
        <v>324</v>
      </c>
      <c r="C1197" s="5" t="s">
        <v>307</v>
      </c>
      <c r="D1197" s="23">
        <v>44531</v>
      </c>
      <c r="E1197" s="24">
        <v>576</v>
      </c>
      <c r="F1197" s="5" t="s">
        <v>321</v>
      </c>
    </row>
    <row r="1198" spans="1:6">
      <c r="A1198" s="4">
        <f t="shared" si="18"/>
        <v>1197</v>
      </c>
      <c r="B1198" s="4" t="s">
        <v>326</v>
      </c>
      <c r="C1198" s="5" t="s">
        <v>302</v>
      </c>
      <c r="D1198" s="23">
        <v>44531</v>
      </c>
      <c r="E1198" s="24">
        <v>42286.400000000001</v>
      </c>
      <c r="F1198" s="5" t="s">
        <v>321</v>
      </c>
    </row>
    <row r="1199" spans="1:6">
      <c r="A1199" s="4">
        <f t="shared" si="18"/>
        <v>1198</v>
      </c>
      <c r="B1199" s="4" t="s">
        <v>326</v>
      </c>
      <c r="C1199" s="5" t="s">
        <v>298</v>
      </c>
      <c r="D1199" s="23">
        <v>44531</v>
      </c>
      <c r="E1199" s="24">
        <v>114108.83</v>
      </c>
      <c r="F1199" s="5" t="s">
        <v>321</v>
      </c>
    </row>
    <row r="1200" spans="1:6">
      <c r="A1200" s="4">
        <f t="shared" si="18"/>
        <v>1199</v>
      </c>
      <c r="B1200" s="4" t="s">
        <v>322</v>
      </c>
      <c r="C1200" s="5" t="s">
        <v>299</v>
      </c>
      <c r="D1200" s="23">
        <v>44531</v>
      </c>
      <c r="E1200" s="24">
        <v>11728.6</v>
      </c>
      <c r="F1200" s="5" t="s">
        <v>321</v>
      </c>
    </row>
    <row r="1201" spans="1:6">
      <c r="A1201" s="4">
        <f t="shared" si="18"/>
        <v>1200</v>
      </c>
      <c r="B1201" s="4" t="s">
        <v>323</v>
      </c>
      <c r="C1201" s="5" t="s">
        <v>304</v>
      </c>
      <c r="D1201" s="23">
        <v>44501</v>
      </c>
      <c r="E1201" s="24">
        <v>30002.7</v>
      </c>
      <c r="F1201" s="5" t="s">
        <v>321</v>
      </c>
    </row>
    <row r="1202" spans="1:6">
      <c r="A1202" s="4">
        <f t="shared" si="18"/>
        <v>1201</v>
      </c>
      <c r="B1202" s="4" t="s">
        <v>323</v>
      </c>
      <c r="C1202" s="5" t="s">
        <v>299</v>
      </c>
      <c r="D1202" s="23">
        <v>44501</v>
      </c>
      <c r="E1202" s="24">
        <v>29138.47</v>
      </c>
      <c r="F1202" s="5" t="s">
        <v>321</v>
      </c>
    </row>
    <row r="1203" spans="1:6">
      <c r="A1203" s="4">
        <f t="shared" si="18"/>
        <v>1202</v>
      </c>
      <c r="B1203" s="4" t="s">
        <v>323</v>
      </c>
      <c r="C1203" s="5" t="s">
        <v>295</v>
      </c>
      <c r="D1203" s="23">
        <v>44501</v>
      </c>
      <c r="E1203" s="24">
        <v>9455.5</v>
      </c>
      <c r="F1203" s="5" t="s">
        <v>321</v>
      </c>
    </row>
    <row r="1204" spans="1:6">
      <c r="A1204" s="4">
        <f t="shared" si="18"/>
        <v>1203</v>
      </c>
      <c r="B1204" s="4" t="s">
        <v>323</v>
      </c>
      <c r="C1204" s="5" t="s">
        <v>308</v>
      </c>
      <c r="D1204" s="23">
        <v>44501</v>
      </c>
      <c r="E1204" s="24">
        <v>3671.7999999999993</v>
      </c>
      <c r="F1204" s="5" t="s">
        <v>321</v>
      </c>
    </row>
    <row r="1205" spans="1:6">
      <c r="A1205" s="4">
        <f t="shared" si="18"/>
        <v>1204</v>
      </c>
      <c r="B1205" s="4" t="s">
        <v>323</v>
      </c>
      <c r="C1205" s="5" t="s">
        <v>300</v>
      </c>
      <c r="D1205" s="23">
        <v>44501</v>
      </c>
      <c r="E1205" s="24">
        <v>63036.01</v>
      </c>
      <c r="F1205" s="5" t="s">
        <v>321</v>
      </c>
    </row>
    <row r="1206" spans="1:6">
      <c r="A1206" s="4">
        <f t="shared" si="18"/>
        <v>1205</v>
      </c>
      <c r="B1206" s="4" t="s">
        <v>323</v>
      </c>
      <c r="C1206" s="5" t="s">
        <v>307</v>
      </c>
      <c r="D1206" s="23">
        <v>44501</v>
      </c>
      <c r="E1206" s="24">
        <v>32608</v>
      </c>
      <c r="F1206" s="5" t="s">
        <v>321</v>
      </c>
    </row>
    <row r="1207" spans="1:6">
      <c r="A1207" s="4">
        <f t="shared" si="18"/>
        <v>1206</v>
      </c>
      <c r="B1207" s="4" t="s">
        <v>323</v>
      </c>
      <c r="C1207" s="5" t="s">
        <v>310</v>
      </c>
      <c r="D1207" s="23">
        <v>44501</v>
      </c>
      <c r="E1207" s="24">
        <v>18100.060000000001</v>
      </c>
      <c r="F1207" s="5" t="s">
        <v>321</v>
      </c>
    </row>
    <row r="1208" spans="1:6">
      <c r="A1208" s="4">
        <f t="shared" si="18"/>
        <v>1207</v>
      </c>
      <c r="B1208" s="4" t="s">
        <v>324</v>
      </c>
      <c r="C1208" s="5" t="s">
        <v>304</v>
      </c>
      <c r="D1208" s="23">
        <v>44501</v>
      </c>
      <c r="E1208" s="24">
        <v>12582.46</v>
      </c>
      <c r="F1208" s="5" t="s">
        <v>321</v>
      </c>
    </row>
    <row r="1209" spans="1:6">
      <c r="A1209" s="4">
        <f t="shared" si="18"/>
        <v>1208</v>
      </c>
      <c r="B1209" s="4" t="s">
        <v>324</v>
      </c>
      <c r="C1209" s="5" t="s">
        <v>299</v>
      </c>
      <c r="D1209" s="23">
        <v>44501</v>
      </c>
      <c r="E1209" s="24">
        <v>560</v>
      </c>
      <c r="F1209" s="5" t="s">
        <v>321</v>
      </c>
    </row>
    <row r="1210" spans="1:6">
      <c r="A1210" s="4">
        <f t="shared" si="18"/>
        <v>1209</v>
      </c>
      <c r="B1210" s="4" t="s">
        <v>324</v>
      </c>
      <c r="C1210" s="5" t="s">
        <v>295</v>
      </c>
      <c r="D1210" s="23">
        <v>44501</v>
      </c>
      <c r="E1210" s="24">
        <v>4384</v>
      </c>
      <c r="F1210" s="5" t="s">
        <v>321</v>
      </c>
    </row>
    <row r="1211" spans="1:6">
      <c r="A1211" s="4">
        <f t="shared" si="18"/>
        <v>1210</v>
      </c>
      <c r="B1211" s="4" t="s">
        <v>324</v>
      </c>
      <c r="C1211" s="5" t="s">
        <v>296</v>
      </c>
      <c r="D1211" s="23">
        <v>44501</v>
      </c>
      <c r="E1211" s="24">
        <v>7295.4</v>
      </c>
      <c r="F1211" s="5" t="s">
        <v>321</v>
      </c>
    </row>
    <row r="1212" spans="1:6">
      <c r="A1212" s="4">
        <f t="shared" si="18"/>
        <v>1211</v>
      </c>
      <c r="B1212" s="4" t="s">
        <v>324</v>
      </c>
      <c r="C1212" s="5" t="s">
        <v>308</v>
      </c>
      <c r="D1212" s="23">
        <v>44501</v>
      </c>
      <c r="E1212" s="24">
        <v>722.68</v>
      </c>
      <c r="F1212" s="5" t="s">
        <v>321</v>
      </c>
    </row>
    <row r="1213" spans="1:6">
      <c r="A1213" s="4">
        <f t="shared" si="18"/>
        <v>1212</v>
      </c>
      <c r="B1213" s="4" t="s">
        <v>324</v>
      </c>
      <c r="C1213" s="5" t="s">
        <v>300</v>
      </c>
      <c r="D1213" s="23">
        <v>44501</v>
      </c>
      <c r="E1213" s="24">
        <v>21553.96</v>
      </c>
      <c r="F1213" s="5" t="s">
        <v>321</v>
      </c>
    </row>
    <row r="1214" spans="1:6">
      <c r="A1214" s="4">
        <f t="shared" si="18"/>
        <v>1213</v>
      </c>
      <c r="B1214" s="4" t="s">
        <v>324</v>
      </c>
      <c r="C1214" s="5" t="s">
        <v>307</v>
      </c>
      <c r="D1214" s="23">
        <v>44501</v>
      </c>
      <c r="E1214" s="24">
        <v>2016</v>
      </c>
      <c r="F1214" s="5" t="s">
        <v>321</v>
      </c>
    </row>
    <row r="1215" spans="1:6">
      <c r="A1215" s="4">
        <f t="shared" si="18"/>
        <v>1214</v>
      </c>
      <c r="B1215" s="4" t="s">
        <v>322</v>
      </c>
      <c r="C1215" s="5" t="s">
        <v>299</v>
      </c>
      <c r="D1215" s="23">
        <v>44501</v>
      </c>
      <c r="E1215" s="24">
        <v>10764.6</v>
      </c>
      <c r="F1215" s="5" t="s">
        <v>321</v>
      </c>
    </row>
    <row r="1216" spans="1:6">
      <c r="A1216" s="4">
        <f t="shared" si="18"/>
        <v>1215</v>
      </c>
      <c r="B1216" s="4" t="s">
        <v>323</v>
      </c>
      <c r="C1216" s="5" t="s">
        <v>304</v>
      </c>
      <c r="D1216" s="23">
        <v>44470</v>
      </c>
      <c r="E1216" s="24">
        <v>49669.87000000001</v>
      </c>
      <c r="F1216" s="5" t="s">
        <v>321</v>
      </c>
    </row>
    <row r="1217" spans="1:6">
      <c r="A1217" s="4">
        <f t="shared" si="18"/>
        <v>1216</v>
      </c>
      <c r="B1217" s="4" t="s">
        <v>323</v>
      </c>
      <c r="C1217" s="5" t="s">
        <v>299</v>
      </c>
      <c r="D1217" s="23">
        <v>44470</v>
      </c>
      <c r="E1217" s="24">
        <v>28047.050000000003</v>
      </c>
      <c r="F1217" s="5" t="s">
        <v>321</v>
      </c>
    </row>
    <row r="1218" spans="1:6">
      <c r="A1218" s="4">
        <f t="shared" si="18"/>
        <v>1217</v>
      </c>
      <c r="B1218" s="4" t="s">
        <v>323</v>
      </c>
      <c r="C1218" s="5" t="s">
        <v>298</v>
      </c>
      <c r="D1218" s="23">
        <v>44470</v>
      </c>
      <c r="E1218" s="24">
        <v>752</v>
      </c>
      <c r="F1218" s="5" t="s">
        <v>321</v>
      </c>
    </row>
    <row r="1219" spans="1:6">
      <c r="A1219" s="4">
        <f t="shared" si="18"/>
        <v>1218</v>
      </c>
      <c r="B1219" s="4" t="s">
        <v>323</v>
      </c>
      <c r="C1219" s="5" t="s">
        <v>295</v>
      </c>
      <c r="D1219" s="23">
        <v>44470</v>
      </c>
      <c r="E1219" s="24">
        <v>14048</v>
      </c>
      <c r="F1219" s="5" t="s">
        <v>321</v>
      </c>
    </row>
    <row r="1220" spans="1:6">
      <c r="A1220" s="4">
        <f t="shared" si="18"/>
        <v>1219</v>
      </c>
      <c r="B1220" s="4" t="s">
        <v>323</v>
      </c>
      <c r="C1220" s="5" t="s">
        <v>308</v>
      </c>
      <c r="D1220" s="23">
        <v>44470</v>
      </c>
      <c r="E1220" s="24">
        <v>6002.4</v>
      </c>
      <c r="F1220" s="5" t="s">
        <v>321</v>
      </c>
    </row>
    <row r="1221" spans="1:6">
      <c r="A1221" s="4">
        <f t="shared" si="18"/>
        <v>1220</v>
      </c>
      <c r="B1221" s="4" t="s">
        <v>323</v>
      </c>
      <c r="C1221" s="5" t="s">
        <v>300</v>
      </c>
      <c r="D1221" s="23">
        <v>44470</v>
      </c>
      <c r="E1221" s="24">
        <v>42023.4</v>
      </c>
      <c r="F1221" s="5" t="s">
        <v>321</v>
      </c>
    </row>
    <row r="1222" spans="1:6">
      <c r="A1222" s="4">
        <f t="shared" si="18"/>
        <v>1221</v>
      </c>
      <c r="B1222" s="4" t="s">
        <v>323</v>
      </c>
      <c r="C1222" s="5" t="s">
        <v>307</v>
      </c>
      <c r="D1222" s="23">
        <v>44470</v>
      </c>
      <c r="E1222" s="24">
        <v>21952</v>
      </c>
      <c r="F1222" s="5" t="s">
        <v>321</v>
      </c>
    </row>
    <row r="1223" spans="1:6">
      <c r="A1223" s="4">
        <f t="shared" si="18"/>
        <v>1222</v>
      </c>
      <c r="B1223" s="4" t="s">
        <v>323</v>
      </c>
      <c r="C1223" s="5" t="s">
        <v>310</v>
      </c>
      <c r="D1223" s="23">
        <v>44470</v>
      </c>
      <c r="E1223" s="24">
        <v>11136.96</v>
      </c>
      <c r="F1223" s="5" t="s">
        <v>321</v>
      </c>
    </row>
    <row r="1224" spans="1:6">
      <c r="A1224" s="4">
        <f t="shared" si="18"/>
        <v>1223</v>
      </c>
      <c r="B1224" s="4" t="s">
        <v>324</v>
      </c>
      <c r="C1224" s="5" t="s">
        <v>304</v>
      </c>
      <c r="D1224" s="23">
        <v>44470</v>
      </c>
      <c r="E1224" s="24">
        <v>3461.76</v>
      </c>
      <c r="F1224" s="5" t="s">
        <v>321</v>
      </c>
    </row>
    <row r="1225" spans="1:6">
      <c r="A1225" s="4">
        <f t="shared" si="18"/>
        <v>1224</v>
      </c>
      <c r="B1225" s="4" t="s">
        <v>324</v>
      </c>
      <c r="C1225" s="5" t="s">
        <v>299</v>
      </c>
      <c r="D1225" s="23">
        <v>44470</v>
      </c>
      <c r="E1225" s="24">
        <v>479.5</v>
      </c>
      <c r="F1225" s="5" t="s">
        <v>321</v>
      </c>
    </row>
    <row r="1226" spans="1:6">
      <c r="A1226" s="4">
        <f t="shared" si="18"/>
        <v>1225</v>
      </c>
      <c r="B1226" s="4" t="s">
        <v>324</v>
      </c>
      <c r="C1226" s="5" t="s">
        <v>296</v>
      </c>
      <c r="D1226" s="23">
        <v>44470</v>
      </c>
      <c r="E1226" s="24">
        <v>2595.8000000000002</v>
      </c>
      <c r="F1226" s="5" t="s">
        <v>321</v>
      </c>
    </row>
    <row r="1227" spans="1:6">
      <c r="A1227" s="4">
        <f t="shared" ref="A1227:A1290" si="19">ROW()-1</f>
        <v>1226</v>
      </c>
      <c r="B1227" s="4" t="s">
        <v>324</v>
      </c>
      <c r="C1227" s="5" t="s">
        <v>300</v>
      </c>
      <c r="D1227" s="23">
        <v>44470</v>
      </c>
      <c r="E1227" s="24">
        <v>12325.15</v>
      </c>
      <c r="F1227" s="5" t="s">
        <v>321</v>
      </c>
    </row>
    <row r="1228" spans="1:6">
      <c r="A1228" s="4">
        <f t="shared" si="19"/>
        <v>1227</v>
      </c>
      <c r="B1228" s="4" t="s">
        <v>322</v>
      </c>
      <c r="C1228" s="5" t="s">
        <v>299</v>
      </c>
      <c r="D1228" s="23">
        <v>44470</v>
      </c>
      <c r="E1228" s="24">
        <v>5390</v>
      </c>
      <c r="F1228" s="5" t="s">
        <v>321</v>
      </c>
    </row>
    <row r="1229" spans="1:6">
      <c r="A1229" s="4">
        <f t="shared" si="19"/>
        <v>1228</v>
      </c>
      <c r="B1229" s="4" t="s">
        <v>323</v>
      </c>
      <c r="C1229" s="5" t="s">
        <v>304</v>
      </c>
      <c r="D1229" s="23">
        <v>44440</v>
      </c>
      <c r="E1229" s="24">
        <v>50344.28</v>
      </c>
      <c r="F1229" s="5" t="s">
        <v>321</v>
      </c>
    </row>
    <row r="1230" spans="1:6">
      <c r="A1230" s="4">
        <f t="shared" si="19"/>
        <v>1229</v>
      </c>
      <c r="B1230" s="4" t="s">
        <v>323</v>
      </c>
      <c r="C1230" s="5" t="s">
        <v>299</v>
      </c>
      <c r="D1230" s="23">
        <v>44440</v>
      </c>
      <c r="E1230" s="24">
        <v>8580.25</v>
      </c>
      <c r="F1230" s="5" t="s">
        <v>321</v>
      </c>
    </row>
    <row r="1231" spans="1:6">
      <c r="A1231" s="4">
        <f t="shared" si="19"/>
        <v>1230</v>
      </c>
      <c r="B1231" s="4" t="s">
        <v>323</v>
      </c>
      <c r="C1231" s="5" t="s">
        <v>295</v>
      </c>
      <c r="D1231" s="23">
        <v>44440</v>
      </c>
      <c r="E1231" s="24">
        <v>5024</v>
      </c>
      <c r="F1231" s="5" t="s">
        <v>321</v>
      </c>
    </row>
    <row r="1232" spans="1:6">
      <c r="A1232" s="4">
        <f t="shared" si="19"/>
        <v>1231</v>
      </c>
      <c r="B1232" s="4" t="s">
        <v>323</v>
      </c>
      <c r="C1232" s="5" t="s">
        <v>308</v>
      </c>
      <c r="D1232" s="23">
        <v>44440</v>
      </c>
      <c r="E1232" s="24">
        <v>9229.1999999999989</v>
      </c>
      <c r="F1232" s="5" t="s">
        <v>321</v>
      </c>
    </row>
    <row r="1233" spans="1:6">
      <c r="A1233" s="4">
        <f t="shared" si="19"/>
        <v>1232</v>
      </c>
      <c r="B1233" s="4" t="s">
        <v>323</v>
      </c>
      <c r="C1233" s="5" t="s">
        <v>300</v>
      </c>
      <c r="D1233" s="23">
        <v>44440</v>
      </c>
      <c r="E1233" s="24">
        <v>78240.62000000001</v>
      </c>
      <c r="F1233" s="5" t="s">
        <v>321</v>
      </c>
    </row>
    <row r="1234" spans="1:6">
      <c r="A1234" s="4">
        <f t="shared" si="19"/>
        <v>1233</v>
      </c>
      <c r="B1234" s="4" t="s">
        <v>323</v>
      </c>
      <c r="C1234" s="5" t="s">
        <v>307</v>
      </c>
      <c r="D1234" s="23">
        <v>44440</v>
      </c>
      <c r="E1234" s="24">
        <v>26784</v>
      </c>
      <c r="F1234" s="5" t="s">
        <v>321</v>
      </c>
    </row>
    <row r="1235" spans="1:6">
      <c r="A1235" s="4">
        <f t="shared" si="19"/>
        <v>1234</v>
      </c>
      <c r="B1235" s="4" t="s">
        <v>323</v>
      </c>
      <c r="C1235" s="5" t="s">
        <v>310</v>
      </c>
      <c r="D1235" s="23">
        <v>44440</v>
      </c>
      <c r="E1235" s="24">
        <v>15638.190000000002</v>
      </c>
      <c r="F1235" s="5" t="s">
        <v>321</v>
      </c>
    </row>
    <row r="1236" spans="1:6">
      <c r="A1236" s="4">
        <f t="shared" si="19"/>
        <v>1235</v>
      </c>
      <c r="B1236" s="4" t="s">
        <v>324</v>
      </c>
      <c r="C1236" s="5" t="s">
        <v>304</v>
      </c>
      <c r="D1236" s="23">
        <v>44440</v>
      </c>
      <c r="E1236" s="24">
        <v>3766.4</v>
      </c>
      <c r="F1236" s="5" t="s">
        <v>321</v>
      </c>
    </row>
    <row r="1237" spans="1:6">
      <c r="A1237" s="4">
        <f t="shared" si="19"/>
        <v>1236</v>
      </c>
      <c r="B1237" s="4" t="s">
        <v>324</v>
      </c>
      <c r="C1237" s="5" t="s">
        <v>296</v>
      </c>
      <c r="D1237" s="23">
        <v>44440</v>
      </c>
      <c r="E1237" s="24">
        <v>820</v>
      </c>
      <c r="F1237" s="5" t="s">
        <v>321</v>
      </c>
    </row>
    <row r="1238" spans="1:6">
      <c r="A1238" s="4">
        <f t="shared" si="19"/>
        <v>1237</v>
      </c>
      <c r="B1238" s="4" t="s">
        <v>324</v>
      </c>
      <c r="C1238" s="5" t="s">
        <v>300</v>
      </c>
      <c r="D1238" s="23">
        <v>44440</v>
      </c>
      <c r="E1238" s="24">
        <v>12798.3</v>
      </c>
      <c r="F1238" s="5" t="s">
        <v>321</v>
      </c>
    </row>
    <row r="1239" spans="1:6">
      <c r="A1239" s="4">
        <f t="shared" si="19"/>
        <v>1238</v>
      </c>
      <c r="B1239" s="4" t="s">
        <v>322</v>
      </c>
      <c r="C1239" s="5" t="s">
        <v>299</v>
      </c>
      <c r="D1239" s="23">
        <v>44440</v>
      </c>
      <c r="E1239" s="24">
        <v>9820</v>
      </c>
      <c r="F1239" s="5" t="s">
        <v>321</v>
      </c>
    </row>
    <row r="1240" spans="1:6">
      <c r="A1240" s="4">
        <f t="shared" si="19"/>
        <v>1239</v>
      </c>
      <c r="B1240" s="4" t="s">
        <v>323</v>
      </c>
      <c r="C1240" s="5" t="s">
        <v>304</v>
      </c>
      <c r="D1240" s="23">
        <v>44409</v>
      </c>
      <c r="E1240" s="24">
        <v>30468.190000000002</v>
      </c>
      <c r="F1240" s="5" t="s">
        <v>321</v>
      </c>
    </row>
    <row r="1241" spans="1:6">
      <c r="A1241" s="4">
        <f t="shared" si="19"/>
        <v>1240</v>
      </c>
      <c r="B1241" s="4" t="s">
        <v>323</v>
      </c>
      <c r="C1241" s="5" t="s">
        <v>299</v>
      </c>
      <c r="D1241" s="23">
        <v>44409</v>
      </c>
      <c r="E1241" s="24">
        <v>12950.76</v>
      </c>
      <c r="F1241" s="5" t="s">
        <v>321</v>
      </c>
    </row>
    <row r="1242" spans="1:6">
      <c r="A1242" s="4">
        <f t="shared" si="19"/>
        <v>1241</v>
      </c>
      <c r="B1242" s="4" t="s">
        <v>323</v>
      </c>
      <c r="C1242" s="5" t="s">
        <v>298</v>
      </c>
      <c r="D1242" s="23">
        <v>44409</v>
      </c>
      <c r="E1242" s="24">
        <v>5180</v>
      </c>
      <c r="F1242" s="5" t="s">
        <v>321</v>
      </c>
    </row>
    <row r="1243" spans="1:6">
      <c r="A1243" s="4">
        <f t="shared" si="19"/>
        <v>1242</v>
      </c>
      <c r="B1243" s="4" t="s">
        <v>323</v>
      </c>
      <c r="C1243" s="5" t="s">
        <v>295</v>
      </c>
      <c r="D1243" s="23">
        <v>44409</v>
      </c>
      <c r="E1243" s="24">
        <v>6712</v>
      </c>
      <c r="F1243" s="5" t="s">
        <v>321</v>
      </c>
    </row>
    <row r="1244" spans="1:6">
      <c r="A1244" s="4">
        <f t="shared" si="19"/>
        <v>1243</v>
      </c>
      <c r="B1244" s="4" t="s">
        <v>323</v>
      </c>
      <c r="C1244" s="5" t="s">
        <v>308</v>
      </c>
      <c r="D1244" s="23">
        <v>44409</v>
      </c>
      <c r="E1244" s="24">
        <v>5364.4</v>
      </c>
      <c r="F1244" s="5" t="s">
        <v>321</v>
      </c>
    </row>
    <row r="1245" spans="1:6">
      <c r="A1245" s="4">
        <f t="shared" si="19"/>
        <v>1244</v>
      </c>
      <c r="B1245" s="4" t="s">
        <v>323</v>
      </c>
      <c r="C1245" s="5" t="s">
        <v>300</v>
      </c>
      <c r="D1245" s="23">
        <v>44409</v>
      </c>
      <c r="E1245" s="24">
        <v>32752.26</v>
      </c>
      <c r="F1245" s="5" t="s">
        <v>321</v>
      </c>
    </row>
    <row r="1246" spans="1:6">
      <c r="A1246" s="4">
        <f t="shared" si="19"/>
        <v>1245</v>
      </c>
      <c r="B1246" s="4" t="s">
        <v>323</v>
      </c>
      <c r="C1246" s="5" t="s">
        <v>307</v>
      </c>
      <c r="D1246" s="23">
        <v>44409</v>
      </c>
      <c r="E1246" s="24">
        <v>19976</v>
      </c>
      <c r="F1246" s="5" t="s">
        <v>321</v>
      </c>
    </row>
    <row r="1247" spans="1:6">
      <c r="A1247" s="4">
        <f t="shared" si="19"/>
        <v>1246</v>
      </c>
      <c r="B1247" s="4" t="s">
        <v>323</v>
      </c>
      <c r="C1247" s="5" t="s">
        <v>310</v>
      </c>
      <c r="D1247" s="23">
        <v>44409</v>
      </c>
      <c r="E1247" s="24">
        <v>13311.64</v>
      </c>
      <c r="F1247" s="5" t="s">
        <v>321</v>
      </c>
    </row>
    <row r="1248" spans="1:6">
      <c r="A1248" s="4">
        <f t="shared" si="19"/>
        <v>1247</v>
      </c>
      <c r="B1248" s="4" t="s">
        <v>324</v>
      </c>
      <c r="C1248" s="5" t="s">
        <v>304</v>
      </c>
      <c r="D1248" s="23">
        <v>44409</v>
      </c>
      <c r="E1248" s="24">
        <v>2837.6</v>
      </c>
      <c r="F1248" s="5" t="s">
        <v>321</v>
      </c>
    </row>
    <row r="1249" spans="1:6">
      <c r="A1249" s="4">
        <f t="shared" si="19"/>
        <v>1248</v>
      </c>
      <c r="B1249" s="4" t="s">
        <v>324</v>
      </c>
      <c r="C1249" s="5" t="s">
        <v>296</v>
      </c>
      <c r="D1249" s="23">
        <v>44409</v>
      </c>
      <c r="E1249" s="24">
        <v>9890.85</v>
      </c>
      <c r="F1249" s="5" t="s">
        <v>321</v>
      </c>
    </row>
    <row r="1250" spans="1:6">
      <c r="A1250" s="4">
        <f t="shared" si="19"/>
        <v>1249</v>
      </c>
      <c r="B1250" s="4" t="s">
        <v>324</v>
      </c>
      <c r="C1250" s="5" t="s">
        <v>300</v>
      </c>
      <c r="D1250" s="23">
        <v>44409</v>
      </c>
      <c r="E1250" s="24">
        <v>8098.1</v>
      </c>
      <c r="F1250" s="5" t="s">
        <v>321</v>
      </c>
    </row>
    <row r="1251" spans="1:6">
      <c r="A1251" s="4">
        <f t="shared" si="19"/>
        <v>1250</v>
      </c>
      <c r="B1251" s="4" t="s">
        <v>322</v>
      </c>
      <c r="C1251" s="5" t="s">
        <v>299</v>
      </c>
      <c r="D1251" s="23">
        <v>44409</v>
      </c>
      <c r="E1251" s="24">
        <v>6360</v>
      </c>
      <c r="F1251" s="5" t="s">
        <v>321</v>
      </c>
    </row>
    <row r="1252" spans="1:6">
      <c r="A1252" s="4">
        <f t="shared" si="19"/>
        <v>1251</v>
      </c>
      <c r="B1252" s="4" t="s">
        <v>323</v>
      </c>
      <c r="C1252" s="5" t="s">
        <v>304</v>
      </c>
      <c r="D1252" s="23">
        <v>44378</v>
      </c>
      <c r="E1252" s="24">
        <v>44118.299999999996</v>
      </c>
      <c r="F1252" s="5" t="s">
        <v>321</v>
      </c>
    </row>
    <row r="1253" spans="1:6">
      <c r="A1253" s="4">
        <f t="shared" si="19"/>
        <v>1252</v>
      </c>
      <c r="B1253" s="4" t="s">
        <v>323</v>
      </c>
      <c r="C1253" s="5" t="s">
        <v>299</v>
      </c>
      <c r="D1253" s="23">
        <v>44378</v>
      </c>
      <c r="E1253" s="24">
        <v>7873.5</v>
      </c>
      <c r="F1253" s="5" t="s">
        <v>321</v>
      </c>
    </row>
    <row r="1254" spans="1:6">
      <c r="A1254" s="4">
        <f t="shared" si="19"/>
        <v>1253</v>
      </c>
      <c r="B1254" s="4" t="s">
        <v>323</v>
      </c>
      <c r="C1254" s="5" t="s">
        <v>298</v>
      </c>
      <c r="D1254" s="23">
        <v>44378</v>
      </c>
      <c r="E1254" s="24">
        <v>1596.8000000000002</v>
      </c>
      <c r="F1254" s="5" t="s">
        <v>321</v>
      </c>
    </row>
    <row r="1255" spans="1:6">
      <c r="A1255" s="4">
        <f t="shared" si="19"/>
        <v>1254</v>
      </c>
      <c r="B1255" s="4" t="s">
        <v>323</v>
      </c>
      <c r="C1255" s="5" t="s">
        <v>295</v>
      </c>
      <c r="D1255" s="23">
        <v>44378</v>
      </c>
      <c r="E1255" s="24">
        <v>4096</v>
      </c>
      <c r="F1255" s="5" t="s">
        <v>321</v>
      </c>
    </row>
    <row r="1256" spans="1:6">
      <c r="A1256" s="4">
        <f t="shared" si="19"/>
        <v>1255</v>
      </c>
      <c r="B1256" s="4" t="s">
        <v>323</v>
      </c>
      <c r="C1256" s="5" t="s">
        <v>308</v>
      </c>
      <c r="D1256" s="23">
        <v>44378</v>
      </c>
      <c r="E1256" s="24">
        <v>13250.380000000001</v>
      </c>
      <c r="F1256" s="5" t="s">
        <v>321</v>
      </c>
    </row>
    <row r="1257" spans="1:6">
      <c r="A1257" s="4">
        <f t="shared" si="19"/>
        <v>1256</v>
      </c>
      <c r="B1257" s="4" t="s">
        <v>323</v>
      </c>
      <c r="C1257" s="5" t="s">
        <v>300</v>
      </c>
      <c r="D1257" s="23">
        <v>44378</v>
      </c>
      <c r="E1257" s="24">
        <v>78251.190000000017</v>
      </c>
      <c r="F1257" s="5" t="s">
        <v>321</v>
      </c>
    </row>
    <row r="1258" spans="1:6">
      <c r="A1258" s="4">
        <f t="shared" si="19"/>
        <v>1257</v>
      </c>
      <c r="B1258" s="4" t="s">
        <v>323</v>
      </c>
      <c r="C1258" s="5" t="s">
        <v>307</v>
      </c>
      <c r="D1258" s="23">
        <v>44378</v>
      </c>
      <c r="E1258" s="24">
        <v>17488</v>
      </c>
      <c r="F1258" s="5" t="s">
        <v>321</v>
      </c>
    </row>
    <row r="1259" spans="1:6">
      <c r="A1259" s="4">
        <f t="shared" si="19"/>
        <v>1258</v>
      </c>
      <c r="B1259" s="4" t="s">
        <v>323</v>
      </c>
      <c r="C1259" s="5" t="s">
        <v>310</v>
      </c>
      <c r="D1259" s="23">
        <v>44378</v>
      </c>
      <c r="E1259" s="24">
        <v>14256.799999999997</v>
      </c>
      <c r="F1259" s="5" t="s">
        <v>321</v>
      </c>
    </row>
    <row r="1260" spans="1:6">
      <c r="A1260" s="4">
        <f t="shared" si="19"/>
        <v>1259</v>
      </c>
      <c r="B1260" s="4" t="s">
        <v>324</v>
      </c>
      <c r="C1260" s="5" t="s">
        <v>304</v>
      </c>
      <c r="D1260" s="23">
        <v>44378</v>
      </c>
      <c r="E1260" s="24">
        <v>1837.6</v>
      </c>
      <c r="F1260" s="5" t="s">
        <v>321</v>
      </c>
    </row>
    <row r="1261" spans="1:6">
      <c r="A1261" s="4">
        <f t="shared" si="19"/>
        <v>1260</v>
      </c>
      <c r="B1261" s="4" t="s">
        <v>324</v>
      </c>
      <c r="C1261" s="5" t="s">
        <v>296</v>
      </c>
      <c r="D1261" s="23">
        <v>44378</v>
      </c>
      <c r="E1261" s="24">
        <v>2870</v>
      </c>
      <c r="F1261" s="5" t="s">
        <v>321</v>
      </c>
    </row>
    <row r="1262" spans="1:6">
      <c r="A1262" s="4">
        <f t="shared" si="19"/>
        <v>1261</v>
      </c>
      <c r="B1262" s="4" t="s">
        <v>324</v>
      </c>
      <c r="C1262" s="5" t="s">
        <v>300</v>
      </c>
      <c r="D1262" s="23">
        <v>44378</v>
      </c>
      <c r="E1262" s="24">
        <v>9467.2000000000007</v>
      </c>
      <c r="F1262" s="5" t="s">
        <v>321</v>
      </c>
    </row>
    <row r="1263" spans="1:6">
      <c r="A1263" s="4">
        <f t="shared" si="19"/>
        <v>1262</v>
      </c>
      <c r="B1263" s="4" t="s">
        <v>322</v>
      </c>
      <c r="C1263" s="5" t="s">
        <v>299</v>
      </c>
      <c r="D1263" s="23">
        <v>44378</v>
      </c>
      <c r="E1263" s="24">
        <v>8360</v>
      </c>
      <c r="F1263" s="5" t="s">
        <v>321</v>
      </c>
    </row>
    <row r="1264" spans="1:6">
      <c r="A1264" s="4">
        <f t="shared" si="19"/>
        <v>1263</v>
      </c>
      <c r="B1264" s="4" t="s">
        <v>323</v>
      </c>
      <c r="C1264" s="5" t="s">
        <v>304</v>
      </c>
      <c r="D1264" s="23">
        <v>44348</v>
      </c>
      <c r="E1264" s="24">
        <v>27983.940000000002</v>
      </c>
      <c r="F1264" s="5" t="s">
        <v>321</v>
      </c>
    </row>
    <row r="1265" spans="1:6">
      <c r="A1265" s="4">
        <f t="shared" si="19"/>
        <v>1264</v>
      </c>
      <c r="B1265" s="4" t="s">
        <v>323</v>
      </c>
      <c r="C1265" s="5" t="s">
        <v>299</v>
      </c>
      <c r="D1265" s="23">
        <v>44348</v>
      </c>
      <c r="E1265" s="24">
        <v>5322.25</v>
      </c>
      <c r="F1265" s="5" t="s">
        <v>321</v>
      </c>
    </row>
    <row r="1266" spans="1:6">
      <c r="A1266" s="4">
        <f t="shared" si="19"/>
        <v>1265</v>
      </c>
      <c r="B1266" s="4" t="s">
        <v>323</v>
      </c>
      <c r="C1266" s="5" t="s">
        <v>298</v>
      </c>
      <c r="D1266" s="23">
        <v>44348</v>
      </c>
      <c r="E1266" s="24">
        <v>3245.6</v>
      </c>
      <c r="F1266" s="5" t="s">
        <v>321</v>
      </c>
    </row>
    <row r="1267" spans="1:6">
      <c r="A1267" s="4">
        <f t="shared" si="19"/>
        <v>1266</v>
      </c>
      <c r="B1267" s="4" t="s">
        <v>323</v>
      </c>
      <c r="C1267" s="5" t="s">
        <v>295</v>
      </c>
      <c r="D1267" s="23">
        <v>44348</v>
      </c>
      <c r="E1267" s="24">
        <v>5214</v>
      </c>
      <c r="F1267" s="5" t="s">
        <v>321</v>
      </c>
    </row>
    <row r="1268" spans="1:6">
      <c r="A1268" s="4">
        <f t="shared" si="19"/>
        <v>1267</v>
      </c>
      <c r="B1268" s="4" t="s">
        <v>323</v>
      </c>
      <c r="C1268" s="5" t="s">
        <v>308</v>
      </c>
      <c r="D1268" s="23">
        <v>44348</v>
      </c>
      <c r="E1268" s="24">
        <v>3635.58</v>
      </c>
      <c r="F1268" s="5" t="s">
        <v>321</v>
      </c>
    </row>
    <row r="1269" spans="1:6">
      <c r="A1269" s="4">
        <f t="shared" si="19"/>
        <v>1268</v>
      </c>
      <c r="B1269" s="4" t="s">
        <v>323</v>
      </c>
      <c r="C1269" s="5" t="s">
        <v>300</v>
      </c>
      <c r="D1269" s="23">
        <v>44348</v>
      </c>
      <c r="E1269" s="24">
        <v>31359.93</v>
      </c>
      <c r="F1269" s="5" t="s">
        <v>321</v>
      </c>
    </row>
    <row r="1270" spans="1:6">
      <c r="A1270" s="4">
        <f t="shared" si="19"/>
        <v>1269</v>
      </c>
      <c r="B1270" s="4" t="s">
        <v>323</v>
      </c>
      <c r="C1270" s="5" t="s">
        <v>307</v>
      </c>
      <c r="D1270" s="23">
        <v>44348</v>
      </c>
      <c r="E1270" s="24">
        <v>15696</v>
      </c>
      <c r="F1270" s="5" t="s">
        <v>321</v>
      </c>
    </row>
    <row r="1271" spans="1:6">
      <c r="A1271" s="4">
        <f t="shared" si="19"/>
        <v>1270</v>
      </c>
      <c r="B1271" s="4" t="s">
        <v>323</v>
      </c>
      <c r="C1271" s="5" t="s">
        <v>310</v>
      </c>
      <c r="D1271" s="23">
        <v>44348</v>
      </c>
      <c r="E1271" s="24">
        <v>12458.400000000001</v>
      </c>
      <c r="F1271" s="5" t="s">
        <v>321</v>
      </c>
    </row>
    <row r="1272" spans="1:6">
      <c r="A1272" s="4">
        <f t="shared" si="19"/>
        <v>1271</v>
      </c>
      <c r="B1272" s="4" t="s">
        <v>324</v>
      </c>
      <c r="C1272" s="5" t="s">
        <v>304</v>
      </c>
      <c r="D1272" s="23">
        <v>44348</v>
      </c>
      <c r="E1272" s="24">
        <v>3766.4</v>
      </c>
      <c r="F1272" s="5" t="s">
        <v>321</v>
      </c>
    </row>
    <row r="1273" spans="1:6">
      <c r="A1273" s="4">
        <f t="shared" si="19"/>
        <v>1272</v>
      </c>
      <c r="B1273" s="4" t="s">
        <v>324</v>
      </c>
      <c r="C1273" s="5" t="s">
        <v>296</v>
      </c>
      <c r="D1273" s="23">
        <v>44348</v>
      </c>
      <c r="E1273" s="24">
        <v>2460</v>
      </c>
      <c r="F1273" s="5" t="s">
        <v>321</v>
      </c>
    </row>
    <row r="1274" spans="1:6">
      <c r="A1274" s="4">
        <f t="shared" si="19"/>
        <v>1273</v>
      </c>
      <c r="B1274" s="4" t="s">
        <v>324</v>
      </c>
      <c r="C1274" s="5" t="s">
        <v>308</v>
      </c>
      <c r="D1274" s="23">
        <v>44348</v>
      </c>
      <c r="E1274" s="24">
        <v>727.32</v>
      </c>
      <c r="F1274" s="5" t="s">
        <v>321</v>
      </c>
    </row>
    <row r="1275" spans="1:6">
      <c r="A1275" s="4">
        <f t="shared" si="19"/>
        <v>1274</v>
      </c>
      <c r="B1275" s="4" t="s">
        <v>324</v>
      </c>
      <c r="C1275" s="5" t="s">
        <v>300</v>
      </c>
      <c r="D1275" s="23">
        <v>44348</v>
      </c>
      <c r="E1275" s="24">
        <v>856.5</v>
      </c>
      <c r="F1275" s="5" t="s">
        <v>321</v>
      </c>
    </row>
    <row r="1276" spans="1:6">
      <c r="A1276" s="4">
        <f t="shared" si="19"/>
        <v>1275</v>
      </c>
      <c r="B1276" s="4" t="s">
        <v>324</v>
      </c>
      <c r="C1276" s="5" t="s">
        <v>307</v>
      </c>
      <c r="D1276" s="23">
        <v>44348</v>
      </c>
      <c r="E1276" s="24">
        <v>576</v>
      </c>
      <c r="F1276" s="5" t="s">
        <v>321</v>
      </c>
    </row>
    <row r="1277" spans="1:6">
      <c r="A1277" s="4">
        <f t="shared" si="19"/>
        <v>1276</v>
      </c>
      <c r="B1277" s="4" t="s">
        <v>323</v>
      </c>
      <c r="C1277" s="5" t="s">
        <v>304</v>
      </c>
      <c r="D1277" s="23">
        <v>44317</v>
      </c>
      <c r="E1277" s="24">
        <v>25934.709999999995</v>
      </c>
      <c r="F1277" s="5" t="s">
        <v>321</v>
      </c>
    </row>
    <row r="1278" spans="1:6">
      <c r="A1278" s="4">
        <f t="shared" si="19"/>
        <v>1277</v>
      </c>
      <c r="B1278" s="4" t="s">
        <v>323</v>
      </c>
      <c r="C1278" s="5" t="s">
        <v>299</v>
      </c>
      <c r="D1278" s="23">
        <v>44317</v>
      </c>
      <c r="E1278" s="24">
        <v>4083.75</v>
      </c>
      <c r="F1278" s="5" t="s">
        <v>321</v>
      </c>
    </row>
    <row r="1279" spans="1:6">
      <c r="A1279" s="4">
        <f t="shared" si="19"/>
        <v>1278</v>
      </c>
      <c r="B1279" s="4" t="s">
        <v>323</v>
      </c>
      <c r="C1279" s="5" t="s">
        <v>298</v>
      </c>
      <c r="D1279" s="23">
        <v>44317</v>
      </c>
      <c r="E1279" s="24">
        <v>5739.2</v>
      </c>
      <c r="F1279" s="5" t="s">
        <v>321</v>
      </c>
    </row>
    <row r="1280" spans="1:6">
      <c r="A1280" s="4">
        <f t="shared" si="19"/>
        <v>1279</v>
      </c>
      <c r="B1280" s="4" t="s">
        <v>323</v>
      </c>
      <c r="C1280" s="5" t="s">
        <v>295</v>
      </c>
      <c r="D1280" s="23">
        <v>44317</v>
      </c>
      <c r="E1280" s="24">
        <v>5240</v>
      </c>
      <c r="F1280" s="5" t="s">
        <v>321</v>
      </c>
    </row>
    <row r="1281" spans="1:6">
      <c r="A1281" s="4">
        <f t="shared" si="19"/>
        <v>1280</v>
      </c>
      <c r="B1281" s="4" t="s">
        <v>323</v>
      </c>
      <c r="C1281" s="5" t="s">
        <v>308</v>
      </c>
      <c r="D1281" s="23">
        <v>44317</v>
      </c>
      <c r="E1281" s="24">
        <v>11394.96</v>
      </c>
      <c r="F1281" s="5" t="s">
        <v>321</v>
      </c>
    </row>
    <row r="1282" spans="1:6">
      <c r="A1282" s="4">
        <f t="shared" si="19"/>
        <v>1281</v>
      </c>
      <c r="B1282" s="4" t="s">
        <v>323</v>
      </c>
      <c r="C1282" s="5" t="s">
        <v>300</v>
      </c>
      <c r="D1282" s="23">
        <v>44317</v>
      </c>
      <c r="E1282" s="24">
        <v>41153.340000000011</v>
      </c>
      <c r="F1282" s="5" t="s">
        <v>321</v>
      </c>
    </row>
    <row r="1283" spans="1:6">
      <c r="A1283" s="4">
        <f t="shared" si="19"/>
        <v>1282</v>
      </c>
      <c r="B1283" s="4" t="s">
        <v>323</v>
      </c>
      <c r="C1283" s="5" t="s">
        <v>307</v>
      </c>
      <c r="D1283" s="23">
        <v>44317</v>
      </c>
      <c r="E1283" s="24">
        <v>13008</v>
      </c>
      <c r="F1283" s="5" t="s">
        <v>321</v>
      </c>
    </row>
    <row r="1284" spans="1:6">
      <c r="A1284" s="4">
        <f t="shared" si="19"/>
        <v>1283</v>
      </c>
      <c r="B1284" s="4" t="s">
        <v>323</v>
      </c>
      <c r="C1284" s="5" t="s">
        <v>310</v>
      </c>
      <c r="D1284" s="23">
        <v>44317</v>
      </c>
      <c r="E1284" s="24">
        <v>29134.07</v>
      </c>
      <c r="F1284" s="5" t="s">
        <v>321</v>
      </c>
    </row>
    <row r="1285" spans="1:6">
      <c r="A1285" s="4">
        <f t="shared" si="19"/>
        <v>1284</v>
      </c>
      <c r="B1285" s="4" t="s">
        <v>324</v>
      </c>
      <c r="C1285" s="5" t="s">
        <v>304</v>
      </c>
      <c r="D1285" s="23">
        <v>44317</v>
      </c>
      <c r="E1285" s="24">
        <v>7071.02</v>
      </c>
      <c r="F1285" s="5" t="s">
        <v>321</v>
      </c>
    </row>
    <row r="1286" spans="1:6">
      <c r="A1286" s="4">
        <f t="shared" si="19"/>
        <v>1285</v>
      </c>
      <c r="B1286" s="4" t="s">
        <v>324</v>
      </c>
      <c r="C1286" s="5" t="s">
        <v>295</v>
      </c>
      <c r="D1286" s="23">
        <v>44317</v>
      </c>
      <c r="E1286" s="24">
        <v>640</v>
      </c>
      <c r="F1286" s="5" t="s">
        <v>321</v>
      </c>
    </row>
    <row r="1287" spans="1:6">
      <c r="A1287" s="4">
        <f t="shared" si="19"/>
        <v>1286</v>
      </c>
      <c r="B1287" s="4" t="s">
        <v>324</v>
      </c>
      <c r="C1287" s="5" t="s">
        <v>296</v>
      </c>
      <c r="D1287" s="23">
        <v>44317</v>
      </c>
      <c r="E1287" s="24">
        <v>4100</v>
      </c>
      <c r="F1287" s="5" t="s">
        <v>321</v>
      </c>
    </row>
    <row r="1288" spans="1:6">
      <c r="A1288" s="4">
        <f t="shared" si="19"/>
        <v>1287</v>
      </c>
      <c r="B1288" s="4" t="s">
        <v>324</v>
      </c>
      <c r="C1288" s="5" t="s">
        <v>300</v>
      </c>
      <c r="D1288" s="23">
        <v>44317</v>
      </c>
      <c r="E1288" s="24">
        <v>333.5</v>
      </c>
      <c r="F1288" s="5" t="s">
        <v>321</v>
      </c>
    </row>
    <row r="1289" spans="1:6">
      <c r="A1289" s="4">
        <f t="shared" si="19"/>
        <v>1288</v>
      </c>
      <c r="B1289" s="4" t="s">
        <v>322</v>
      </c>
      <c r="C1289" s="5" t="s">
        <v>299</v>
      </c>
      <c r="D1289" s="23">
        <v>44317</v>
      </c>
      <c r="E1289" s="24">
        <v>2200</v>
      </c>
      <c r="F1289" s="5" t="s">
        <v>321</v>
      </c>
    </row>
    <row r="1290" spans="1:6">
      <c r="A1290" s="4">
        <f t="shared" si="19"/>
        <v>1289</v>
      </c>
      <c r="B1290" s="4" t="s">
        <v>323</v>
      </c>
      <c r="C1290" s="5" t="s">
        <v>304</v>
      </c>
      <c r="D1290" s="23">
        <v>44287</v>
      </c>
      <c r="E1290" s="24">
        <v>23954.639999999999</v>
      </c>
      <c r="F1290" s="5" t="s">
        <v>321</v>
      </c>
    </row>
    <row r="1291" spans="1:6">
      <c r="A1291" s="4">
        <f t="shared" ref="A1291:A1354" si="20">ROW()-1</f>
        <v>1290</v>
      </c>
      <c r="B1291" s="4" t="s">
        <v>323</v>
      </c>
      <c r="C1291" s="5" t="s">
        <v>299</v>
      </c>
      <c r="D1291" s="23">
        <v>44287</v>
      </c>
      <c r="E1291" s="24">
        <v>8334.5</v>
      </c>
      <c r="F1291" s="5" t="s">
        <v>321</v>
      </c>
    </row>
    <row r="1292" spans="1:6">
      <c r="A1292" s="4">
        <f t="shared" si="20"/>
        <v>1291</v>
      </c>
      <c r="B1292" s="4" t="s">
        <v>323</v>
      </c>
      <c r="C1292" s="5" t="s">
        <v>298</v>
      </c>
      <c r="D1292" s="23">
        <v>44287</v>
      </c>
      <c r="E1292" s="24">
        <v>7520</v>
      </c>
      <c r="F1292" s="5" t="s">
        <v>321</v>
      </c>
    </row>
    <row r="1293" spans="1:6">
      <c r="A1293" s="4">
        <f t="shared" si="20"/>
        <v>1292</v>
      </c>
      <c r="B1293" s="4" t="s">
        <v>323</v>
      </c>
      <c r="C1293" s="5" t="s">
        <v>295</v>
      </c>
      <c r="D1293" s="23">
        <v>44287</v>
      </c>
      <c r="E1293" s="24">
        <v>3824</v>
      </c>
      <c r="F1293" s="5" t="s">
        <v>321</v>
      </c>
    </row>
    <row r="1294" spans="1:6">
      <c r="A1294" s="4">
        <f t="shared" si="20"/>
        <v>1293</v>
      </c>
      <c r="B1294" s="4" t="s">
        <v>323</v>
      </c>
      <c r="C1294" s="5" t="s">
        <v>308</v>
      </c>
      <c r="D1294" s="23">
        <v>44287</v>
      </c>
      <c r="E1294" s="24">
        <v>2629</v>
      </c>
      <c r="F1294" s="5" t="s">
        <v>321</v>
      </c>
    </row>
    <row r="1295" spans="1:6">
      <c r="A1295" s="4">
        <f t="shared" si="20"/>
        <v>1294</v>
      </c>
      <c r="B1295" s="4" t="s">
        <v>323</v>
      </c>
      <c r="C1295" s="5" t="s">
        <v>300</v>
      </c>
      <c r="D1295" s="23">
        <v>44287</v>
      </c>
      <c r="E1295" s="24">
        <v>35256.610000000008</v>
      </c>
      <c r="F1295" s="5" t="s">
        <v>321</v>
      </c>
    </row>
    <row r="1296" spans="1:6">
      <c r="A1296" s="4">
        <f t="shared" si="20"/>
        <v>1295</v>
      </c>
      <c r="B1296" s="4" t="s">
        <v>323</v>
      </c>
      <c r="C1296" s="5" t="s">
        <v>307</v>
      </c>
      <c r="D1296" s="23">
        <v>44287</v>
      </c>
      <c r="E1296" s="24">
        <v>8352</v>
      </c>
      <c r="F1296" s="5" t="s">
        <v>321</v>
      </c>
    </row>
    <row r="1297" spans="1:6">
      <c r="A1297" s="4">
        <f t="shared" si="20"/>
        <v>1296</v>
      </c>
      <c r="B1297" s="4" t="s">
        <v>323</v>
      </c>
      <c r="C1297" s="5" t="s">
        <v>310</v>
      </c>
      <c r="D1297" s="23">
        <v>44287</v>
      </c>
      <c r="E1297" s="24">
        <v>9910.42</v>
      </c>
      <c r="F1297" s="5" t="s">
        <v>321</v>
      </c>
    </row>
    <row r="1298" spans="1:6">
      <c r="A1298" s="4">
        <f t="shared" si="20"/>
        <v>1297</v>
      </c>
      <c r="B1298" s="4" t="s">
        <v>324</v>
      </c>
      <c r="C1298" s="5" t="s">
        <v>304</v>
      </c>
      <c r="D1298" s="23">
        <v>44287</v>
      </c>
      <c r="E1298" s="24">
        <v>4015.2</v>
      </c>
      <c r="F1298" s="5" t="s">
        <v>321</v>
      </c>
    </row>
    <row r="1299" spans="1:6">
      <c r="A1299" s="4">
        <f t="shared" si="20"/>
        <v>1298</v>
      </c>
      <c r="B1299" s="4" t="s">
        <v>324</v>
      </c>
      <c r="C1299" s="5" t="s">
        <v>296</v>
      </c>
      <c r="D1299" s="23">
        <v>44287</v>
      </c>
      <c r="E1299" s="24">
        <v>2460</v>
      </c>
      <c r="F1299" s="5" t="s">
        <v>321</v>
      </c>
    </row>
    <row r="1300" spans="1:6">
      <c r="A1300" s="4">
        <f t="shared" si="20"/>
        <v>1299</v>
      </c>
      <c r="B1300" s="4" t="s">
        <v>323</v>
      </c>
      <c r="C1300" s="5" t="s">
        <v>304</v>
      </c>
      <c r="D1300" s="23">
        <v>44256</v>
      </c>
      <c r="E1300" s="24">
        <v>25124.36</v>
      </c>
      <c r="F1300" s="5" t="s">
        <v>321</v>
      </c>
    </row>
    <row r="1301" spans="1:6">
      <c r="A1301" s="4">
        <f t="shared" si="20"/>
        <v>1300</v>
      </c>
      <c r="B1301" s="4" t="s">
        <v>323</v>
      </c>
      <c r="C1301" s="5" t="s">
        <v>299</v>
      </c>
      <c r="D1301" s="23">
        <v>44256</v>
      </c>
      <c r="E1301" s="24">
        <v>3498.25</v>
      </c>
      <c r="F1301" s="5" t="s">
        <v>321</v>
      </c>
    </row>
    <row r="1302" spans="1:6">
      <c r="A1302" s="4">
        <f t="shared" si="20"/>
        <v>1301</v>
      </c>
      <c r="B1302" s="4" t="s">
        <v>323</v>
      </c>
      <c r="C1302" s="5" t="s">
        <v>298</v>
      </c>
      <c r="D1302" s="23">
        <v>44256</v>
      </c>
      <c r="E1302" s="24">
        <v>1128</v>
      </c>
      <c r="F1302" s="5" t="s">
        <v>321</v>
      </c>
    </row>
    <row r="1303" spans="1:6">
      <c r="A1303" s="4">
        <f t="shared" si="20"/>
        <v>1302</v>
      </c>
      <c r="B1303" s="4" t="s">
        <v>323</v>
      </c>
      <c r="C1303" s="5" t="s">
        <v>295</v>
      </c>
      <c r="D1303" s="23">
        <v>44256</v>
      </c>
      <c r="E1303" s="24">
        <v>5376</v>
      </c>
      <c r="F1303" s="5" t="s">
        <v>321</v>
      </c>
    </row>
    <row r="1304" spans="1:6">
      <c r="A1304" s="4">
        <f t="shared" si="20"/>
        <v>1303</v>
      </c>
      <c r="B1304" s="4" t="s">
        <v>323</v>
      </c>
      <c r="C1304" s="5" t="s">
        <v>308</v>
      </c>
      <c r="D1304" s="23">
        <v>44256</v>
      </c>
      <c r="E1304" s="24">
        <v>1577.3999999999999</v>
      </c>
      <c r="F1304" s="5" t="s">
        <v>321</v>
      </c>
    </row>
    <row r="1305" spans="1:6">
      <c r="A1305" s="4">
        <f t="shared" si="20"/>
        <v>1304</v>
      </c>
      <c r="B1305" s="4" t="s">
        <v>323</v>
      </c>
      <c r="C1305" s="5" t="s">
        <v>300</v>
      </c>
      <c r="D1305" s="23">
        <v>44256</v>
      </c>
      <c r="E1305" s="24">
        <v>40389</v>
      </c>
      <c r="F1305" s="5" t="s">
        <v>321</v>
      </c>
    </row>
    <row r="1306" spans="1:6">
      <c r="A1306" s="4">
        <f t="shared" si="20"/>
        <v>1305</v>
      </c>
      <c r="B1306" s="4" t="s">
        <v>323</v>
      </c>
      <c r="C1306" s="5" t="s">
        <v>307</v>
      </c>
      <c r="D1306" s="23">
        <v>44256</v>
      </c>
      <c r="E1306" s="24">
        <v>8544</v>
      </c>
      <c r="F1306" s="5" t="s">
        <v>321</v>
      </c>
    </row>
    <row r="1307" spans="1:6">
      <c r="A1307" s="4">
        <f t="shared" si="20"/>
        <v>1306</v>
      </c>
      <c r="B1307" s="4" t="s">
        <v>323</v>
      </c>
      <c r="C1307" s="5" t="s">
        <v>310</v>
      </c>
      <c r="D1307" s="23">
        <v>44256</v>
      </c>
      <c r="E1307" s="24">
        <v>16237.74</v>
      </c>
      <c r="F1307" s="5" t="s">
        <v>321</v>
      </c>
    </row>
    <row r="1308" spans="1:6">
      <c r="A1308" s="4">
        <f t="shared" si="20"/>
        <v>1307</v>
      </c>
      <c r="B1308" s="4" t="s">
        <v>324</v>
      </c>
      <c r="C1308" s="5" t="s">
        <v>304</v>
      </c>
      <c r="D1308" s="23">
        <v>44256</v>
      </c>
      <c r="E1308" s="24">
        <v>6879.2</v>
      </c>
      <c r="F1308" s="5" t="s">
        <v>321</v>
      </c>
    </row>
    <row r="1309" spans="1:6">
      <c r="A1309" s="4">
        <f t="shared" si="20"/>
        <v>1308</v>
      </c>
      <c r="B1309" s="4" t="s">
        <v>324</v>
      </c>
      <c r="C1309" s="5" t="s">
        <v>296</v>
      </c>
      <c r="D1309" s="23">
        <v>44256</v>
      </c>
      <c r="E1309" s="24">
        <v>7600.07</v>
      </c>
      <c r="F1309" s="5" t="s">
        <v>321</v>
      </c>
    </row>
    <row r="1310" spans="1:6">
      <c r="A1310" s="4">
        <f t="shared" si="20"/>
        <v>1309</v>
      </c>
      <c r="B1310" s="4" t="s">
        <v>324</v>
      </c>
      <c r="C1310" s="5" t="s">
        <v>300</v>
      </c>
      <c r="D1310" s="23">
        <v>44256</v>
      </c>
      <c r="E1310" s="24">
        <v>1480.5</v>
      </c>
      <c r="F1310" s="5" t="s">
        <v>321</v>
      </c>
    </row>
    <row r="1311" spans="1:6">
      <c r="A1311" s="4">
        <f t="shared" si="20"/>
        <v>1310</v>
      </c>
      <c r="B1311" s="4" t="s">
        <v>323</v>
      </c>
      <c r="C1311" s="5" t="s">
        <v>304</v>
      </c>
      <c r="D1311" s="23">
        <v>44228</v>
      </c>
      <c r="E1311" s="24">
        <v>23427.02</v>
      </c>
      <c r="F1311" s="5" t="s">
        <v>321</v>
      </c>
    </row>
    <row r="1312" spans="1:6">
      <c r="A1312" s="4">
        <f t="shared" si="20"/>
        <v>1311</v>
      </c>
      <c r="B1312" s="4" t="s">
        <v>323</v>
      </c>
      <c r="C1312" s="5" t="s">
        <v>298</v>
      </c>
      <c r="D1312" s="23">
        <v>44228</v>
      </c>
      <c r="E1312" s="24">
        <v>4072.0000000000005</v>
      </c>
      <c r="F1312" s="5" t="s">
        <v>321</v>
      </c>
    </row>
    <row r="1313" spans="1:6">
      <c r="A1313" s="4">
        <f t="shared" si="20"/>
        <v>1312</v>
      </c>
      <c r="B1313" s="4" t="s">
        <v>323</v>
      </c>
      <c r="C1313" s="5" t="s">
        <v>295</v>
      </c>
      <c r="D1313" s="23">
        <v>44228</v>
      </c>
      <c r="E1313" s="24">
        <v>4352</v>
      </c>
      <c r="F1313" s="5" t="s">
        <v>321</v>
      </c>
    </row>
    <row r="1314" spans="1:6">
      <c r="A1314" s="4">
        <f t="shared" si="20"/>
        <v>1313</v>
      </c>
      <c r="B1314" s="4" t="s">
        <v>323</v>
      </c>
      <c r="C1314" s="5" t="s">
        <v>308</v>
      </c>
      <c r="D1314" s="23">
        <v>44228</v>
      </c>
      <c r="E1314" s="24">
        <v>1863.3600000000001</v>
      </c>
      <c r="F1314" s="5" t="s">
        <v>321</v>
      </c>
    </row>
    <row r="1315" spans="1:6">
      <c r="A1315" s="4">
        <f t="shared" si="20"/>
        <v>1314</v>
      </c>
      <c r="B1315" s="4" t="s">
        <v>323</v>
      </c>
      <c r="C1315" s="5" t="s">
        <v>300</v>
      </c>
      <c r="D1315" s="23">
        <v>44228</v>
      </c>
      <c r="E1315" s="24">
        <v>33024.929999999993</v>
      </c>
      <c r="F1315" s="5" t="s">
        <v>321</v>
      </c>
    </row>
    <row r="1316" spans="1:6">
      <c r="A1316" s="4">
        <f t="shared" si="20"/>
        <v>1315</v>
      </c>
      <c r="B1316" s="4" t="s">
        <v>323</v>
      </c>
      <c r="C1316" s="5" t="s">
        <v>307</v>
      </c>
      <c r="D1316" s="23">
        <v>44228</v>
      </c>
      <c r="E1316" s="24">
        <v>9504</v>
      </c>
      <c r="F1316" s="5" t="s">
        <v>321</v>
      </c>
    </row>
    <row r="1317" spans="1:6">
      <c r="A1317" s="4">
        <f t="shared" si="20"/>
        <v>1316</v>
      </c>
      <c r="B1317" s="4" t="s">
        <v>323</v>
      </c>
      <c r="C1317" s="5" t="s">
        <v>310</v>
      </c>
      <c r="D1317" s="23">
        <v>44228</v>
      </c>
      <c r="E1317" s="24">
        <v>17127</v>
      </c>
      <c r="F1317" s="5" t="s">
        <v>321</v>
      </c>
    </row>
    <row r="1318" spans="1:6">
      <c r="A1318" s="4">
        <f t="shared" si="20"/>
        <v>1317</v>
      </c>
      <c r="B1318" s="4" t="s">
        <v>324</v>
      </c>
      <c r="C1318" s="5" t="s">
        <v>304</v>
      </c>
      <c r="D1318" s="23">
        <v>44228</v>
      </c>
      <c r="E1318" s="24">
        <v>8520</v>
      </c>
      <c r="F1318" s="5" t="s">
        <v>321</v>
      </c>
    </row>
    <row r="1319" spans="1:6">
      <c r="A1319" s="4">
        <f t="shared" si="20"/>
        <v>1318</v>
      </c>
      <c r="B1319" s="4" t="s">
        <v>324</v>
      </c>
      <c r="C1319" s="5" t="s">
        <v>298</v>
      </c>
      <c r="D1319" s="23">
        <v>44228</v>
      </c>
      <c r="E1319" s="24">
        <v>376</v>
      </c>
      <c r="F1319" s="5" t="s">
        <v>321</v>
      </c>
    </row>
    <row r="1320" spans="1:6">
      <c r="A1320" s="4">
        <f t="shared" si="20"/>
        <v>1319</v>
      </c>
      <c r="B1320" s="4" t="s">
        <v>324</v>
      </c>
      <c r="C1320" s="5" t="s">
        <v>296</v>
      </c>
      <c r="D1320" s="23">
        <v>44228</v>
      </c>
      <c r="E1320" s="24">
        <v>8640</v>
      </c>
      <c r="F1320" s="5" t="s">
        <v>321</v>
      </c>
    </row>
    <row r="1321" spans="1:6">
      <c r="A1321" s="4">
        <f t="shared" si="20"/>
        <v>1320</v>
      </c>
      <c r="B1321" s="4" t="s">
        <v>324</v>
      </c>
      <c r="C1321" s="5" t="s">
        <v>300</v>
      </c>
      <c r="D1321" s="23">
        <v>44228</v>
      </c>
      <c r="E1321" s="24">
        <v>1912.43</v>
      </c>
      <c r="F1321" s="5" t="s">
        <v>321</v>
      </c>
    </row>
    <row r="1322" spans="1:6">
      <c r="A1322" s="4">
        <f t="shared" si="20"/>
        <v>1321</v>
      </c>
      <c r="B1322" s="4" t="s">
        <v>323</v>
      </c>
      <c r="C1322" s="5" t="s">
        <v>304</v>
      </c>
      <c r="D1322" s="23">
        <v>44197</v>
      </c>
      <c r="E1322" s="24">
        <v>18364.989999999998</v>
      </c>
      <c r="F1322" s="5" t="s">
        <v>321</v>
      </c>
    </row>
    <row r="1323" spans="1:6">
      <c r="A1323" s="4">
        <f t="shared" si="20"/>
        <v>1322</v>
      </c>
      <c r="B1323" s="4" t="s">
        <v>323</v>
      </c>
      <c r="C1323" s="5" t="s">
        <v>298</v>
      </c>
      <c r="D1323" s="23">
        <v>44197</v>
      </c>
      <c r="E1323" s="24">
        <v>1504</v>
      </c>
      <c r="F1323" s="5" t="s">
        <v>321</v>
      </c>
    </row>
    <row r="1324" spans="1:6">
      <c r="A1324" s="4">
        <f t="shared" si="20"/>
        <v>1323</v>
      </c>
      <c r="B1324" s="4" t="s">
        <v>323</v>
      </c>
      <c r="C1324" s="5" t="s">
        <v>295</v>
      </c>
      <c r="D1324" s="23">
        <v>44197</v>
      </c>
      <c r="E1324" s="24">
        <v>6656</v>
      </c>
      <c r="F1324" s="5" t="s">
        <v>321</v>
      </c>
    </row>
    <row r="1325" spans="1:6">
      <c r="A1325" s="4">
        <f t="shared" si="20"/>
        <v>1324</v>
      </c>
      <c r="B1325" s="4" t="s">
        <v>323</v>
      </c>
      <c r="C1325" s="5" t="s">
        <v>308</v>
      </c>
      <c r="D1325" s="23">
        <v>44197</v>
      </c>
      <c r="E1325" s="24">
        <v>6011.88</v>
      </c>
      <c r="F1325" s="5" t="s">
        <v>321</v>
      </c>
    </row>
    <row r="1326" spans="1:6">
      <c r="A1326" s="4">
        <f t="shared" si="20"/>
        <v>1325</v>
      </c>
      <c r="B1326" s="4" t="s">
        <v>323</v>
      </c>
      <c r="C1326" s="5" t="s">
        <v>300</v>
      </c>
      <c r="D1326" s="23">
        <v>44197</v>
      </c>
      <c r="E1326" s="24">
        <v>20484.599999999995</v>
      </c>
      <c r="F1326" s="5" t="s">
        <v>321</v>
      </c>
    </row>
    <row r="1327" spans="1:6">
      <c r="A1327" s="4">
        <f t="shared" si="20"/>
        <v>1326</v>
      </c>
      <c r="B1327" s="4" t="s">
        <v>323</v>
      </c>
      <c r="C1327" s="5" t="s">
        <v>307</v>
      </c>
      <c r="D1327" s="23">
        <v>44197</v>
      </c>
      <c r="E1327" s="24">
        <v>13952</v>
      </c>
      <c r="F1327" s="5" t="s">
        <v>321</v>
      </c>
    </row>
    <row r="1328" spans="1:6">
      <c r="A1328" s="4">
        <f t="shared" si="20"/>
        <v>1327</v>
      </c>
      <c r="B1328" s="4" t="s">
        <v>324</v>
      </c>
      <c r="C1328" s="5" t="s">
        <v>304</v>
      </c>
      <c r="D1328" s="23">
        <v>44197</v>
      </c>
      <c r="E1328" s="24">
        <v>14412.6</v>
      </c>
      <c r="F1328" s="5" t="s">
        <v>321</v>
      </c>
    </row>
    <row r="1329" spans="1:6">
      <c r="A1329" s="4">
        <f t="shared" si="20"/>
        <v>1328</v>
      </c>
      <c r="B1329" s="4" t="s">
        <v>324</v>
      </c>
      <c r="C1329" s="5" t="s">
        <v>298</v>
      </c>
      <c r="D1329" s="23">
        <v>44197</v>
      </c>
      <c r="E1329" s="24">
        <v>4136</v>
      </c>
      <c r="F1329" s="5" t="s">
        <v>321</v>
      </c>
    </row>
    <row r="1330" spans="1:6">
      <c r="A1330" s="4">
        <f t="shared" si="20"/>
        <v>1329</v>
      </c>
      <c r="B1330" s="4" t="s">
        <v>324</v>
      </c>
      <c r="C1330" s="5" t="s">
        <v>296</v>
      </c>
      <c r="D1330" s="23">
        <v>44197</v>
      </c>
      <c r="E1330" s="24">
        <v>960</v>
      </c>
      <c r="F1330" s="5" t="s">
        <v>321</v>
      </c>
    </row>
    <row r="1331" spans="1:6">
      <c r="A1331" s="4">
        <f t="shared" si="20"/>
        <v>1330</v>
      </c>
      <c r="B1331" s="4" t="s">
        <v>324</v>
      </c>
      <c r="C1331" s="5" t="s">
        <v>300</v>
      </c>
      <c r="D1331" s="23">
        <v>44197</v>
      </c>
      <c r="E1331" s="24">
        <v>10906.64</v>
      </c>
      <c r="F1331" s="5" t="s">
        <v>321</v>
      </c>
    </row>
    <row r="1332" spans="1:6">
      <c r="A1332" s="4">
        <f t="shared" si="20"/>
        <v>1331</v>
      </c>
      <c r="B1332" s="4" t="s">
        <v>323</v>
      </c>
      <c r="C1332" s="5" t="s">
        <v>304</v>
      </c>
      <c r="D1332" s="23">
        <v>44166</v>
      </c>
      <c r="E1332" s="24">
        <v>16170.18</v>
      </c>
      <c r="F1332" s="5" t="s">
        <v>321</v>
      </c>
    </row>
    <row r="1333" spans="1:6">
      <c r="A1333" s="4">
        <f t="shared" si="20"/>
        <v>1332</v>
      </c>
      <c r="B1333" s="4" t="s">
        <v>323</v>
      </c>
      <c r="C1333" s="5" t="s">
        <v>299</v>
      </c>
      <c r="D1333" s="23">
        <v>44166</v>
      </c>
      <c r="E1333" s="24">
        <v>816.75</v>
      </c>
      <c r="F1333" s="5" t="s">
        <v>321</v>
      </c>
    </row>
    <row r="1334" spans="1:6">
      <c r="A1334" s="4">
        <f t="shared" si="20"/>
        <v>1333</v>
      </c>
      <c r="B1334" s="4" t="s">
        <v>323</v>
      </c>
      <c r="C1334" s="5" t="s">
        <v>298</v>
      </c>
      <c r="D1334" s="23">
        <v>44166</v>
      </c>
      <c r="E1334" s="24">
        <v>1210.8</v>
      </c>
      <c r="F1334" s="5" t="s">
        <v>321</v>
      </c>
    </row>
    <row r="1335" spans="1:6">
      <c r="A1335" s="4">
        <f t="shared" si="20"/>
        <v>1334</v>
      </c>
      <c r="B1335" s="4" t="s">
        <v>323</v>
      </c>
      <c r="C1335" s="5" t="s">
        <v>295</v>
      </c>
      <c r="D1335" s="23">
        <v>44166</v>
      </c>
      <c r="E1335" s="24">
        <v>2562</v>
      </c>
      <c r="F1335" s="5" t="s">
        <v>321</v>
      </c>
    </row>
    <row r="1336" spans="1:6">
      <c r="A1336" s="4">
        <f t="shared" si="20"/>
        <v>1335</v>
      </c>
      <c r="B1336" s="4" t="s">
        <v>323</v>
      </c>
      <c r="C1336" s="5" t="s">
        <v>308</v>
      </c>
      <c r="D1336" s="23">
        <v>44166</v>
      </c>
      <c r="E1336" s="24">
        <v>1349.25</v>
      </c>
      <c r="F1336" s="5" t="s">
        <v>321</v>
      </c>
    </row>
    <row r="1337" spans="1:6">
      <c r="A1337" s="4">
        <f t="shared" si="20"/>
        <v>1336</v>
      </c>
      <c r="B1337" s="4" t="s">
        <v>323</v>
      </c>
      <c r="C1337" s="5" t="s">
        <v>300</v>
      </c>
      <c r="D1337" s="23">
        <v>44166</v>
      </c>
      <c r="E1337" s="24">
        <v>11921.2</v>
      </c>
      <c r="F1337" s="5" t="s">
        <v>321</v>
      </c>
    </row>
    <row r="1338" spans="1:6">
      <c r="A1338" s="4">
        <f t="shared" si="20"/>
        <v>1337</v>
      </c>
      <c r="B1338" s="4" t="s">
        <v>323</v>
      </c>
      <c r="C1338" s="5" t="s">
        <v>307</v>
      </c>
      <c r="D1338" s="23">
        <v>44166</v>
      </c>
      <c r="E1338" s="24">
        <v>5632</v>
      </c>
      <c r="F1338" s="5" t="s">
        <v>321</v>
      </c>
    </row>
    <row r="1339" spans="1:6">
      <c r="A1339" s="4">
        <f t="shared" si="20"/>
        <v>1338</v>
      </c>
      <c r="B1339" s="4" t="s">
        <v>323</v>
      </c>
      <c r="C1339" s="5" t="s">
        <v>310</v>
      </c>
      <c r="D1339" s="23">
        <v>44166</v>
      </c>
      <c r="E1339" s="24">
        <v>8233</v>
      </c>
      <c r="F1339" s="5" t="s">
        <v>321</v>
      </c>
    </row>
    <row r="1340" spans="1:6">
      <c r="A1340" s="4">
        <f t="shared" si="20"/>
        <v>1339</v>
      </c>
      <c r="B1340" s="4" t="s">
        <v>324</v>
      </c>
      <c r="C1340" s="5" t="s">
        <v>304</v>
      </c>
      <c r="D1340" s="23">
        <v>44166</v>
      </c>
      <c r="E1340" s="24">
        <v>10882.2</v>
      </c>
      <c r="F1340" s="5" t="s">
        <v>321</v>
      </c>
    </row>
    <row r="1341" spans="1:6">
      <c r="A1341" s="4">
        <f t="shared" si="20"/>
        <v>1340</v>
      </c>
      <c r="B1341" s="4" t="s">
        <v>324</v>
      </c>
      <c r="C1341" s="5" t="s">
        <v>298</v>
      </c>
      <c r="D1341" s="23">
        <v>44166</v>
      </c>
      <c r="E1341" s="24">
        <v>5488</v>
      </c>
      <c r="F1341" s="5" t="s">
        <v>321</v>
      </c>
    </row>
    <row r="1342" spans="1:6">
      <c r="A1342" s="4">
        <f t="shared" si="20"/>
        <v>1341</v>
      </c>
      <c r="B1342" s="4" t="s">
        <v>324</v>
      </c>
      <c r="C1342" s="5" t="s">
        <v>295</v>
      </c>
      <c r="D1342" s="23">
        <v>44166</v>
      </c>
      <c r="E1342" s="24">
        <v>2973</v>
      </c>
      <c r="F1342" s="5" t="s">
        <v>321</v>
      </c>
    </row>
    <row r="1343" spans="1:6">
      <c r="A1343" s="4">
        <f t="shared" si="20"/>
        <v>1342</v>
      </c>
      <c r="B1343" s="4" t="s">
        <v>324</v>
      </c>
      <c r="C1343" s="5" t="s">
        <v>308</v>
      </c>
      <c r="D1343" s="23">
        <v>44166</v>
      </c>
      <c r="E1343" s="24">
        <v>1265</v>
      </c>
      <c r="F1343" s="5" t="s">
        <v>321</v>
      </c>
    </row>
    <row r="1344" spans="1:6">
      <c r="A1344" s="4">
        <f t="shared" si="20"/>
        <v>1343</v>
      </c>
      <c r="B1344" s="4" t="s">
        <v>324</v>
      </c>
      <c r="C1344" s="5" t="s">
        <v>300</v>
      </c>
      <c r="D1344" s="23">
        <v>44166</v>
      </c>
      <c r="E1344" s="24">
        <v>12677.78</v>
      </c>
      <c r="F1344" s="5" t="s">
        <v>321</v>
      </c>
    </row>
    <row r="1345" spans="1:6">
      <c r="A1345" s="4">
        <f t="shared" si="20"/>
        <v>1344</v>
      </c>
      <c r="B1345" s="4" t="s">
        <v>323</v>
      </c>
      <c r="C1345" s="5" t="s">
        <v>304</v>
      </c>
      <c r="D1345" s="23">
        <v>44136</v>
      </c>
      <c r="E1345" s="24">
        <v>19809.3</v>
      </c>
      <c r="F1345" s="5" t="s">
        <v>321</v>
      </c>
    </row>
    <row r="1346" spans="1:6">
      <c r="A1346" s="4">
        <f t="shared" si="20"/>
        <v>1345</v>
      </c>
      <c r="B1346" s="4" t="s">
        <v>323</v>
      </c>
      <c r="C1346" s="5" t="s">
        <v>299</v>
      </c>
      <c r="D1346" s="23">
        <v>44136</v>
      </c>
      <c r="E1346" s="24">
        <v>1633.5</v>
      </c>
      <c r="F1346" s="5" t="s">
        <v>321</v>
      </c>
    </row>
    <row r="1347" spans="1:6">
      <c r="A1347" s="4">
        <f t="shared" si="20"/>
        <v>1346</v>
      </c>
      <c r="B1347" s="4" t="s">
        <v>323</v>
      </c>
      <c r="C1347" s="5" t="s">
        <v>298</v>
      </c>
      <c r="D1347" s="23">
        <v>44136</v>
      </c>
      <c r="E1347" s="24">
        <v>1210.8</v>
      </c>
      <c r="F1347" s="5" t="s">
        <v>321</v>
      </c>
    </row>
    <row r="1348" spans="1:6">
      <c r="A1348" s="4">
        <f t="shared" si="20"/>
        <v>1347</v>
      </c>
      <c r="B1348" s="4" t="s">
        <v>323</v>
      </c>
      <c r="C1348" s="5" t="s">
        <v>295</v>
      </c>
      <c r="D1348" s="23">
        <v>44136</v>
      </c>
      <c r="E1348" s="24">
        <v>2340</v>
      </c>
      <c r="F1348" s="5" t="s">
        <v>321</v>
      </c>
    </row>
    <row r="1349" spans="1:6">
      <c r="A1349" s="4">
        <f t="shared" si="20"/>
        <v>1348</v>
      </c>
      <c r="B1349" s="4" t="s">
        <v>323</v>
      </c>
      <c r="C1349" s="5" t="s">
        <v>308</v>
      </c>
      <c r="D1349" s="23">
        <v>44136</v>
      </c>
      <c r="E1349" s="24">
        <v>671.25</v>
      </c>
      <c r="F1349" s="5" t="s">
        <v>321</v>
      </c>
    </row>
    <row r="1350" spans="1:6">
      <c r="A1350" s="4">
        <f t="shared" si="20"/>
        <v>1349</v>
      </c>
      <c r="B1350" s="4" t="s">
        <v>323</v>
      </c>
      <c r="C1350" s="5" t="s">
        <v>300</v>
      </c>
      <c r="D1350" s="23">
        <v>44136</v>
      </c>
      <c r="E1350" s="24">
        <v>13971.169999999998</v>
      </c>
      <c r="F1350" s="5" t="s">
        <v>321</v>
      </c>
    </row>
    <row r="1351" spans="1:6">
      <c r="A1351" s="4">
        <f t="shared" si="20"/>
        <v>1350</v>
      </c>
      <c r="B1351" s="4" t="s">
        <v>323</v>
      </c>
      <c r="C1351" s="5" t="s">
        <v>307</v>
      </c>
      <c r="D1351" s="23">
        <v>44136</v>
      </c>
      <c r="E1351" s="24">
        <v>5088</v>
      </c>
      <c r="F1351" s="5" t="s">
        <v>321</v>
      </c>
    </row>
    <row r="1352" spans="1:6">
      <c r="A1352" s="4">
        <f t="shared" si="20"/>
        <v>1351</v>
      </c>
      <c r="B1352" s="4" t="s">
        <v>323</v>
      </c>
      <c r="C1352" s="5" t="s">
        <v>310</v>
      </c>
      <c r="D1352" s="23">
        <v>44136</v>
      </c>
      <c r="E1352" s="24">
        <v>5464</v>
      </c>
      <c r="F1352" s="5" t="s">
        <v>321</v>
      </c>
    </row>
    <row r="1353" spans="1:6">
      <c r="A1353" s="4">
        <f t="shared" si="20"/>
        <v>1352</v>
      </c>
      <c r="B1353" s="4" t="s">
        <v>324</v>
      </c>
      <c r="C1353" s="5" t="s">
        <v>304</v>
      </c>
      <c r="D1353" s="23">
        <v>44136</v>
      </c>
      <c r="E1353" s="24">
        <v>13972.1</v>
      </c>
      <c r="F1353" s="5" t="s">
        <v>321</v>
      </c>
    </row>
    <row r="1354" spans="1:6">
      <c r="A1354" s="4">
        <f t="shared" si="20"/>
        <v>1353</v>
      </c>
      <c r="B1354" s="4" t="s">
        <v>324</v>
      </c>
      <c r="C1354" s="5" t="s">
        <v>299</v>
      </c>
      <c r="D1354" s="23">
        <v>44136</v>
      </c>
      <c r="E1354" s="24">
        <v>2815</v>
      </c>
      <c r="F1354" s="5" t="s">
        <v>321</v>
      </c>
    </row>
    <row r="1355" spans="1:6">
      <c r="A1355" s="4">
        <f t="shared" ref="A1355:A1409" si="21">ROW()-1</f>
        <v>1354</v>
      </c>
      <c r="B1355" s="4" t="s">
        <v>324</v>
      </c>
      <c r="C1355" s="5" t="s">
        <v>308</v>
      </c>
      <c r="D1355" s="23">
        <v>44136</v>
      </c>
      <c r="E1355" s="24">
        <v>3142.42</v>
      </c>
      <c r="F1355" s="5" t="s">
        <v>321</v>
      </c>
    </row>
    <row r="1356" spans="1:6">
      <c r="A1356" s="4">
        <f t="shared" si="21"/>
        <v>1355</v>
      </c>
      <c r="B1356" s="4" t="s">
        <v>324</v>
      </c>
      <c r="C1356" s="5" t="s">
        <v>300</v>
      </c>
      <c r="D1356" s="23">
        <v>44136</v>
      </c>
      <c r="E1356" s="24">
        <v>9500.69</v>
      </c>
      <c r="F1356" s="5" t="s">
        <v>321</v>
      </c>
    </row>
    <row r="1357" spans="1:6">
      <c r="A1357" s="4">
        <f t="shared" si="21"/>
        <v>1356</v>
      </c>
      <c r="B1357" s="4" t="s">
        <v>324</v>
      </c>
      <c r="C1357" s="5" t="s">
        <v>307</v>
      </c>
      <c r="D1357" s="23">
        <v>44136</v>
      </c>
      <c r="E1357" s="24">
        <v>1748</v>
      </c>
      <c r="F1357" s="5" t="s">
        <v>321</v>
      </c>
    </row>
    <row r="1358" spans="1:6">
      <c r="A1358" s="4">
        <f t="shared" si="21"/>
        <v>1357</v>
      </c>
      <c r="B1358" s="4" t="s">
        <v>324</v>
      </c>
      <c r="C1358" s="5" t="s">
        <v>311</v>
      </c>
      <c r="D1358" s="23">
        <v>44136</v>
      </c>
      <c r="E1358" s="24">
        <v>2460</v>
      </c>
      <c r="F1358" s="5" t="s">
        <v>321</v>
      </c>
    </row>
    <row r="1359" spans="1:6">
      <c r="A1359" s="4">
        <f t="shared" si="21"/>
        <v>1358</v>
      </c>
      <c r="B1359" s="4" t="s">
        <v>323</v>
      </c>
      <c r="C1359" s="5" t="s">
        <v>304</v>
      </c>
      <c r="D1359" s="23">
        <v>44105</v>
      </c>
      <c r="E1359" s="24">
        <v>23340.400000000001</v>
      </c>
      <c r="F1359" s="5" t="s">
        <v>321</v>
      </c>
    </row>
    <row r="1360" spans="1:6">
      <c r="A1360" s="4">
        <f t="shared" si="21"/>
        <v>1359</v>
      </c>
      <c r="B1360" s="4" t="s">
        <v>323</v>
      </c>
      <c r="C1360" s="5" t="s">
        <v>299</v>
      </c>
      <c r="D1360" s="23">
        <v>44105</v>
      </c>
      <c r="E1360" s="24">
        <v>3267</v>
      </c>
      <c r="F1360" s="5" t="s">
        <v>321</v>
      </c>
    </row>
    <row r="1361" spans="1:6">
      <c r="A1361" s="4">
        <f t="shared" si="21"/>
        <v>1360</v>
      </c>
      <c r="B1361" s="4" t="s">
        <v>323</v>
      </c>
      <c r="C1361" s="5" t="s">
        <v>298</v>
      </c>
      <c r="D1361" s="23">
        <v>44105</v>
      </c>
      <c r="E1361" s="24">
        <v>1816.1999999999998</v>
      </c>
      <c r="F1361" s="5" t="s">
        <v>321</v>
      </c>
    </row>
    <row r="1362" spans="1:6">
      <c r="A1362" s="4">
        <f t="shared" si="21"/>
        <v>1361</v>
      </c>
      <c r="B1362" s="4" t="s">
        <v>323</v>
      </c>
      <c r="C1362" s="5" t="s">
        <v>295</v>
      </c>
      <c r="D1362" s="23">
        <v>44105</v>
      </c>
      <c r="E1362" s="24">
        <v>273</v>
      </c>
      <c r="F1362" s="5" t="s">
        <v>321</v>
      </c>
    </row>
    <row r="1363" spans="1:6">
      <c r="A1363" s="4">
        <f t="shared" si="21"/>
        <v>1362</v>
      </c>
      <c r="B1363" s="4" t="s">
        <v>323</v>
      </c>
      <c r="C1363" s="5" t="s">
        <v>308</v>
      </c>
      <c r="D1363" s="23">
        <v>44105</v>
      </c>
      <c r="E1363" s="24">
        <v>4413.630000000001</v>
      </c>
      <c r="F1363" s="5" t="s">
        <v>321</v>
      </c>
    </row>
    <row r="1364" spans="1:6">
      <c r="A1364" s="4">
        <f t="shared" si="21"/>
        <v>1363</v>
      </c>
      <c r="B1364" s="4" t="s">
        <v>323</v>
      </c>
      <c r="C1364" s="5" t="s">
        <v>300</v>
      </c>
      <c r="D1364" s="23">
        <v>44105</v>
      </c>
      <c r="E1364" s="24">
        <v>18384.71</v>
      </c>
      <c r="F1364" s="5" t="s">
        <v>321</v>
      </c>
    </row>
    <row r="1365" spans="1:6">
      <c r="A1365" s="4">
        <f t="shared" si="21"/>
        <v>1364</v>
      </c>
      <c r="B1365" s="4" t="s">
        <v>323</v>
      </c>
      <c r="C1365" s="5" t="s">
        <v>310</v>
      </c>
      <c r="D1365" s="23">
        <v>44105</v>
      </c>
      <c r="E1365" s="24">
        <v>1572</v>
      </c>
      <c r="F1365" s="5" t="s">
        <v>321</v>
      </c>
    </row>
    <row r="1366" spans="1:6">
      <c r="A1366" s="4">
        <f t="shared" si="21"/>
        <v>1365</v>
      </c>
      <c r="B1366" s="4" t="s">
        <v>324</v>
      </c>
      <c r="C1366" s="5" t="s">
        <v>304</v>
      </c>
      <c r="D1366" s="23">
        <v>44105</v>
      </c>
      <c r="E1366" s="24">
        <v>7944.4</v>
      </c>
      <c r="F1366" s="5" t="s">
        <v>321</v>
      </c>
    </row>
    <row r="1367" spans="1:6">
      <c r="A1367" s="4">
        <f t="shared" si="21"/>
        <v>1366</v>
      </c>
      <c r="B1367" s="4" t="s">
        <v>324</v>
      </c>
      <c r="C1367" s="5" t="s">
        <v>300</v>
      </c>
      <c r="D1367" s="23">
        <v>44105</v>
      </c>
      <c r="E1367" s="24">
        <v>7719.64</v>
      </c>
      <c r="F1367" s="5" t="s">
        <v>321</v>
      </c>
    </row>
    <row r="1368" spans="1:6">
      <c r="A1368" s="4">
        <f t="shared" si="21"/>
        <v>1367</v>
      </c>
      <c r="B1368" s="4" t="s">
        <v>323</v>
      </c>
      <c r="C1368" s="5" t="s">
        <v>304</v>
      </c>
      <c r="D1368" s="23">
        <v>44075</v>
      </c>
      <c r="E1368" s="24">
        <v>16251.15</v>
      </c>
      <c r="F1368" s="5" t="s">
        <v>321</v>
      </c>
    </row>
    <row r="1369" spans="1:6">
      <c r="A1369" s="4">
        <f t="shared" si="21"/>
        <v>1368</v>
      </c>
      <c r="B1369" s="4" t="s">
        <v>323</v>
      </c>
      <c r="C1369" s="5" t="s">
        <v>299</v>
      </c>
      <c r="D1369" s="23">
        <v>44075</v>
      </c>
      <c r="E1369" s="24">
        <v>2160</v>
      </c>
      <c r="F1369" s="5" t="s">
        <v>321</v>
      </c>
    </row>
    <row r="1370" spans="1:6">
      <c r="A1370" s="4">
        <f t="shared" si="21"/>
        <v>1369</v>
      </c>
      <c r="B1370" s="4" t="s">
        <v>323</v>
      </c>
      <c r="C1370" s="5" t="s">
        <v>298</v>
      </c>
      <c r="D1370" s="23">
        <v>44075</v>
      </c>
      <c r="E1370" s="24">
        <v>1199.8</v>
      </c>
      <c r="F1370" s="5" t="s">
        <v>321</v>
      </c>
    </row>
    <row r="1371" spans="1:6">
      <c r="A1371" s="4">
        <f t="shared" si="21"/>
        <v>1370</v>
      </c>
      <c r="B1371" s="4" t="s">
        <v>323</v>
      </c>
      <c r="C1371" s="5" t="s">
        <v>308</v>
      </c>
      <c r="D1371" s="23">
        <v>44075</v>
      </c>
      <c r="E1371" s="24">
        <v>2320.7799999999997</v>
      </c>
      <c r="F1371" s="5" t="s">
        <v>321</v>
      </c>
    </row>
    <row r="1372" spans="1:6">
      <c r="A1372" s="4">
        <f t="shared" si="21"/>
        <v>1371</v>
      </c>
      <c r="B1372" s="4" t="s">
        <v>323</v>
      </c>
      <c r="C1372" s="5" t="s">
        <v>300</v>
      </c>
      <c r="D1372" s="23">
        <v>44075</v>
      </c>
      <c r="E1372" s="24">
        <v>10871.400000000001</v>
      </c>
      <c r="F1372" s="5" t="s">
        <v>321</v>
      </c>
    </row>
    <row r="1373" spans="1:6">
      <c r="A1373" s="4">
        <f t="shared" si="21"/>
        <v>1372</v>
      </c>
      <c r="B1373" s="4" t="s">
        <v>323</v>
      </c>
      <c r="C1373" s="5" t="s">
        <v>307</v>
      </c>
      <c r="D1373" s="23">
        <v>44075</v>
      </c>
      <c r="E1373" s="24">
        <v>576</v>
      </c>
      <c r="F1373" s="5" t="s">
        <v>321</v>
      </c>
    </row>
    <row r="1374" spans="1:6">
      <c r="A1374" s="4">
        <f t="shared" si="21"/>
        <v>1373</v>
      </c>
      <c r="B1374" s="4" t="s">
        <v>324</v>
      </c>
      <c r="C1374" s="5" t="s">
        <v>304</v>
      </c>
      <c r="D1374" s="23">
        <v>44075</v>
      </c>
      <c r="E1374" s="24">
        <v>5487</v>
      </c>
      <c r="F1374" s="5" t="s">
        <v>321</v>
      </c>
    </row>
    <row r="1375" spans="1:6">
      <c r="A1375" s="4">
        <f t="shared" si="21"/>
        <v>1374</v>
      </c>
      <c r="B1375" s="4" t="s">
        <v>324</v>
      </c>
      <c r="C1375" s="5" t="s">
        <v>308</v>
      </c>
      <c r="D1375" s="23">
        <v>44075</v>
      </c>
      <c r="E1375" s="24">
        <v>1608.2</v>
      </c>
      <c r="F1375" s="5" t="s">
        <v>321</v>
      </c>
    </row>
    <row r="1376" spans="1:6">
      <c r="A1376" s="4">
        <f t="shared" si="21"/>
        <v>1375</v>
      </c>
      <c r="B1376" s="4" t="s">
        <v>324</v>
      </c>
      <c r="C1376" s="5" t="s">
        <v>300</v>
      </c>
      <c r="D1376" s="23">
        <v>44075</v>
      </c>
      <c r="E1376" s="24">
        <v>5553.84</v>
      </c>
      <c r="F1376" s="5" t="s">
        <v>321</v>
      </c>
    </row>
    <row r="1377" spans="1:6">
      <c r="A1377" s="4">
        <f t="shared" si="21"/>
        <v>1376</v>
      </c>
      <c r="B1377" s="4" t="s">
        <v>324</v>
      </c>
      <c r="C1377" s="5" t="s">
        <v>311</v>
      </c>
      <c r="D1377" s="23">
        <v>44075</v>
      </c>
      <c r="E1377" s="24">
        <v>780</v>
      </c>
      <c r="F1377" s="5" t="s">
        <v>321</v>
      </c>
    </row>
    <row r="1378" spans="1:6">
      <c r="A1378" s="4">
        <f t="shared" si="21"/>
        <v>1377</v>
      </c>
      <c r="B1378" s="4" t="s">
        <v>323</v>
      </c>
      <c r="C1378" s="5" t="s">
        <v>304</v>
      </c>
      <c r="D1378" s="23">
        <v>44044</v>
      </c>
      <c r="E1378" s="24">
        <v>15331.84</v>
      </c>
      <c r="F1378" s="5" t="s">
        <v>321</v>
      </c>
    </row>
    <row r="1379" spans="1:6">
      <c r="A1379" s="4">
        <f t="shared" si="21"/>
        <v>1378</v>
      </c>
      <c r="B1379" s="4" t="s">
        <v>323</v>
      </c>
      <c r="C1379" s="5" t="s">
        <v>299</v>
      </c>
      <c r="D1379" s="23">
        <v>44044</v>
      </c>
      <c r="E1379" s="24">
        <v>6120</v>
      </c>
      <c r="F1379" s="5" t="s">
        <v>321</v>
      </c>
    </row>
    <row r="1380" spans="1:6">
      <c r="A1380" s="4">
        <f t="shared" si="21"/>
        <v>1379</v>
      </c>
      <c r="B1380" s="4" t="s">
        <v>323</v>
      </c>
      <c r="C1380" s="5" t="s">
        <v>295</v>
      </c>
      <c r="D1380" s="23">
        <v>44044</v>
      </c>
      <c r="E1380" s="24">
        <v>258</v>
      </c>
      <c r="F1380" s="5" t="s">
        <v>321</v>
      </c>
    </row>
    <row r="1381" spans="1:6">
      <c r="A1381" s="4">
        <f t="shared" si="21"/>
        <v>1380</v>
      </c>
      <c r="B1381" s="4" t="s">
        <v>323</v>
      </c>
      <c r="C1381" s="5" t="s">
        <v>308</v>
      </c>
      <c r="D1381" s="23">
        <v>44044</v>
      </c>
      <c r="E1381" s="24">
        <v>6913.8</v>
      </c>
      <c r="F1381" s="5" t="s">
        <v>321</v>
      </c>
    </row>
    <row r="1382" spans="1:6">
      <c r="A1382" s="4">
        <f t="shared" si="21"/>
        <v>1381</v>
      </c>
      <c r="B1382" s="4" t="s">
        <v>323</v>
      </c>
      <c r="C1382" s="5" t="s">
        <v>300</v>
      </c>
      <c r="D1382" s="23">
        <v>44044</v>
      </c>
      <c r="E1382" s="24">
        <v>12685.2</v>
      </c>
      <c r="F1382" s="5" t="s">
        <v>321</v>
      </c>
    </row>
    <row r="1383" spans="1:6">
      <c r="A1383" s="4">
        <f t="shared" si="21"/>
        <v>1382</v>
      </c>
      <c r="B1383" s="4" t="s">
        <v>324</v>
      </c>
      <c r="C1383" s="5" t="s">
        <v>304</v>
      </c>
      <c r="D1383" s="23">
        <v>44044</v>
      </c>
      <c r="E1383" s="24">
        <v>5704</v>
      </c>
      <c r="F1383" s="5" t="s">
        <v>321</v>
      </c>
    </row>
    <row r="1384" spans="1:6">
      <c r="A1384" s="4">
        <f t="shared" si="21"/>
        <v>1383</v>
      </c>
      <c r="B1384" s="4" t="s">
        <v>324</v>
      </c>
      <c r="C1384" s="5" t="s">
        <v>300</v>
      </c>
      <c r="D1384" s="23">
        <v>44044</v>
      </c>
      <c r="E1384" s="24">
        <v>2923.29</v>
      </c>
      <c r="F1384" s="5" t="s">
        <v>321</v>
      </c>
    </row>
    <row r="1385" spans="1:6">
      <c r="A1385" s="4">
        <f t="shared" si="21"/>
        <v>1384</v>
      </c>
      <c r="B1385" s="4" t="s">
        <v>323</v>
      </c>
      <c r="C1385" s="5" t="s">
        <v>304</v>
      </c>
      <c r="D1385" s="23">
        <v>44013</v>
      </c>
      <c r="E1385" s="24">
        <v>925</v>
      </c>
      <c r="F1385" s="5" t="s">
        <v>321</v>
      </c>
    </row>
    <row r="1386" spans="1:6">
      <c r="A1386" s="4">
        <f t="shared" si="21"/>
        <v>1385</v>
      </c>
      <c r="B1386" s="4" t="s">
        <v>323</v>
      </c>
      <c r="C1386" s="5" t="s">
        <v>299</v>
      </c>
      <c r="D1386" s="23">
        <v>44013</v>
      </c>
      <c r="E1386" s="24">
        <v>3320</v>
      </c>
      <c r="F1386" s="5" t="s">
        <v>321</v>
      </c>
    </row>
    <row r="1387" spans="1:6">
      <c r="A1387" s="4">
        <f t="shared" si="21"/>
        <v>1386</v>
      </c>
      <c r="B1387" s="4" t="s">
        <v>323</v>
      </c>
      <c r="C1387" s="5" t="s">
        <v>298</v>
      </c>
      <c r="D1387" s="23">
        <v>44013</v>
      </c>
      <c r="E1387" s="24">
        <v>190.8</v>
      </c>
      <c r="F1387" s="5" t="s">
        <v>321</v>
      </c>
    </row>
    <row r="1388" spans="1:6">
      <c r="A1388" s="4">
        <f t="shared" si="21"/>
        <v>1387</v>
      </c>
      <c r="B1388" s="4" t="s">
        <v>323</v>
      </c>
      <c r="C1388" s="5" t="s">
        <v>295</v>
      </c>
      <c r="D1388" s="23">
        <v>44013</v>
      </c>
      <c r="E1388" s="24">
        <v>192</v>
      </c>
      <c r="F1388" s="5" t="s">
        <v>321</v>
      </c>
    </row>
    <row r="1389" spans="1:6">
      <c r="A1389" s="4">
        <f t="shared" si="21"/>
        <v>1388</v>
      </c>
      <c r="B1389" s="4" t="s">
        <v>323</v>
      </c>
      <c r="C1389" s="5" t="s">
        <v>308</v>
      </c>
      <c r="D1389" s="23">
        <v>44013</v>
      </c>
      <c r="E1389" s="24">
        <v>2178</v>
      </c>
      <c r="F1389" s="5" t="s">
        <v>321</v>
      </c>
    </row>
    <row r="1390" spans="1:6">
      <c r="A1390" s="4">
        <f t="shared" si="21"/>
        <v>1389</v>
      </c>
      <c r="B1390" s="4" t="s">
        <v>323</v>
      </c>
      <c r="C1390" s="5" t="s">
        <v>300</v>
      </c>
      <c r="D1390" s="23">
        <v>44013</v>
      </c>
      <c r="E1390" s="24">
        <v>744</v>
      </c>
      <c r="F1390" s="5" t="s">
        <v>321</v>
      </c>
    </row>
    <row r="1391" spans="1:6">
      <c r="A1391" s="4">
        <f t="shared" si="21"/>
        <v>1390</v>
      </c>
      <c r="B1391" s="4" t="s">
        <v>324</v>
      </c>
      <c r="C1391" s="5" t="s">
        <v>304</v>
      </c>
      <c r="D1391" s="23">
        <v>44013</v>
      </c>
      <c r="E1391" s="24">
        <v>5808</v>
      </c>
      <c r="F1391" s="5" t="s">
        <v>321</v>
      </c>
    </row>
    <row r="1392" spans="1:6">
      <c r="A1392" s="4">
        <f t="shared" si="21"/>
        <v>1391</v>
      </c>
      <c r="B1392" s="4" t="s">
        <v>324</v>
      </c>
      <c r="C1392" s="5" t="s">
        <v>296</v>
      </c>
      <c r="D1392" s="23">
        <v>44013</v>
      </c>
      <c r="E1392" s="24">
        <v>1048</v>
      </c>
      <c r="F1392" s="5" t="s">
        <v>321</v>
      </c>
    </row>
    <row r="1393" spans="1:6">
      <c r="A1393" s="4">
        <f t="shared" si="21"/>
        <v>1392</v>
      </c>
      <c r="B1393" s="4" t="s">
        <v>324</v>
      </c>
      <c r="C1393" s="5" t="s">
        <v>308</v>
      </c>
      <c r="D1393" s="23">
        <v>44013</v>
      </c>
      <c r="E1393" s="24">
        <v>705</v>
      </c>
      <c r="F1393" s="5" t="s">
        <v>321</v>
      </c>
    </row>
    <row r="1394" spans="1:6">
      <c r="A1394" s="4">
        <f t="shared" si="21"/>
        <v>1393</v>
      </c>
      <c r="B1394" s="4" t="s">
        <v>323</v>
      </c>
      <c r="C1394" s="5" t="s">
        <v>295</v>
      </c>
      <c r="D1394" s="23">
        <v>43983</v>
      </c>
      <c r="E1394" s="24">
        <v>192</v>
      </c>
      <c r="F1394" s="5" t="s">
        <v>321</v>
      </c>
    </row>
    <row r="1395" spans="1:6">
      <c r="A1395" s="4">
        <f t="shared" si="21"/>
        <v>1394</v>
      </c>
      <c r="B1395" s="4" t="s">
        <v>323</v>
      </c>
      <c r="C1395" s="5" t="s">
        <v>308</v>
      </c>
      <c r="D1395" s="23">
        <v>43983</v>
      </c>
      <c r="E1395" s="24">
        <v>5992.5</v>
      </c>
      <c r="F1395" s="5" t="s">
        <v>321</v>
      </c>
    </row>
    <row r="1396" spans="1:6">
      <c r="A1396" s="4">
        <f t="shared" si="21"/>
        <v>1395</v>
      </c>
      <c r="B1396" s="4" t="s">
        <v>324</v>
      </c>
      <c r="C1396" s="5" t="s">
        <v>304</v>
      </c>
      <c r="D1396" s="23">
        <v>43983</v>
      </c>
      <c r="E1396" s="24">
        <v>4752</v>
      </c>
      <c r="F1396" s="5" t="s">
        <v>321</v>
      </c>
    </row>
    <row r="1397" spans="1:6">
      <c r="A1397" s="4">
        <f t="shared" si="21"/>
        <v>1396</v>
      </c>
      <c r="B1397" s="4" t="s">
        <v>323</v>
      </c>
      <c r="C1397" s="5" t="s">
        <v>308</v>
      </c>
      <c r="D1397" s="23">
        <v>43952</v>
      </c>
      <c r="E1397" s="24">
        <v>4725</v>
      </c>
      <c r="F1397" s="5" t="s">
        <v>321</v>
      </c>
    </row>
    <row r="1398" spans="1:6">
      <c r="A1398" s="4">
        <f t="shared" si="21"/>
        <v>1397</v>
      </c>
      <c r="B1398" s="4" t="s">
        <v>324</v>
      </c>
      <c r="C1398" s="5" t="s">
        <v>304</v>
      </c>
      <c r="D1398" s="23">
        <v>43952</v>
      </c>
      <c r="E1398" s="24">
        <v>5280</v>
      </c>
      <c r="F1398" s="5" t="s">
        <v>321</v>
      </c>
    </row>
    <row r="1399" spans="1:6">
      <c r="A1399" s="4">
        <f t="shared" si="21"/>
        <v>1398</v>
      </c>
      <c r="B1399" s="4" t="s">
        <v>324</v>
      </c>
      <c r="C1399" s="5" t="s">
        <v>299</v>
      </c>
      <c r="D1399" s="23">
        <v>43952</v>
      </c>
      <c r="E1399" s="24">
        <v>1376</v>
      </c>
      <c r="F1399" s="5" t="s">
        <v>321</v>
      </c>
    </row>
    <row r="1400" spans="1:6">
      <c r="A1400" s="4">
        <f t="shared" si="21"/>
        <v>1399</v>
      </c>
      <c r="B1400" s="4" t="s">
        <v>323</v>
      </c>
      <c r="C1400" s="5" t="s">
        <v>304</v>
      </c>
      <c r="D1400" s="23">
        <v>43922</v>
      </c>
      <c r="E1400" s="24">
        <v>2306.4</v>
      </c>
      <c r="F1400" s="5" t="s">
        <v>321</v>
      </c>
    </row>
    <row r="1401" spans="1:6">
      <c r="A1401" s="4">
        <f t="shared" si="21"/>
        <v>1400</v>
      </c>
      <c r="B1401" s="4" t="s">
        <v>323</v>
      </c>
      <c r="C1401" s="5" t="s">
        <v>308</v>
      </c>
      <c r="D1401" s="23">
        <v>43922</v>
      </c>
      <c r="E1401" s="24">
        <v>14061.759999999998</v>
      </c>
      <c r="F1401" s="5" t="s">
        <v>321</v>
      </c>
    </row>
    <row r="1402" spans="1:6">
      <c r="A1402" s="4">
        <f t="shared" si="21"/>
        <v>1401</v>
      </c>
      <c r="B1402" s="4" t="s">
        <v>323</v>
      </c>
      <c r="C1402" s="5" t="s">
        <v>300</v>
      </c>
      <c r="D1402" s="23">
        <v>43922</v>
      </c>
      <c r="E1402" s="24">
        <v>1182</v>
      </c>
      <c r="F1402" s="5" t="s">
        <v>321</v>
      </c>
    </row>
    <row r="1403" spans="1:6">
      <c r="A1403" s="4">
        <f t="shared" si="21"/>
        <v>1402</v>
      </c>
      <c r="B1403" s="4" t="s">
        <v>324</v>
      </c>
      <c r="C1403" s="5" t="s">
        <v>304</v>
      </c>
      <c r="D1403" s="23">
        <v>43922</v>
      </c>
      <c r="E1403" s="24">
        <v>5808</v>
      </c>
      <c r="F1403" s="5" t="s">
        <v>321</v>
      </c>
    </row>
    <row r="1404" spans="1:6">
      <c r="A1404" s="4">
        <f t="shared" si="21"/>
        <v>1403</v>
      </c>
      <c r="B1404" s="4" t="s">
        <v>323</v>
      </c>
      <c r="C1404" s="5" t="s">
        <v>304</v>
      </c>
      <c r="D1404" s="23">
        <v>43891</v>
      </c>
      <c r="E1404" s="24">
        <v>3379.74</v>
      </c>
      <c r="F1404" s="5" t="s">
        <v>321</v>
      </c>
    </row>
    <row r="1405" spans="1:6">
      <c r="A1405" s="4">
        <f t="shared" si="21"/>
        <v>1404</v>
      </c>
      <c r="B1405" s="4" t="s">
        <v>323</v>
      </c>
      <c r="C1405" s="5" t="s">
        <v>299</v>
      </c>
      <c r="D1405" s="23">
        <v>43891</v>
      </c>
      <c r="E1405" s="24">
        <v>808</v>
      </c>
      <c r="F1405" s="5" t="s">
        <v>321</v>
      </c>
    </row>
    <row r="1406" spans="1:6">
      <c r="A1406" s="4">
        <f t="shared" si="21"/>
        <v>1405</v>
      </c>
      <c r="B1406" s="4" t="s">
        <v>323</v>
      </c>
      <c r="C1406" s="5" t="s">
        <v>300</v>
      </c>
      <c r="D1406" s="23">
        <v>43891</v>
      </c>
      <c r="E1406" s="24">
        <v>2576.5100000000002</v>
      </c>
      <c r="F1406" s="5" t="s">
        <v>321</v>
      </c>
    </row>
    <row r="1407" spans="1:6">
      <c r="A1407" s="4">
        <f t="shared" si="21"/>
        <v>1406</v>
      </c>
      <c r="B1407" s="4" t="s">
        <v>324</v>
      </c>
      <c r="C1407" s="5" t="s">
        <v>304</v>
      </c>
      <c r="D1407" s="23">
        <v>43891</v>
      </c>
      <c r="E1407" s="24">
        <v>5280</v>
      </c>
      <c r="F1407" s="5" t="s">
        <v>321</v>
      </c>
    </row>
    <row r="1408" spans="1:6">
      <c r="A1408" s="4">
        <f t="shared" si="21"/>
        <v>1407</v>
      </c>
      <c r="B1408" s="4" t="s">
        <v>324</v>
      </c>
      <c r="C1408" s="5" t="s">
        <v>304</v>
      </c>
      <c r="D1408" s="23">
        <v>43862</v>
      </c>
      <c r="E1408" s="24">
        <v>5016</v>
      </c>
      <c r="F1408" s="5" t="s">
        <v>321</v>
      </c>
    </row>
    <row r="1409" spans="1:6">
      <c r="A1409" s="4">
        <f t="shared" si="21"/>
        <v>1408</v>
      </c>
      <c r="B1409" s="4" t="s">
        <v>324</v>
      </c>
      <c r="C1409" s="5" t="s">
        <v>304</v>
      </c>
      <c r="D1409" s="23">
        <v>43831</v>
      </c>
      <c r="E1409" s="24">
        <v>3696</v>
      </c>
      <c r="F1409" s="5" t="s">
        <v>321</v>
      </c>
    </row>
  </sheetData>
  <autoFilter ref="A1:F1409" xr:uid="{00000000-0001-0000-0700-000000000000}"/>
  <phoneticPr fontId="9"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6"/>
  <sheetViews>
    <sheetView workbookViewId="0">
      <pane ySplit="1" topLeftCell="A2" activePane="bottomLeft" state="frozen"/>
      <selection pane="bottomLeft" activeCell="I25" sqref="I25"/>
    </sheetView>
  </sheetViews>
  <sheetFormatPr defaultRowHeight="16.5"/>
  <cols>
    <col min="1" max="1" width="5" bestFit="1" customWidth="1"/>
    <col min="2" max="2" width="19.25" bestFit="1" customWidth="1"/>
    <col min="3" max="4" width="16" customWidth="1"/>
    <col min="5" max="5" width="7.5" customWidth="1"/>
    <col min="6" max="7" width="31.75" bestFit="1" customWidth="1"/>
    <col min="8" max="8" width="16" customWidth="1"/>
    <col min="9" max="9" width="25.125" bestFit="1" customWidth="1"/>
    <col min="10" max="10" width="16" customWidth="1"/>
  </cols>
  <sheetData>
    <row r="1" spans="1:10" ht="26.1" customHeight="1">
      <c r="A1" s="3" t="s">
        <v>51</v>
      </c>
      <c r="B1" s="3" t="s">
        <v>86</v>
      </c>
      <c r="C1" s="3" t="s">
        <v>106</v>
      </c>
      <c r="D1" s="3" t="s">
        <v>87</v>
      </c>
      <c r="E1" s="3" t="s">
        <v>88</v>
      </c>
      <c r="F1" s="3" t="s">
        <v>107</v>
      </c>
      <c r="G1" s="3" t="s">
        <v>2628</v>
      </c>
      <c r="H1" s="3" t="s">
        <v>33</v>
      </c>
      <c r="I1" s="3" t="s">
        <v>89</v>
      </c>
      <c r="J1" s="3" t="s">
        <v>90</v>
      </c>
    </row>
    <row r="2" spans="1:10">
      <c r="A2" s="4">
        <f>ROW()-1</f>
        <v>1</v>
      </c>
      <c r="B2" s="4" t="s">
        <v>330</v>
      </c>
      <c r="C2" s="4" t="s">
        <v>331</v>
      </c>
      <c r="D2" s="4" t="s">
        <v>332</v>
      </c>
      <c r="E2" s="4" t="s">
        <v>333</v>
      </c>
      <c r="F2" s="4"/>
      <c r="G2" s="4"/>
      <c r="H2" s="4"/>
      <c r="I2" s="4"/>
      <c r="J2" s="4" t="s">
        <v>334</v>
      </c>
    </row>
    <row r="3" spans="1:10">
      <c r="A3" s="4">
        <f t="shared" ref="A3:A26" si="0">ROW()-1</f>
        <v>2</v>
      </c>
      <c r="B3" s="4" t="s">
        <v>335</v>
      </c>
      <c r="C3" s="4" t="s">
        <v>331</v>
      </c>
      <c r="D3" s="4" t="s">
        <v>332</v>
      </c>
      <c r="E3" s="4" t="s">
        <v>333</v>
      </c>
      <c r="F3" s="4" t="s">
        <v>2620</v>
      </c>
      <c r="G3" s="4" t="s">
        <v>336</v>
      </c>
      <c r="H3" s="4"/>
      <c r="I3" s="4" t="s">
        <v>337</v>
      </c>
      <c r="J3" s="4">
        <f>COUNTIFS(인력운영_세부내역!$J$2:$J$1500,인력운영_현황!$B3,인력운영_세부내역!$G$2:$G$1500,"&lt;&gt;완료",인력운영_세부내역!$G$2:$G$1500,"&lt;&gt;NA")</f>
        <v>9</v>
      </c>
    </row>
    <row r="4" spans="1:10">
      <c r="A4" s="4">
        <f t="shared" si="0"/>
        <v>3</v>
      </c>
      <c r="B4" s="4" t="s">
        <v>126</v>
      </c>
      <c r="C4" s="4" t="s">
        <v>331</v>
      </c>
      <c r="D4" s="4" t="s">
        <v>332</v>
      </c>
      <c r="E4" s="4" t="s">
        <v>333</v>
      </c>
      <c r="F4" s="4" t="s">
        <v>2621</v>
      </c>
      <c r="G4" s="4" t="s">
        <v>338</v>
      </c>
      <c r="H4" s="4" t="s">
        <v>339</v>
      </c>
      <c r="I4" s="4" t="s">
        <v>340</v>
      </c>
      <c r="J4" s="4">
        <f>COUNTIFS(인력운영_세부내역!$J$2:$J$1500,인력운영_현황!$B4,인력운영_세부내역!$G$2:$G$1500,"&lt;&gt;완료",인력운영_세부내역!$G$2:$G$1500,"&lt;&gt;NA")</f>
        <v>42</v>
      </c>
    </row>
    <row r="5" spans="1:10">
      <c r="A5" s="4">
        <f t="shared" si="0"/>
        <v>4</v>
      </c>
      <c r="B5" s="4" t="s">
        <v>341</v>
      </c>
      <c r="C5" s="4" t="s">
        <v>331</v>
      </c>
      <c r="D5" s="4" t="s">
        <v>332</v>
      </c>
      <c r="E5" s="4" t="s">
        <v>333</v>
      </c>
      <c r="F5" s="4" t="s">
        <v>2622</v>
      </c>
      <c r="G5" s="4" t="s">
        <v>342</v>
      </c>
      <c r="H5" s="4"/>
      <c r="I5" s="4" t="s">
        <v>343</v>
      </c>
      <c r="J5" s="4">
        <f>COUNTIFS(인력운영_세부내역!$J$2:$J$1500,인력운영_현황!$B5,인력운영_세부내역!$G$2:$G$1500,"&lt;&gt;완료",인력운영_세부내역!$G$2:$G$1500,"&lt;&gt;NA")</f>
        <v>46</v>
      </c>
    </row>
    <row r="6" spans="1:10">
      <c r="A6" s="4">
        <f t="shared" si="0"/>
        <v>5</v>
      </c>
      <c r="B6" s="4" t="s">
        <v>114</v>
      </c>
      <c r="C6" s="4" t="s">
        <v>331</v>
      </c>
      <c r="D6" s="4" t="s">
        <v>332</v>
      </c>
      <c r="E6" s="4" t="s">
        <v>333</v>
      </c>
      <c r="F6" s="4" t="s">
        <v>2620</v>
      </c>
      <c r="G6" s="4" t="s">
        <v>2626</v>
      </c>
      <c r="H6" s="4" t="s">
        <v>112</v>
      </c>
      <c r="I6" s="4" t="s">
        <v>344</v>
      </c>
      <c r="J6" s="4">
        <f>COUNTIFS(인력운영_세부내역!$J$2:$J$1500,인력운영_현황!$B6,인력운영_세부내역!$G$2:$G$1500,"&lt;&gt;완료",인력운영_세부내역!$G$2:$G$1500,"&lt;&gt;NA")</f>
        <v>43</v>
      </c>
    </row>
    <row r="7" spans="1:10">
      <c r="A7" s="4">
        <f t="shared" si="0"/>
        <v>6</v>
      </c>
      <c r="B7" s="4" t="s">
        <v>140</v>
      </c>
      <c r="C7" s="4" t="s">
        <v>331</v>
      </c>
      <c r="D7" s="4" t="s">
        <v>332</v>
      </c>
      <c r="E7" s="4" t="s">
        <v>333</v>
      </c>
      <c r="F7" s="4" t="s">
        <v>2623</v>
      </c>
      <c r="G7" s="4" t="s">
        <v>345</v>
      </c>
      <c r="H7" s="4" t="s">
        <v>137</v>
      </c>
      <c r="I7" s="4" t="s">
        <v>346</v>
      </c>
      <c r="J7" s="4">
        <f>COUNTIFS(인력운영_세부내역!$J$2:$J$1500,인력운영_현황!$B7,인력운영_세부내역!$G$2:$G$1500,"&lt;&gt;완료",인력운영_세부내역!$G$2:$G$1500,"&lt;&gt;NA")</f>
        <v>11</v>
      </c>
    </row>
    <row r="8" spans="1:10">
      <c r="A8" s="4">
        <f t="shared" si="0"/>
        <v>7</v>
      </c>
      <c r="B8" s="4" t="s">
        <v>347</v>
      </c>
      <c r="C8" s="4" t="s">
        <v>331</v>
      </c>
      <c r="D8" s="4" t="s">
        <v>332</v>
      </c>
      <c r="E8" s="4" t="s">
        <v>348</v>
      </c>
      <c r="F8" s="4" t="s">
        <v>2623</v>
      </c>
      <c r="G8" s="4" t="s">
        <v>345</v>
      </c>
      <c r="H8" s="4"/>
      <c r="I8" s="4" t="s">
        <v>349</v>
      </c>
      <c r="J8" s="4">
        <f>COUNTIFS(인력운영_세부내역!$J$2:$J$1500,인력운영_현황!$B8,인력운영_세부내역!$G$2:$G$1500,"&lt;&gt;완료",인력운영_세부내역!$G$2:$G$1500,"&lt;&gt;NA")</f>
        <v>16</v>
      </c>
    </row>
    <row r="9" spans="1:10">
      <c r="A9" s="4">
        <f t="shared" si="0"/>
        <v>8</v>
      </c>
      <c r="B9" s="4" t="s">
        <v>144</v>
      </c>
      <c r="C9" s="4" t="s">
        <v>331</v>
      </c>
      <c r="D9" s="4" t="s">
        <v>332</v>
      </c>
      <c r="E9" s="4" t="s">
        <v>348</v>
      </c>
      <c r="F9" s="4" t="s">
        <v>2624</v>
      </c>
      <c r="G9" s="4" t="s">
        <v>2626</v>
      </c>
      <c r="H9" s="4" t="s">
        <v>350</v>
      </c>
      <c r="I9" s="4" t="s">
        <v>351</v>
      </c>
      <c r="J9" s="4">
        <f>COUNTIFS(인력운영_세부내역!$J$2:$J$1500,인력운영_현황!$B9,인력운영_세부내역!$G$2:$G$1500,"&lt;&gt;완료",인력운영_세부내역!$G$2:$G$1500,"&lt;&gt;NA")</f>
        <v>39</v>
      </c>
    </row>
    <row r="10" spans="1:10">
      <c r="A10" s="4">
        <f t="shared" si="0"/>
        <v>9</v>
      </c>
      <c r="B10" s="4" t="s">
        <v>122</v>
      </c>
      <c r="C10" s="4" t="s">
        <v>331</v>
      </c>
      <c r="D10" s="4" t="s">
        <v>332</v>
      </c>
      <c r="E10" s="4" t="s">
        <v>348</v>
      </c>
      <c r="F10" s="4" t="s">
        <v>2621</v>
      </c>
      <c r="G10" s="4" t="s">
        <v>338</v>
      </c>
      <c r="H10" s="4" t="s">
        <v>119</v>
      </c>
      <c r="I10" s="4" t="s">
        <v>352</v>
      </c>
      <c r="J10" s="4">
        <f>COUNTIFS(인력운영_세부내역!$J$2:$J$1500,인력운영_현황!$B10,인력운영_세부내역!$G$2:$G$1500,"&lt;&gt;완료",인력운영_세부내역!$G$2:$G$1500,"&lt;&gt;NA")</f>
        <v>21</v>
      </c>
    </row>
    <row r="11" spans="1:10">
      <c r="A11" s="4">
        <f t="shared" si="0"/>
        <v>10</v>
      </c>
      <c r="B11" s="4" t="s">
        <v>136</v>
      </c>
      <c r="C11" s="4" t="s">
        <v>331</v>
      </c>
      <c r="D11" s="4" t="s">
        <v>332</v>
      </c>
      <c r="E11" s="4" t="s">
        <v>348</v>
      </c>
      <c r="F11" s="4" t="s">
        <v>2621</v>
      </c>
      <c r="G11" s="4" t="s">
        <v>338</v>
      </c>
      <c r="H11" s="4" t="s">
        <v>134</v>
      </c>
      <c r="I11" s="4" t="s">
        <v>134</v>
      </c>
      <c r="J11" s="4">
        <f>COUNTIFS(인력운영_세부내역!$J$2:$J$1500,인력운영_현황!$B11,인력운영_세부내역!$G$2:$G$1500,"&lt;&gt;완료",인력운영_세부내역!$G$2:$G$1500,"&lt;&gt;NA")</f>
        <v>17</v>
      </c>
    </row>
    <row r="12" spans="1:10">
      <c r="A12" s="4">
        <f t="shared" si="0"/>
        <v>11</v>
      </c>
      <c r="B12" s="4" t="s">
        <v>353</v>
      </c>
      <c r="C12" s="4" t="s">
        <v>331</v>
      </c>
      <c r="D12" s="4" t="s">
        <v>332</v>
      </c>
      <c r="E12" s="4" t="s">
        <v>354</v>
      </c>
      <c r="F12" s="4" t="s">
        <v>2620</v>
      </c>
      <c r="G12" s="4" t="s">
        <v>336</v>
      </c>
      <c r="H12" s="4"/>
      <c r="I12" s="4" t="s">
        <v>355</v>
      </c>
      <c r="J12" s="4">
        <f>COUNTIFS(인력운영_세부내역!$J$2:$J$1500,인력운영_현황!$B12,인력운영_세부내역!$G$2:$G$1500,"&lt;&gt;완료",인력운영_세부내역!$G$2:$G$1500,"&lt;&gt;NA")</f>
        <v>53</v>
      </c>
    </row>
    <row r="13" spans="1:10">
      <c r="A13" s="4">
        <f t="shared" si="0"/>
        <v>12</v>
      </c>
      <c r="B13" s="4" t="s">
        <v>356</v>
      </c>
      <c r="C13" s="4" t="s">
        <v>331</v>
      </c>
      <c r="D13" s="4" t="s">
        <v>332</v>
      </c>
      <c r="E13" s="4" t="s">
        <v>357</v>
      </c>
      <c r="F13" s="4" t="s">
        <v>2625</v>
      </c>
      <c r="G13" s="4" t="s">
        <v>2627</v>
      </c>
      <c r="H13" s="4"/>
      <c r="I13" s="4" t="s">
        <v>358</v>
      </c>
      <c r="J13" s="4">
        <f>COUNTIFS(인력운영_세부내역!$J$2:$J$1500,인력운영_현황!$B13,인력운영_세부내역!$G$2:$G$1500,"&lt;&gt;완료",인력운영_세부내역!$G$2:$G$1500,"&lt;&gt;NA")</f>
        <v>20</v>
      </c>
    </row>
    <row r="14" spans="1:10">
      <c r="A14" s="4">
        <f t="shared" si="0"/>
        <v>13</v>
      </c>
      <c r="B14" s="4" t="s">
        <v>359</v>
      </c>
      <c r="C14" s="4" t="s">
        <v>331</v>
      </c>
      <c r="D14" s="4" t="s">
        <v>332</v>
      </c>
      <c r="E14" s="4" t="s">
        <v>357</v>
      </c>
      <c r="F14" s="4" t="s">
        <v>2621</v>
      </c>
      <c r="G14" s="4" t="s">
        <v>338</v>
      </c>
      <c r="H14" s="4"/>
      <c r="I14" s="4" t="s">
        <v>360</v>
      </c>
      <c r="J14" s="4">
        <f>COUNTIFS(인력운영_세부내역!$J$2:$J$1500,인력운영_현황!$B14,인력운영_세부내역!$G$2:$G$1500,"&lt;&gt;완료",인력운영_세부내역!$G$2:$G$1500,"&lt;&gt;NA")</f>
        <v>24</v>
      </c>
    </row>
    <row r="15" spans="1:10">
      <c r="A15" s="4">
        <f t="shared" si="0"/>
        <v>14</v>
      </c>
      <c r="B15" s="4" t="s">
        <v>361</v>
      </c>
      <c r="C15" s="4" t="s">
        <v>331</v>
      </c>
      <c r="D15" s="4" t="s">
        <v>332</v>
      </c>
      <c r="E15" s="4" t="s">
        <v>357</v>
      </c>
      <c r="F15" s="4" t="s">
        <v>2620</v>
      </c>
      <c r="G15" s="4" t="s">
        <v>336</v>
      </c>
      <c r="H15" s="4"/>
      <c r="I15" s="4" t="s">
        <v>141</v>
      </c>
      <c r="J15" s="4">
        <f>COUNTIFS(인력운영_세부내역!$J$2:$J$1500,인력운영_현황!$B15,인력운영_세부내역!$G$2:$G$1500,"&lt;&gt;완료",인력운영_세부내역!$G$2:$G$1500,"&lt;&gt;NA")</f>
        <v>1</v>
      </c>
    </row>
    <row r="16" spans="1:10">
      <c r="A16" s="4">
        <f t="shared" si="0"/>
        <v>15</v>
      </c>
      <c r="B16" s="4" t="s">
        <v>133</v>
      </c>
      <c r="C16" s="4" t="s">
        <v>130</v>
      </c>
      <c r="D16" s="4" t="s">
        <v>362</v>
      </c>
      <c r="E16" s="4" t="s">
        <v>333</v>
      </c>
      <c r="F16" s="4" t="s">
        <v>2623</v>
      </c>
      <c r="G16" s="4"/>
      <c r="H16" s="4" t="s">
        <v>130</v>
      </c>
      <c r="I16" s="4"/>
      <c r="J16" s="4" t="s">
        <v>334</v>
      </c>
    </row>
    <row r="17" spans="1:10">
      <c r="A17" s="4">
        <f t="shared" si="0"/>
        <v>16</v>
      </c>
      <c r="B17" s="4" t="s">
        <v>363</v>
      </c>
      <c r="C17" s="4" t="s">
        <v>130</v>
      </c>
      <c r="D17" s="4" t="s">
        <v>364</v>
      </c>
      <c r="E17" s="4" t="s">
        <v>348</v>
      </c>
      <c r="F17" s="4" t="s">
        <v>2621</v>
      </c>
      <c r="G17" s="4" t="s">
        <v>338</v>
      </c>
      <c r="H17" s="4"/>
      <c r="I17" s="4" t="s">
        <v>365</v>
      </c>
      <c r="J17" s="4">
        <f>COUNTIFS(인력운영_세부내역!$J$2:$J$1500,인력운영_현황!$B17,인력운영_세부내역!$G$2:$G$1500,"&lt;&gt;완료",인력운영_세부내역!$G$2:$G$1500,"&lt;&gt;NA")</f>
        <v>28</v>
      </c>
    </row>
    <row r="18" spans="1:10">
      <c r="A18" s="4">
        <f t="shared" si="0"/>
        <v>17</v>
      </c>
      <c r="B18" s="4" t="s">
        <v>366</v>
      </c>
      <c r="C18" s="4" t="s">
        <v>130</v>
      </c>
      <c r="D18" s="4" t="s">
        <v>362</v>
      </c>
      <c r="E18" s="4" t="s">
        <v>348</v>
      </c>
      <c r="F18" s="4" t="s">
        <v>2623</v>
      </c>
      <c r="G18" s="4" t="s">
        <v>345</v>
      </c>
      <c r="H18" s="4"/>
      <c r="I18" s="4" t="s">
        <v>130</v>
      </c>
      <c r="J18" s="4">
        <f>COUNTIFS(인력운영_세부내역!$J$2:$J$1500,인력운영_현황!$B18,인력운영_세부내역!$G$2:$G$1500,"&lt;&gt;완료",인력운영_세부내역!$G$2:$G$1500,"&lt;&gt;NA")</f>
        <v>8</v>
      </c>
    </row>
    <row r="19" spans="1:10">
      <c r="A19" s="4">
        <f t="shared" si="0"/>
        <v>18</v>
      </c>
      <c r="B19" s="4" t="s">
        <v>367</v>
      </c>
      <c r="C19" s="4" t="s">
        <v>130</v>
      </c>
      <c r="D19" s="4" t="s">
        <v>362</v>
      </c>
      <c r="E19" s="4" t="s">
        <v>368</v>
      </c>
      <c r="F19" s="4" t="s">
        <v>2620</v>
      </c>
      <c r="G19" s="4" t="s">
        <v>336</v>
      </c>
      <c r="H19" s="4"/>
      <c r="I19" s="4" t="s">
        <v>130</v>
      </c>
      <c r="J19" s="4">
        <f>COUNTIFS(인력운영_세부내역!$J$2:$J$1500,인력운영_현황!$B19,인력운영_세부내역!$G$2:$G$1500,"&lt;&gt;완료",인력운영_세부내역!$G$2:$G$1500,"&lt;&gt;NA")</f>
        <v>37</v>
      </c>
    </row>
    <row r="20" spans="1:10">
      <c r="A20" s="4">
        <f t="shared" si="0"/>
        <v>19</v>
      </c>
      <c r="B20" s="4" t="s">
        <v>369</v>
      </c>
      <c r="C20" s="4" t="s">
        <v>134</v>
      </c>
      <c r="D20" s="4" t="s">
        <v>362</v>
      </c>
      <c r="E20" s="4" t="s">
        <v>370</v>
      </c>
      <c r="F20" s="4" t="s">
        <v>2620</v>
      </c>
      <c r="G20" s="4" t="s">
        <v>336</v>
      </c>
      <c r="H20" s="4"/>
      <c r="I20" s="4" t="s">
        <v>134</v>
      </c>
      <c r="J20" s="4">
        <f>COUNTIFS(인력운영_세부내역!$J$2:$J$1500,인력운영_현황!$B20,인력운영_세부내역!$G$2:$G$1500,"&lt;&gt;완료",인력운영_세부내역!$G$2:$G$1500,"&lt;&gt;NA")</f>
        <v>13</v>
      </c>
    </row>
    <row r="21" spans="1:10">
      <c r="A21" s="4">
        <f t="shared" si="0"/>
        <v>20</v>
      </c>
      <c r="B21" s="4" t="s">
        <v>371</v>
      </c>
      <c r="C21" s="4" t="s">
        <v>134</v>
      </c>
      <c r="D21" s="4" t="s">
        <v>362</v>
      </c>
      <c r="E21" s="4" t="s">
        <v>354</v>
      </c>
      <c r="F21" s="4" t="s">
        <v>2621</v>
      </c>
      <c r="G21" s="4" t="s">
        <v>2629</v>
      </c>
      <c r="H21" s="4"/>
      <c r="I21" s="4"/>
      <c r="J21" s="4" t="s">
        <v>334</v>
      </c>
    </row>
    <row r="22" spans="1:10">
      <c r="A22" s="4">
        <f t="shared" si="0"/>
        <v>21</v>
      </c>
      <c r="B22" s="4" t="s">
        <v>372</v>
      </c>
      <c r="C22" s="4" t="s">
        <v>134</v>
      </c>
      <c r="D22" s="4" t="s">
        <v>364</v>
      </c>
      <c r="E22" s="4" t="s">
        <v>373</v>
      </c>
      <c r="F22" s="4" t="s">
        <v>2620</v>
      </c>
      <c r="G22" s="4" t="s">
        <v>336</v>
      </c>
      <c r="H22" s="4"/>
      <c r="I22" s="4" t="s">
        <v>134</v>
      </c>
      <c r="J22" s="4">
        <f>COUNTIFS(인력운영_세부내역!$J$2:$J$1500,인력운영_현황!$B22,인력운영_세부내역!$G$2:$G$1500,"&lt;&gt;완료",인력운영_세부내역!$G$2:$G$1500,"&lt;&gt;NA")</f>
        <v>12</v>
      </c>
    </row>
    <row r="23" spans="1:10">
      <c r="A23" s="4">
        <f t="shared" si="0"/>
        <v>22</v>
      </c>
      <c r="B23" s="4" t="s">
        <v>374</v>
      </c>
      <c r="C23" s="4" t="s">
        <v>119</v>
      </c>
      <c r="D23" s="4" t="s">
        <v>362</v>
      </c>
      <c r="E23" s="4" t="s">
        <v>368</v>
      </c>
      <c r="F23" s="4" t="s">
        <v>2623</v>
      </c>
      <c r="G23" s="4" t="s">
        <v>345</v>
      </c>
      <c r="H23" s="4"/>
      <c r="I23" s="4" t="s">
        <v>327</v>
      </c>
      <c r="J23" s="4">
        <f>COUNTIFS(인력운영_세부내역!$J$2:$J$1500,인력운영_현황!$B23,인력운영_세부내역!$G$2:$G$1500,"&lt;&gt;완료",인력운영_세부내역!$G$2:$G$1500,"&lt;&gt;NA")</f>
        <v>1</v>
      </c>
    </row>
    <row r="24" spans="1:10">
      <c r="A24" s="4">
        <f t="shared" si="0"/>
        <v>23</v>
      </c>
      <c r="B24" s="4" t="s">
        <v>375</v>
      </c>
      <c r="C24" s="4" t="s">
        <v>130</v>
      </c>
      <c r="D24" s="4" t="s">
        <v>364</v>
      </c>
      <c r="E24" s="4" t="s">
        <v>376</v>
      </c>
      <c r="F24" s="4"/>
      <c r="G24" s="4" t="s">
        <v>377</v>
      </c>
      <c r="H24" s="4"/>
      <c r="I24" s="4"/>
      <c r="J24" s="4" t="s">
        <v>334</v>
      </c>
    </row>
    <row r="25" spans="1:10">
      <c r="A25" s="4">
        <f t="shared" si="0"/>
        <v>24</v>
      </c>
      <c r="B25" s="4" t="s">
        <v>378</v>
      </c>
      <c r="C25" s="4" t="s">
        <v>130</v>
      </c>
      <c r="D25" s="4" t="s">
        <v>364</v>
      </c>
      <c r="E25" s="4" t="s">
        <v>379</v>
      </c>
      <c r="F25" s="4"/>
      <c r="G25" s="4" t="s">
        <v>377</v>
      </c>
      <c r="H25" s="4"/>
      <c r="I25" s="4"/>
      <c r="J25" s="4" t="s">
        <v>334</v>
      </c>
    </row>
    <row r="26" spans="1:10">
      <c r="A26" s="4">
        <f t="shared" si="0"/>
        <v>25</v>
      </c>
      <c r="B26" s="4" t="s">
        <v>380</v>
      </c>
      <c r="C26" s="4" t="s">
        <v>134</v>
      </c>
      <c r="D26" s="4" t="s">
        <v>364</v>
      </c>
      <c r="E26" s="4" t="s">
        <v>379</v>
      </c>
      <c r="F26" s="4"/>
      <c r="G26" s="4" t="s">
        <v>377</v>
      </c>
      <c r="H26" s="4"/>
      <c r="I26" s="4"/>
      <c r="J26" s="4" t="s">
        <v>334</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38"/>
  <sheetViews>
    <sheetView zoomScale="70" zoomScaleNormal="70" workbookViewId="0">
      <pane ySplit="1" topLeftCell="A532" activePane="bottomLeft" state="frozen"/>
      <selection pane="bottomLeft" activeCell="G556" sqref="G556"/>
    </sheetView>
  </sheetViews>
  <sheetFormatPr defaultRowHeight="16.5"/>
  <cols>
    <col min="1" max="1" width="4.75" customWidth="1"/>
    <col min="2" max="2" width="8.25" customWidth="1"/>
    <col min="4" max="4" width="14.625" customWidth="1"/>
    <col min="5" max="5" width="53.75" customWidth="1"/>
    <col min="6" max="6" width="55.75" customWidth="1"/>
    <col min="7" max="7" width="19.375" customWidth="1"/>
    <col min="8" max="8" width="19.125" customWidth="1"/>
    <col min="9" max="9" width="69.75" customWidth="1"/>
    <col min="10" max="11" width="20.625" customWidth="1"/>
  </cols>
  <sheetData>
    <row r="1" spans="1:11" ht="26.1" customHeight="1">
      <c r="A1" s="3" t="s">
        <v>51</v>
      </c>
      <c r="B1" s="3" t="s">
        <v>26</v>
      </c>
      <c r="C1" s="3" t="s">
        <v>58</v>
      </c>
      <c r="D1" s="3" t="s">
        <v>91</v>
      </c>
      <c r="E1" s="3" t="s">
        <v>92</v>
      </c>
      <c r="F1" s="3" t="s">
        <v>93</v>
      </c>
      <c r="G1" s="3" t="s">
        <v>94</v>
      </c>
      <c r="H1" s="3" t="s">
        <v>95</v>
      </c>
      <c r="I1" s="3" t="s">
        <v>36</v>
      </c>
      <c r="J1" s="3" t="s">
        <v>96</v>
      </c>
      <c r="K1" s="3" t="s">
        <v>97</v>
      </c>
    </row>
    <row r="2" spans="1:11">
      <c r="A2" s="8">
        <f>ROW()-2</f>
        <v>0</v>
      </c>
      <c r="B2" s="8" t="s">
        <v>381</v>
      </c>
      <c r="C2" s="8" t="s">
        <v>382</v>
      </c>
      <c r="D2" s="16" t="s">
        <v>383</v>
      </c>
      <c r="E2" s="53" t="s">
        <v>384</v>
      </c>
      <c r="F2" s="8" t="s">
        <v>385</v>
      </c>
      <c r="G2" s="54">
        <v>46172</v>
      </c>
      <c r="H2" s="55">
        <v>0.86</v>
      </c>
      <c r="I2" s="8"/>
      <c r="J2" s="16" t="s">
        <v>386</v>
      </c>
      <c r="K2" s="16" t="s">
        <v>387</v>
      </c>
    </row>
    <row r="3" spans="1:11">
      <c r="A3" s="8">
        <f t="shared" ref="A3:A72" si="0">ROW()-2</f>
        <v>1</v>
      </c>
      <c r="B3" s="8" t="s">
        <v>381</v>
      </c>
      <c r="C3" s="8" t="s">
        <v>382</v>
      </c>
      <c r="D3" s="16" t="s">
        <v>388</v>
      </c>
      <c r="E3" s="56" t="s">
        <v>389</v>
      </c>
      <c r="F3" s="8" t="s">
        <v>390</v>
      </c>
      <c r="G3" s="54">
        <v>46203</v>
      </c>
      <c r="H3" s="55">
        <v>0.73</v>
      </c>
      <c r="I3" s="8"/>
      <c r="J3" s="16" t="s">
        <v>386</v>
      </c>
      <c r="K3" s="16" t="s">
        <v>387</v>
      </c>
    </row>
    <row r="4" spans="1:11">
      <c r="A4" s="57">
        <f t="shared" si="0"/>
        <v>2</v>
      </c>
      <c r="B4" s="57" t="s">
        <v>381</v>
      </c>
      <c r="C4" s="57" t="s">
        <v>382</v>
      </c>
      <c r="D4" s="58" t="s">
        <v>391</v>
      </c>
      <c r="E4" s="59" t="s">
        <v>392</v>
      </c>
      <c r="F4" s="57" t="s">
        <v>393</v>
      </c>
      <c r="G4" s="60" t="s">
        <v>394</v>
      </c>
      <c r="H4" s="61">
        <v>1</v>
      </c>
      <c r="I4" s="57"/>
      <c r="J4" s="58" t="s">
        <v>386</v>
      </c>
      <c r="K4" s="58" t="s">
        <v>387</v>
      </c>
    </row>
    <row r="5" spans="1:11">
      <c r="A5" s="62">
        <f t="shared" si="0"/>
        <v>3</v>
      </c>
      <c r="B5" s="62" t="s">
        <v>381</v>
      </c>
      <c r="C5" s="62" t="s">
        <v>382</v>
      </c>
      <c r="D5" s="63" t="s">
        <v>395</v>
      </c>
      <c r="E5" s="64" t="s">
        <v>396</v>
      </c>
      <c r="F5" s="62" t="s">
        <v>397</v>
      </c>
      <c r="G5" s="65" t="s">
        <v>394</v>
      </c>
      <c r="H5" s="66">
        <v>1</v>
      </c>
      <c r="I5" s="62" t="s">
        <v>3522</v>
      </c>
      <c r="J5" s="63" t="s">
        <v>387</v>
      </c>
      <c r="K5" s="63" t="s">
        <v>398</v>
      </c>
    </row>
    <row r="6" spans="1:11" ht="21">
      <c r="A6" s="8">
        <f t="shared" si="0"/>
        <v>4</v>
      </c>
      <c r="B6" s="8" t="s">
        <v>381</v>
      </c>
      <c r="C6" s="8" t="s">
        <v>382</v>
      </c>
      <c r="D6" s="16" t="s">
        <v>399</v>
      </c>
      <c r="E6" s="56" t="s">
        <v>400</v>
      </c>
      <c r="F6" s="8" t="s">
        <v>401</v>
      </c>
      <c r="G6" s="54">
        <v>46203</v>
      </c>
      <c r="H6" s="67" ph="1">
        <v>0.95</v>
      </c>
      <c r="I6" s="8"/>
      <c r="J6" s="16" t="s">
        <v>386</v>
      </c>
      <c r="K6" s="16" t="s">
        <v>387</v>
      </c>
    </row>
    <row r="7" spans="1:11">
      <c r="A7" s="57">
        <f t="shared" si="0"/>
        <v>5</v>
      </c>
      <c r="B7" s="57" t="s">
        <v>381</v>
      </c>
      <c r="C7" s="57" t="s">
        <v>382</v>
      </c>
      <c r="D7" s="58" t="s">
        <v>402</v>
      </c>
      <c r="E7" s="59" t="s">
        <v>403</v>
      </c>
      <c r="F7" s="57"/>
      <c r="G7" s="68" t="s">
        <v>394</v>
      </c>
      <c r="H7" s="61">
        <v>1</v>
      </c>
      <c r="I7" s="57" t="s">
        <v>3523</v>
      </c>
      <c r="J7" s="58" t="s">
        <v>387</v>
      </c>
      <c r="K7" s="58" t="s">
        <v>386</v>
      </c>
    </row>
    <row r="8" spans="1:11">
      <c r="A8" s="57">
        <f t="shared" si="0"/>
        <v>6</v>
      </c>
      <c r="B8" s="57" t="s">
        <v>381</v>
      </c>
      <c r="C8" s="57" t="s">
        <v>382</v>
      </c>
      <c r="D8" s="58" t="s">
        <v>404</v>
      </c>
      <c r="E8" s="59" t="s">
        <v>405</v>
      </c>
      <c r="F8" s="57"/>
      <c r="G8" s="60" t="s">
        <v>394</v>
      </c>
      <c r="H8" s="61">
        <v>1</v>
      </c>
      <c r="I8" s="57"/>
      <c r="J8" s="58" t="s">
        <v>387</v>
      </c>
      <c r="K8" s="58" t="s">
        <v>386</v>
      </c>
    </row>
    <row r="9" spans="1:11" ht="24">
      <c r="A9" s="8">
        <f t="shared" si="0"/>
        <v>7</v>
      </c>
      <c r="B9" s="8" t="s">
        <v>381</v>
      </c>
      <c r="C9" s="8" t="s">
        <v>382</v>
      </c>
      <c r="D9" s="16" t="s">
        <v>406</v>
      </c>
      <c r="E9" s="56" t="s">
        <v>407</v>
      </c>
      <c r="F9" s="8" t="s">
        <v>408</v>
      </c>
      <c r="G9" s="54">
        <v>46142</v>
      </c>
      <c r="H9" s="69">
        <v>1</v>
      </c>
      <c r="I9" s="12" t="s">
        <v>3524</v>
      </c>
      <c r="J9" s="16" t="s">
        <v>387</v>
      </c>
      <c r="K9" s="16" t="s">
        <v>409</v>
      </c>
    </row>
    <row r="10" spans="1:11">
      <c r="A10" s="8">
        <f t="shared" si="0"/>
        <v>8</v>
      </c>
      <c r="B10" s="8" t="s">
        <v>381</v>
      </c>
      <c r="C10" s="8" t="s">
        <v>382</v>
      </c>
      <c r="D10" s="16" t="s">
        <v>410</v>
      </c>
      <c r="E10" s="56" t="s">
        <v>411</v>
      </c>
      <c r="F10" s="8" t="s">
        <v>412</v>
      </c>
      <c r="G10" s="54">
        <v>46295</v>
      </c>
      <c r="H10" s="55">
        <v>0.46</v>
      </c>
      <c r="I10" s="8"/>
      <c r="J10" s="16" t="s">
        <v>386</v>
      </c>
      <c r="K10" s="16" t="s">
        <v>387</v>
      </c>
    </row>
    <row r="11" spans="1:11">
      <c r="A11" s="57">
        <f t="shared" si="0"/>
        <v>9</v>
      </c>
      <c r="B11" s="57" t="s">
        <v>381</v>
      </c>
      <c r="C11" s="57" t="s">
        <v>382</v>
      </c>
      <c r="D11" s="58" t="s">
        <v>413</v>
      </c>
      <c r="E11" s="59" t="s">
        <v>414</v>
      </c>
      <c r="F11" s="57"/>
      <c r="G11" s="60" t="s">
        <v>394</v>
      </c>
      <c r="H11" s="61">
        <v>1</v>
      </c>
      <c r="I11" s="57" t="s">
        <v>415</v>
      </c>
      <c r="J11" s="58" t="s">
        <v>387</v>
      </c>
      <c r="K11" s="58" t="s">
        <v>386</v>
      </c>
    </row>
    <row r="12" spans="1:11">
      <c r="A12" s="57">
        <f t="shared" si="0"/>
        <v>10</v>
      </c>
      <c r="B12" s="57" t="s">
        <v>381</v>
      </c>
      <c r="C12" s="57" t="s">
        <v>382</v>
      </c>
      <c r="D12" s="58" t="s">
        <v>416</v>
      </c>
      <c r="E12" s="59" t="s">
        <v>417</v>
      </c>
      <c r="F12" s="57"/>
      <c r="G12" s="60" t="s">
        <v>394</v>
      </c>
      <c r="H12" s="61">
        <v>1</v>
      </c>
      <c r="I12" s="57" t="s">
        <v>415</v>
      </c>
      <c r="J12" s="58" t="s">
        <v>387</v>
      </c>
      <c r="K12" s="58" t="s">
        <v>386</v>
      </c>
    </row>
    <row r="13" spans="1:11">
      <c r="A13" s="57">
        <f t="shared" si="0"/>
        <v>11</v>
      </c>
      <c r="B13" s="57" t="s">
        <v>381</v>
      </c>
      <c r="C13" s="57" t="s">
        <v>382</v>
      </c>
      <c r="D13" s="58" t="s">
        <v>418</v>
      </c>
      <c r="E13" s="59" t="s">
        <v>419</v>
      </c>
      <c r="F13" s="57"/>
      <c r="G13" s="60" t="s">
        <v>394</v>
      </c>
      <c r="H13" s="61">
        <v>1</v>
      </c>
      <c r="I13" s="57" t="s">
        <v>420</v>
      </c>
      <c r="J13" s="58" t="s">
        <v>387</v>
      </c>
      <c r="K13" s="58" t="s">
        <v>386</v>
      </c>
    </row>
    <row r="14" spans="1:11">
      <c r="A14" s="57">
        <f t="shared" si="0"/>
        <v>12</v>
      </c>
      <c r="B14" s="57" t="s">
        <v>381</v>
      </c>
      <c r="C14" s="57" t="s">
        <v>382</v>
      </c>
      <c r="D14" s="58" t="s">
        <v>421</v>
      </c>
      <c r="E14" s="59" t="s">
        <v>422</v>
      </c>
      <c r="F14" s="57"/>
      <c r="G14" s="60" t="s">
        <v>394</v>
      </c>
      <c r="H14" s="61" t="s">
        <v>423</v>
      </c>
      <c r="I14" s="57" t="s">
        <v>424</v>
      </c>
      <c r="J14" s="58" t="s">
        <v>387</v>
      </c>
      <c r="K14" s="58" t="s">
        <v>386</v>
      </c>
    </row>
    <row r="15" spans="1:11">
      <c r="A15" s="8">
        <f t="shared" si="0"/>
        <v>13</v>
      </c>
      <c r="B15" s="8" t="s">
        <v>381</v>
      </c>
      <c r="C15" s="8" t="s">
        <v>382</v>
      </c>
      <c r="D15" s="16" t="s">
        <v>425</v>
      </c>
      <c r="E15" s="56" t="s">
        <v>426</v>
      </c>
      <c r="F15" s="8" t="s">
        <v>393</v>
      </c>
      <c r="G15" s="54">
        <v>46142</v>
      </c>
      <c r="H15" s="67">
        <v>1</v>
      </c>
      <c r="I15" s="46" t="s">
        <v>3525</v>
      </c>
      <c r="J15" s="16" t="s">
        <v>387</v>
      </c>
      <c r="K15" s="16" t="s">
        <v>409</v>
      </c>
    </row>
    <row r="16" spans="1:11">
      <c r="A16" s="8">
        <f t="shared" si="0"/>
        <v>14</v>
      </c>
      <c r="B16" s="8" t="s">
        <v>381</v>
      </c>
      <c r="C16" s="8" t="s">
        <v>382</v>
      </c>
      <c r="D16" s="16" t="s">
        <v>427</v>
      </c>
      <c r="E16" s="56" t="s">
        <v>428</v>
      </c>
      <c r="F16" s="8" t="s">
        <v>429</v>
      </c>
      <c r="G16" s="54">
        <v>46142</v>
      </c>
      <c r="H16" s="67">
        <v>1</v>
      </c>
      <c r="I16" s="46" t="s">
        <v>430</v>
      </c>
      <c r="J16" s="16" t="s">
        <v>387</v>
      </c>
      <c r="K16" s="16" t="s">
        <v>386</v>
      </c>
    </row>
    <row r="17" spans="1:11" ht="84">
      <c r="A17" s="8">
        <f t="shared" si="0"/>
        <v>15</v>
      </c>
      <c r="B17" s="8" t="s">
        <v>381</v>
      </c>
      <c r="C17" s="8" t="s">
        <v>382</v>
      </c>
      <c r="D17" s="16" t="s">
        <v>431</v>
      </c>
      <c r="E17" s="56" t="s">
        <v>432</v>
      </c>
      <c r="F17" s="12" t="s">
        <v>433</v>
      </c>
      <c r="G17" s="70">
        <v>46204</v>
      </c>
      <c r="H17" s="67">
        <v>0.35</v>
      </c>
      <c r="I17" s="8"/>
      <c r="J17" s="16" t="s">
        <v>387</v>
      </c>
      <c r="K17" s="16" t="s">
        <v>386</v>
      </c>
    </row>
    <row r="18" spans="1:11" ht="24">
      <c r="A18" s="8">
        <f t="shared" si="0"/>
        <v>16</v>
      </c>
      <c r="B18" s="8" t="s">
        <v>381</v>
      </c>
      <c r="C18" s="8" t="s">
        <v>382</v>
      </c>
      <c r="D18" s="16" t="s">
        <v>434</v>
      </c>
      <c r="E18" s="56" t="s">
        <v>435</v>
      </c>
      <c r="F18" s="12" t="s">
        <v>436</v>
      </c>
      <c r="G18" s="70">
        <v>46172</v>
      </c>
      <c r="H18" s="67">
        <v>0.2</v>
      </c>
      <c r="I18" s="8" t="s">
        <v>3526</v>
      </c>
      <c r="J18" s="16" t="s">
        <v>387</v>
      </c>
      <c r="K18" s="16" t="s">
        <v>409</v>
      </c>
    </row>
    <row r="19" spans="1:11" ht="48">
      <c r="A19" s="8">
        <f t="shared" si="0"/>
        <v>17</v>
      </c>
      <c r="B19" s="8" t="s">
        <v>381</v>
      </c>
      <c r="C19" s="8" t="s">
        <v>382</v>
      </c>
      <c r="D19" s="16" t="s">
        <v>437</v>
      </c>
      <c r="E19" s="56" t="s">
        <v>438</v>
      </c>
      <c r="F19" s="12" t="s">
        <v>439</v>
      </c>
      <c r="G19" s="54">
        <v>46203</v>
      </c>
      <c r="H19" s="67">
        <v>0.2</v>
      </c>
      <c r="I19" s="12" t="s">
        <v>440</v>
      </c>
      <c r="J19" s="16" t="s">
        <v>387</v>
      </c>
      <c r="K19" s="16" t="s">
        <v>441</v>
      </c>
    </row>
    <row r="20" spans="1:11" ht="72">
      <c r="A20" s="8">
        <f t="shared" si="0"/>
        <v>18</v>
      </c>
      <c r="B20" s="8" t="s">
        <v>381</v>
      </c>
      <c r="C20" s="8" t="s">
        <v>382</v>
      </c>
      <c r="D20" s="16" t="s">
        <v>442</v>
      </c>
      <c r="E20" s="56" t="s">
        <v>443</v>
      </c>
      <c r="F20" s="12" t="s">
        <v>444</v>
      </c>
      <c r="G20" s="70">
        <v>46172</v>
      </c>
      <c r="H20" s="67">
        <v>0.43</v>
      </c>
      <c r="I20" s="12" t="s">
        <v>445</v>
      </c>
      <c r="J20" s="16" t="s">
        <v>387</v>
      </c>
      <c r="K20" s="16" t="s">
        <v>441</v>
      </c>
    </row>
    <row r="21" spans="1:11" ht="60">
      <c r="A21" s="8">
        <f t="shared" si="0"/>
        <v>19</v>
      </c>
      <c r="B21" s="8" t="s">
        <v>381</v>
      </c>
      <c r="C21" s="8" t="s">
        <v>382</v>
      </c>
      <c r="D21" s="16" t="s">
        <v>446</v>
      </c>
      <c r="E21" s="56" t="s">
        <v>3527</v>
      </c>
      <c r="F21" s="12" t="s">
        <v>448</v>
      </c>
      <c r="G21" s="70">
        <v>46266</v>
      </c>
      <c r="H21" s="67">
        <v>0</v>
      </c>
      <c r="I21" s="8"/>
      <c r="J21" s="16" t="s">
        <v>387</v>
      </c>
      <c r="K21" s="16" t="s">
        <v>386</v>
      </c>
    </row>
    <row r="22" spans="1:11">
      <c r="A22" s="57">
        <f t="shared" si="0"/>
        <v>20</v>
      </c>
      <c r="B22" s="57" t="s">
        <v>381</v>
      </c>
      <c r="C22" s="57" t="s">
        <v>382</v>
      </c>
      <c r="D22" s="58" t="s">
        <v>449</v>
      </c>
      <c r="E22" s="59" t="s">
        <v>450</v>
      </c>
      <c r="F22" s="57"/>
      <c r="G22" s="60" t="s">
        <v>451</v>
      </c>
      <c r="H22" s="61">
        <v>1</v>
      </c>
      <c r="I22" s="57" t="s">
        <v>415</v>
      </c>
      <c r="J22" s="58" t="s">
        <v>387</v>
      </c>
      <c r="K22" s="58" t="s">
        <v>386</v>
      </c>
    </row>
    <row r="23" spans="1:11">
      <c r="A23" s="8">
        <f t="shared" si="0"/>
        <v>21</v>
      </c>
      <c r="B23" s="8" t="s">
        <v>381</v>
      </c>
      <c r="C23" s="8" t="s">
        <v>382</v>
      </c>
      <c r="D23" s="16" t="s">
        <v>3528</v>
      </c>
      <c r="E23" s="71" t="s">
        <v>3529</v>
      </c>
      <c r="F23" s="72" t="s">
        <v>452</v>
      </c>
      <c r="G23" s="54">
        <v>46233</v>
      </c>
      <c r="H23" s="55">
        <v>0.32700000000000001</v>
      </c>
      <c r="I23" s="46" t="s">
        <v>453</v>
      </c>
      <c r="J23" s="16" t="s">
        <v>386</v>
      </c>
      <c r="K23" s="16" t="s">
        <v>454</v>
      </c>
    </row>
    <row r="24" spans="1:11">
      <c r="A24" s="8">
        <f t="shared" si="0"/>
        <v>22</v>
      </c>
      <c r="B24" s="8" t="s">
        <v>381</v>
      </c>
      <c r="C24" s="8" t="s">
        <v>455</v>
      </c>
      <c r="D24" s="16" t="s">
        <v>456</v>
      </c>
      <c r="E24" s="56" t="s">
        <v>457</v>
      </c>
      <c r="F24" s="8" t="s">
        <v>458</v>
      </c>
      <c r="G24" s="54">
        <v>46233</v>
      </c>
      <c r="H24" s="69">
        <v>0.77</v>
      </c>
      <c r="I24" s="46" t="s">
        <v>459</v>
      </c>
      <c r="J24" s="16" t="s">
        <v>386</v>
      </c>
      <c r="K24" s="16" t="s">
        <v>454</v>
      </c>
    </row>
    <row r="25" spans="1:11">
      <c r="A25" s="8">
        <f t="shared" si="0"/>
        <v>23</v>
      </c>
      <c r="B25" s="8" t="s">
        <v>381</v>
      </c>
      <c r="C25" s="8" t="s">
        <v>455</v>
      </c>
      <c r="D25" s="16" t="s">
        <v>460</v>
      </c>
      <c r="E25" s="56" t="s">
        <v>3530</v>
      </c>
      <c r="F25" s="8" t="s">
        <v>461</v>
      </c>
      <c r="G25" s="54">
        <v>46233</v>
      </c>
      <c r="H25" s="73">
        <v>0.26</v>
      </c>
      <c r="I25" s="46" t="s">
        <v>462</v>
      </c>
      <c r="J25" s="16" t="s">
        <v>386</v>
      </c>
      <c r="K25" s="16" t="s">
        <v>454</v>
      </c>
    </row>
    <row r="26" spans="1:11" ht="48">
      <c r="A26" s="8">
        <f t="shared" si="0"/>
        <v>24</v>
      </c>
      <c r="B26" s="8" t="s">
        <v>381</v>
      </c>
      <c r="C26" s="8" t="s">
        <v>463</v>
      </c>
      <c r="D26" s="16" t="s">
        <v>464</v>
      </c>
      <c r="E26" s="56" t="s">
        <v>465</v>
      </c>
      <c r="F26" s="12" t="s">
        <v>466</v>
      </c>
      <c r="G26" s="70">
        <v>46172</v>
      </c>
      <c r="H26" s="74" t="s">
        <v>467</v>
      </c>
      <c r="I26" s="8" t="s">
        <v>468</v>
      </c>
      <c r="J26" s="16" t="s">
        <v>469</v>
      </c>
      <c r="K26" s="16" t="s">
        <v>470</v>
      </c>
    </row>
    <row r="27" spans="1:11" ht="16.5" customHeight="1">
      <c r="A27" s="8">
        <f t="shared" si="0"/>
        <v>25</v>
      </c>
      <c r="B27" s="8" t="s">
        <v>381</v>
      </c>
      <c r="C27" s="8" t="s">
        <v>463</v>
      </c>
      <c r="D27" s="16" t="s">
        <v>471</v>
      </c>
      <c r="E27" s="56" t="s">
        <v>472</v>
      </c>
      <c r="F27" s="12" t="s">
        <v>473</v>
      </c>
      <c r="G27" s="54">
        <v>46172</v>
      </c>
      <c r="H27" s="74" t="s">
        <v>474</v>
      </c>
      <c r="I27" s="8" t="s">
        <v>468</v>
      </c>
      <c r="J27" s="16" t="s">
        <v>469</v>
      </c>
      <c r="K27" s="16" t="s">
        <v>470</v>
      </c>
    </row>
    <row r="28" spans="1:11" ht="24">
      <c r="A28" s="8">
        <f t="shared" si="0"/>
        <v>26</v>
      </c>
      <c r="B28" s="8" t="s">
        <v>381</v>
      </c>
      <c r="C28" s="8" t="s">
        <v>463</v>
      </c>
      <c r="D28" s="16" t="s">
        <v>475</v>
      </c>
      <c r="E28" s="56" t="s">
        <v>476</v>
      </c>
      <c r="F28" s="12" t="s">
        <v>477</v>
      </c>
      <c r="G28" s="54">
        <v>46172</v>
      </c>
      <c r="H28" s="75" t="s">
        <v>474</v>
      </c>
      <c r="I28" s="8" t="s">
        <v>478</v>
      </c>
      <c r="J28" s="16" t="s">
        <v>469</v>
      </c>
      <c r="K28" s="16" t="s">
        <v>470</v>
      </c>
    </row>
    <row r="29" spans="1:11" ht="24">
      <c r="A29" s="8">
        <f t="shared" si="0"/>
        <v>27</v>
      </c>
      <c r="B29" s="8" t="s">
        <v>381</v>
      </c>
      <c r="C29" s="8" t="s">
        <v>463</v>
      </c>
      <c r="D29" s="16" t="s">
        <v>479</v>
      </c>
      <c r="E29" s="56" t="s">
        <v>480</v>
      </c>
      <c r="F29" s="12" t="s">
        <v>481</v>
      </c>
      <c r="G29" s="54">
        <v>46172</v>
      </c>
      <c r="H29" s="75" t="s">
        <v>474</v>
      </c>
      <c r="I29" s="32" t="s">
        <v>478</v>
      </c>
      <c r="J29" s="16" t="s">
        <v>469</v>
      </c>
      <c r="K29" s="16" t="s">
        <v>470</v>
      </c>
    </row>
    <row r="30" spans="1:11" ht="24">
      <c r="A30" s="8">
        <f t="shared" si="0"/>
        <v>28</v>
      </c>
      <c r="B30" s="8" t="s">
        <v>381</v>
      </c>
      <c r="C30" s="8" t="s">
        <v>463</v>
      </c>
      <c r="D30" s="16" t="s">
        <v>482</v>
      </c>
      <c r="E30" s="56" t="s">
        <v>483</v>
      </c>
      <c r="F30" s="12" t="s">
        <v>484</v>
      </c>
      <c r="G30" s="54">
        <v>46172</v>
      </c>
      <c r="H30" s="75" t="s">
        <v>474</v>
      </c>
      <c r="I30" s="8" t="s">
        <v>468</v>
      </c>
      <c r="J30" s="16" t="s">
        <v>469</v>
      </c>
      <c r="K30" s="16" t="s">
        <v>470</v>
      </c>
    </row>
    <row r="31" spans="1:11" ht="16.5" customHeight="1">
      <c r="A31" s="8">
        <f t="shared" si="0"/>
        <v>29</v>
      </c>
      <c r="B31" s="8" t="s">
        <v>381</v>
      </c>
      <c r="C31" s="8" t="s">
        <v>463</v>
      </c>
      <c r="D31" s="16" t="s">
        <v>485</v>
      </c>
      <c r="E31" s="56" t="s">
        <v>486</v>
      </c>
      <c r="F31" s="12" t="s">
        <v>487</v>
      </c>
      <c r="G31" s="54">
        <v>46172</v>
      </c>
      <c r="H31" s="74" t="s">
        <v>3531</v>
      </c>
      <c r="I31" s="76" t="s">
        <v>3532</v>
      </c>
      <c r="J31" s="16" t="s">
        <v>469</v>
      </c>
      <c r="K31" s="16" t="s">
        <v>470</v>
      </c>
    </row>
    <row r="32" spans="1:11">
      <c r="A32" s="46">
        <f t="shared" si="0"/>
        <v>30</v>
      </c>
      <c r="B32" s="46" t="s">
        <v>381</v>
      </c>
      <c r="C32" s="46" t="s">
        <v>463</v>
      </c>
      <c r="D32" s="77" t="s">
        <v>488</v>
      </c>
      <c r="E32" s="47" t="s">
        <v>486</v>
      </c>
      <c r="F32" s="48" t="s">
        <v>489</v>
      </c>
      <c r="G32" s="54">
        <v>46172</v>
      </c>
      <c r="H32" s="78">
        <v>0</v>
      </c>
      <c r="I32" s="46" t="s">
        <v>490</v>
      </c>
      <c r="J32" s="16" t="s">
        <v>469</v>
      </c>
      <c r="K32" s="16" t="s">
        <v>470</v>
      </c>
    </row>
    <row r="33" spans="1:11">
      <c r="A33" s="8">
        <f t="shared" si="0"/>
        <v>31</v>
      </c>
      <c r="B33" s="8" t="s">
        <v>381</v>
      </c>
      <c r="C33" s="8" t="s">
        <v>463</v>
      </c>
      <c r="D33" s="16" t="s">
        <v>491</v>
      </c>
      <c r="E33" s="56" t="s">
        <v>492</v>
      </c>
      <c r="F33" s="12" t="s">
        <v>493</v>
      </c>
      <c r="G33" s="70">
        <v>46386</v>
      </c>
      <c r="H33" s="69">
        <v>0.6</v>
      </c>
      <c r="I33" s="8" t="s">
        <v>494</v>
      </c>
      <c r="J33" s="16" t="s">
        <v>469</v>
      </c>
      <c r="K33" s="16" t="s">
        <v>470</v>
      </c>
    </row>
    <row r="34" spans="1:11">
      <c r="A34" s="8">
        <f t="shared" si="0"/>
        <v>32</v>
      </c>
      <c r="B34" s="8" t="s">
        <v>381</v>
      </c>
      <c r="C34" s="8" t="s">
        <v>463</v>
      </c>
      <c r="D34" s="16" t="s">
        <v>495</v>
      </c>
      <c r="E34" s="56" t="s">
        <v>496</v>
      </c>
      <c r="F34" s="12" t="s">
        <v>497</v>
      </c>
      <c r="G34" s="54">
        <v>46172</v>
      </c>
      <c r="H34" s="69">
        <v>1</v>
      </c>
      <c r="I34" s="79" t="s">
        <v>498</v>
      </c>
      <c r="J34" s="16" t="s">
        <v>469</v>
      </c>
      <c r="K34" s="16" t="s">
        <v>470</v>
      </c>
    </row>
    <row r="35" spans="1:11">
      <c r="A35" s="8">
        <f t="shared" si="0"/>
        <v>33</v>
      </c>
      <c r="B35" s="46" t="s">
        <v>381</v>
      </c>
      <c r="C35" s="46" t="s">
        <v>463</v>
      </c>
      <c r="D35" s="77" t="s">
        <v>499</v>
      </c>
      <c r="E35" s="47" t="s">
        <v>496</v>
      </c>
      <c r="F35" s="48" t="s">
        <v>497</v>
      </c>
      <c r="G35" s="54">
        <v>46361</v>
      </c>
      <c r="H35" s="73">
        <v>0.5</v>
      </c>
      <c r="I35" s="49" t="s">
        <v>500</v>
      </c>
      <c r="J35" s="16" t="s">
        <v>469</v>
      </c>
      <c r="K35" s="16" t="s">
        <v>470</v>
      </c>
    </row>
    <row r="36" spans="1:11" ht="24">
      <c r="A36" s="8">
        <f t="shared" si="0"/>
        <v>34</v>
      </c>
      <c r="B36" s="8" t="s">
        <v>381</v>
      </c>
      <c r="C36" s="8" t="s">
        <v>463</v>
      </c>
      <c r="D36" s="16" t="s">
        <v>501</v>
      </c>
      <c r="E36" s="56" t="s">
        <v>502</v>
      </c>
      <c r="F36" s="8" t="s">
        <v>503</v>
      </c>
      <c r="G36" s="70">
        <v>46203</v>
      </c>
      <c r="H36" s="69">
        <v>1</v>
      </c>
      <c r="I36" s="32" t="s">
        <v>3533</v>
      </c>
      <c r="J36" s="16" t="s">
        <v>469</v>
      </c>
      <c r="K36" s="16" t="s">
        <v>470</v>
      </c>
    </row>
    <row r="37" spans="1:11" ht="24">
      <c r="A37" s="8">
        <f t="shared" si="0"/>
        <v>35</v>
      </c>
      <c r="B37" s="8" t="s">
        <v>381</v>
      </c>
      <c r="C37" s="8" t="s">
        <v>463</v>
      </c>
      <c r="D37" s="16" t="s">
        <v>504</v>
      </c>
      <c r="E37" s="56" t="s">
        <v>505</v>
      </c>
      <c r="F37" s="12" t="s">
        <v>506</v>
      </c>
      <c r="G37" s="54">
        <v>46172</v>
      </c>
      <c r="H37" s="75" t="s">
        <v>474</v>
      </c>
      <c r="I37" s="46" t="s">
        <v>507</v>
      </c>
      <c r="J37" s="16" t="s">
        <v>469</v>
      </c>
      <c r="K37" s="16" t="s">
        <v>470</v>
      </c>
    </row>
    <row r="38" spans="1:11" ht="24">
      <c r="A38" s="8">
        <f t="shared" si="0"/>
        <v>36</v>
      </c>
      <c r="B38" s="8" t="s">
        <v>381</v>
      </c>
      <c r="C38" s="8" t="s">
        <v>463</v>
      </c>
      <c r="D38" s="16" t="s">
        <v>508</v>
      </c>
      <c r="E38" s="56" t="s">
        <v>509</v>
      </c>
      <c r="F38" s="12" t="s">
        <v>510</v>
      </c>
      <c r="G38" s="54">
        <v>46172</v>
      </c>
      <c r="H38" s="73">
        <v>1</v>
      </c>
      <c r="I38" s="46" t="s">
        <v>468</v>
      </c>
      <c r="J38" s="16" t="s">
        <v>469</v>
      </c>
      <c r="K38" s="16" t="s">
        <v>470</v>
      </c>
    </row>
    <row r="39" spans="1:11">
      <c r="A39" s="8">
        <f t="shared" si="0"/>
        <v>37</v>
      </c>
      <c r="B39" s="8" t="s">
        <v>381</v>
      </c>
      <c r="C39" s="8" t="s">
        <v>463</v>
      </c>
      <c r="D39" s="16" t="s">
        <v>511</v>
      </c>
      <c r="E39" s="56" t="s">
        <v>512</v>
      </c>
      <c r="F39" s="12" t="s">
        <v>513</v>
      </c>
      <c r="G39" s="54">
        <v>46203</v>
      </c>
      <c r="H39" s="55">
        <v>0.95</v>
      </c>
      <c r="I39" s="27" t="s">
        <v>514</v>
      </c>
      <c r="J39" s="16" t="s">
        <v>469</v>
      </c>
      <c r="K39" s="16" t="s">
        <v>470</v>
      </c>
    </row>
    <row r="40" spans="1:11">
      <c r="A40" s="8">
        <f t="shared" si="0"/>
        <v>38</v>
      </c>
      <c r="B40" s="8" t="s">
        <v>381</v>
      </c>
      <c r="C40" s="8" t="s">
        <v>463</v>
      </c>
      <c r="D40" s="16" t="s">
        <v>515</v>
      </c>
      <c r="E40" s="56" t="s">
        <v>516</v>
      </c>
      <c r="F40" s="8" t="s">
        <v>517</v>
      </c>
      <c r="G40" s="70">
        <v>46142</v>
      </c>
      <c r="H40" s="69">
        <v>1</v>
      </c>
      <c r="I40" s="8" t="s">
        <v>518</v>
      </c>
      <c r="J40" s="16" t="s">
        <v>469</v>
      </c>
      <c r="K40" s="16" t="s">
        <v>470</v>
      </c>
    </row>
    <row r="41" spans="1:11">
      <c r="A41" s="8">
        <f t="shared" si="0"/>
        <v>39</v>
      </c>
      <c r="B41" s="8" t="s">
        <v>381</v>
      </c>
      <c r="C41" s="8" t="s">
        <v>463</v>
      </c>
      <c r="D41" s="16" t="s">
        <v>519</v>
      </c>
      <c r="E41" s="56" t="s">
        <v>520</v>
      </c>
      <c r="F41" s="12" t="s">
        <v>521</v>
      </c>
      <c r="G41" s="54">
        <v>46172</v>
      </c>
      <c r="H41" s="67">
        <v>0</v>
      </c>
      <c r="I41" s="8"/>
      <c r="J41" s="16" t="s">
        <v>469</v>
      </c>
      <c r="K41" s="16" t="s">
        <v>470</v>
      </c>
    </row>
    <row r="42" spans="1:11">
      <c r="A42" s="8">
        <f t="shared" si="0"/>
        <v>40</v>
      </c>
      <c r="B42" s="8" t="s">
        <v>381</v>
      </c>
      <c r="C42" s="8" t="s">
        <v>463</v>
      </c>
      <c r="D42" s="16" t="s">
        <v>522</v>
      </c>
      <c r="E42" s="56" t="s">
        <v>523</v>
      </c>
      <c r="F42" s="8" t="s">
        <v>524</v>
      </c>
      <c r="G42" s="54">
        <v>46172</v>
      </c>
      <c r="H42" s="69">
        <v>1</v>
      </c>
      <c r="I42" s="8" t="s">
        <v>525</v>
      </c>
      <c r="J42" s="16" t="s">
        <v>469</v>
      </c>
      <c r="K42" s="16" t="s">
        <v>470</v>
      </c>
    </row>
    <row r="43" spans="1:11">
      <c r="A43" s="8">
        <f t="shared" si="0"/>
        <v>41</v>
      </c>
      <c r="B43" s="80" t="s">
        <v>381</v>
      </c>
      <c r="C43" s="80" t="s">
        <v>463</v>
      </c>
      <c r="D43" s="81" t="s">
        <v>526</v>
      </c>
      <c r="E43" s="82" t="s">
        <v>3534</v>
      </c>
      <c r="F43" s="80" t="s">
        <v>517</v>
      </c>
      <c r="G43" s="83">
        <v>46341</v>
      </c>
      <c r="H43" s="84">
        <v>0</v>
      </c>
      <c r="I43" s="80" t="s">
        <v>528</v>
      </c>
      <c r="J43" s="16" t="s">
        <v>469</v>
      </c>
      <c r="K43" s="16" t="s">
        <v>470</v>
      </c>
    </row>
    <row r="44" spans="1:11">
      <c r="A44" s="8">
        <f t="shared" si="0"/>
        <v>42</v>
      </c>
      <c r="B44" s="80" t="s">
        <v>381</v>
      </c>
      <c r="C44" s="80" t="s">
        <v>463</v>
      </c>
      <c r="D44" s="81" t="s">
        <v>529</v>
      </c>
      <c r="E44" s="82" t="s">
        <v>3535</v>
      </c>
      <c r="F44" s="80" t="s">
        <v>530</v>
      </c>
      <c r="G44" s="83">
        <v>46349</v>
      </c>
      <c r="H44" s="84">
        <v>0</v>
      </c>
      <c r="I44" s="80" t="s">
        <v>528</v>
      </c>
      <c r="J44" s="16" t="s">
        <v>469</v>
      </c>
      <c r="K44" s="16" t="s">
        <v>470</v>
      </c>
    </row>
    <row r="45" spans="1:11">
      <c r="A45" s="8">
        <f t="shared" si="0"/>
        <v>43</v>
      </c>
      <c r="B45" s="8" t="s">
        <v>381</v>
      </c>
      <c r="C45" s="8" t="s">
        <v>531</v>
      </c>
      <c r="D45" s="16" t="s">
        <v>532</v>
      </c>
      <c r="E45" s="56" t="s">
        <v>533</v>
      </c>
      <c r="F45" s="8" t="s">
        <v>534</v>
      </c>
      <c r="G45" s="54">
        <v>46172</v>
      </c>
      <c r="H45" s="55">
        <v>0.9</v>
      </c>
      <c r="I45" s="8" t="s">
        <v>535</v>
      </c>
      <c r="J45" s="16" t="s">
        <v>469</v>
      </c>
      <c r="K45" s="16" t="s">
        <v>470</v>
      </c>
    </row>
    <row r="46" spans="1:11">
      <c r="A46" s="8">
        <f t="shared" si="0"/>
        <v>44</v>
      </c>
      <c r="B46" s="8" t="s">
        <v>381</v>
      </c>
      <c r="C46" s="8" t="s">
        <v>531</v>
      </c>
      <c r="D46" s="16" t="s">
        <v>536</v>
      </c>
      <c r="E46" s="56" t="s">
        <v>537</v>
      </c>
      <c r="F46" s="8" t="s">
        <v>534</v>
      </c>
      <c r="G46" s="54">
        <v>46172</v>
      </c>
      <c r="H46" s="73">
        <v>0.9</v>
      </c>
      <c r="I46" s="8" t="s">
        <v>535</v>
      </c>
      <c r="J46" s="16" t="s">
        <v>469</v>
      </c>
      <c r="K46" s="16" t="s">
        <v>470</v>
      </c>
    </row>
    <row r="47" spans="1:11">
      <c r="A47" s="8">
        <f t="shared" si="0"/>
        <v>45</v>
      </c>
      <c r="B47" s="8" t="s">
        <v>381</v>
      </c>
      <c r="C47" s="8" t="s">
        <v>538</v>
      </c>
      <c r="D47" s="16" t="s">
        <v>539</v>
      </c>
      <c r="E47" s="56" t="s">
        <v>540</v>
      </c>
      <c r="F47" s="8" t="s">
        <v>534</v>
      </c>
      <c r="G47" s="54">
        <v>46172</v>
      </c>
      <c r="H47" s="73">
        <v>0.9</v>
      </c>
      <c r="I47" s="8" t="s">
        <v>535</v>
      </c>
      <c r="J47" s="16" t="s">
        <v>469</v>
      </c>
      <c r="K47" s="16" t="s">
        <v>470</v>
      </c>
    </row>
    <row r="48" spans="1:11">
      <c r="A48" s="8">
        <f t="shared" si="0"/>
        <v>46</v>
      </c>
      <c r="B48" s="8" t="s">
        <v>381</v>
      </c>
      <c r="C48" s="8" t="s">
        <v>541</v>
      </c>
      <c r="D48" s="16" t="s">
        <v>542</v>
      </c>
      <c r="E48" s="56" t="s">
        <v>543</v>
      </c>
      <c r="F48" s="8"/>
      <c r="G48" s="73" t="s">
        <v>423</v>
      </c>
      <c r="H48" s="69" t="s">
        <v>423</v>
      </c>
      <c r="I48" s="46" t="s">
        <v>424</v>
      </c>
      <c r="J48" s="16" t="s">
        <v>469</v>
      </c>
      <c r="K48" s="16" t="s">
        <v>470</v>
      </c>
    </row>
    <row r="49" spans="1:11">
      <c r="A49" s="8">
        <f t="shared" si="0"/>
        <v>47</v>
      </c>
      <c r="B49" s="8" t="s">
        <v>381</v>
      </c>
      <c r="C49" s="8" t="s">
        <v>541</v>
      </c>
      <c r="D49" s="16" t="s">
        <v>544</v>
      </c>
      <c r="E49" s="56" t="s">
        <v>545</v>
      </c>
      <c r="F49" s="8"/>
      <c r="G49" s="73" t="s">
        <v>423</v>
      </c>
      <c r="H49" s="69" t="s">
        <v>423</v>
      </c>
      <c r="I49" s="46" t="s">
        <v>424</v>
      </c>
      <c r="J49" s="16" t="s">
        <v>469</v>
      </c>
      <c r="K49" s="16" t="s">
        <v>470</v>
      </c>
    </row>
    <row r="50" spans="1:11">
      <c r="A50" s="8">
        <f t="shared" si="0"/>
        <v>48</v>
      </c>
      <c r="B50" s="8" t="s">
        <v>381</v>
      </c>
      <c r="C50" s="8" t="s">
        <v>546</v>
      </c>
      <c r="D50" s="16" t="s">
        <v>547</v>
      </c>
      <c r="E50" s="56" t="s">
        <v>548</v>
      </c>
      <c r="F50" s="8" t="s">
        <v>549</v>
      </c>
      <c r="G50" s="70">
        <v>46357</v>
      </c>
      <c r="H50" s="67">
        <v>0.96</v>
      </c>
      <c r="I50" s="8"/>
      <c r="J50" s="16" t="s">
        <v>550</v>
      </c>
      <c r="K50" s="16" t="s">
        <v>454</v>
      </c>
    </row>
    <row r="51" spans="1:11">
      <c r="A51" s="8">
        <f t="shared" si="0"/>
        <v>49</v>
      </c>
      <c r="B51" s="8" t="s">
        <v>381</v>
      </c>
      <c r="C51" s="8" t="s">
        <v>546</v>
      </c>
      <c r="D51" s="16" t="s">
        <v>551</v>
      </c>
      <c r="E51" s="56" t="s">
        <v>552</v>
      </c>
      <c r="F51" s="8" t="s">
        <v>553</v>
      </c>
      <c r="G51" s="54">
        <v>46143</v>
      </c>
      <c r="H51" s="67">
        <v>0.99</v>
      </c>
      <c r="I51" s="8" t="s">
        <v>554</v>
      </c>
      <c r="J51" s="16" t="s">
        <v>550</v>
      </c>
      <c r="K51" s="16" t="s">
        <v>454</v>
      </c>
    </row>
    <row r="52" spans="1:11">
      <c r="A52" s="8">
        <f t="shared" si="0"/>
        <v>50</v>
      </c>
      <c r="B52" s="8" t="s">
        <v>381</v>
      </c>
      <c r="C52" s="8" t="s">
        <v>546</v>
      </c>
      <c r="D52" s="16" t="s">
        <v>555</v>
      </c>
      <c r="E52" s="56" t="s">
        <v>556</v>
      </c>
      <c r="F52" s="8" t="s">
        <v>557</v>
      </c>
      <c r="G52" s="70">
        <v>46204</v>
      </c>
      <c r="H52" s="67">
        <v>0.95</v>
      </c>
      <c r="I52" s="8"/>
      <c r="J52" s="16" t="s">
        <v>550</v>
      </c>
      <c r="K52" s="16" t="s">
        <v>454</v>
      </c>
    </row>
    <row r="53" spans="1:11">
      <c r="A53" s="8">
        <f t="shared" si="0"/>
        <v>51</v>
      </c>
      <c r="B53" s="8" t="s">
        <v>381</v>
      </c>
      <c r="C53" s="8" t="s">
        <v>546</v>
      </c>
      <c r="D53" s="16" t="s">
        <v>558</v>
      </c>
      <c r="E53" s="56" t="s">
        <v>559</v>
      </c>
      <c r="F53" s="8" t="s">
        <v>560</v>
      </c>
      <c r="G53" s="54">
        <v>46204</v>
      </c>
      <c r="H53" s="67">
        <v>0.99</v>
      </c>
      <c r="I53" s="8"/>
      <c r="J53" s="16" t="s">
        <v>550</v>
      </c>
      <c r="K53" s="16" t="s">
        <v>454</v>
      </c>
    </row>
    <row r="54" spans="1:11">
      <c r="A54" s="8">
        <f t="shared" si="0"/>
        <v>52</v>
      </c>
      <c r="B54" s="8" t="s">
        <v>381</v>
      </c>
      <c r="C54" s="8" t="s">
        <v>546</v>
      </c>
      <c r="D54" s="16" t="s">
        <v>561</v>
      </c>
      <c r="E54" s="56" t="s">
        <v>562</v>
      </c>
      <c r="F54" s="8" t="s">
        <v>563</v>
      </c>
      <c r="G54" s="54">
        <v>46204</v>
      </c>
      <c r="H54" s="67">
        <v>0.98</v>
      </c>
      <c r="I54" s="8"/>
      <c r="J54" s="16" t="s">
        <v>550</v>
      </c>
      <c r="K54" s="16" t="s">
        <v>454</v>
      </c>
    </row>
    <row r="55" spans="1:11">
      <c r="A55" s="57">
        <f t="shared" si="0"/>
        <v>53</v>
      </c>
      <c r="B55" s="57" t="s">
        <v>381</v>
      </c>
      <c r="C55" s="57" t="s">
        <v>546</v>
      </c>
      <c r="D55" s="58" t="s">
        <v>564</v>
      </c>
      <c r="E55" s="59" t="s">
        <v>565</v>
      </c>
      <c r="F55" s="57" t="s">
        <v>566</v>
      </c>
      <c r="G55" s="68" t="s">
        <v>394</v>
      </c>
      <c r="H55" s="61">
        <v>1</v>
      </c>
      <c r="I55" s="57" t="s">
        <v>567</v>
      </c>
      <c r="J55" s="58" t="s">
        <v>550</v>
      </c>
      <c r="K55" s="58" t="s">
        <v>454</v>
      </c>
    </row>
    <row r="56" spans="1:11">
      <c r="A56" s="57">
        <f t="shared" si="0"/>
        <v>54</v>
      </c>
      <c r="B56" s="57" t="s">
        <v>381</v>
      </c>
      <c r="C56" s="57" t="s">
        <v>546</v>
      </c>
      <c r="D56" s="58" t="s">
        <v>568</v>
      </c>
      <c r="E56" s="59" t="s">
        <v>569</v>
      </c>
      <c r="F56" s="57" t="s">
        <v>570</v>
      </c>
      <c r="G56" s="60" t="s">
        <v>451</v>
      </c>
      <c r="H56" s="61">
        <v>1</v>
      </c>
      <c r="I56" s="57" t="s">
        <v>567</v>
      </c>
      <c r="J56" s="58" t="s">
        <v>550</v>
      </c>
      <c r="K56" s="58" t="s">
        <v>454</v>
      </c>
    </row>
    <row r="57" spans="1:11">
      <c r="A57" s="57">
        <f t="shared" si="0"/>
        <v>55</v>
      </c>
      <c r="B57" s="57" t="s">
        <v>381</v>
      </c>
      <c r="C57" s="57" t="s">
        <v>546</v>
      </c>
      <c r="D57" s="58" t="s">
        <v>571</v>
      </c>
      <c r="E57" s="59" t="s">
        <v>572</v>
      </c>
      <c r="F57" s="57" t="s">
        <v>573</v>
      </c>
      <c r="G57" s="60" t="s">
        <v>451</v>
      </c>
      <c r="H57" s="61">
        <v>1</v>
      </c>
      <c r="I57" s="57" t="s">
        <v>567</v>
      </c>
      <c r="J57" s="58" t="s">
        <v>550</v>
      </c>
      <c r="K57" s="58" t="s">
        <v>454</v>
      </c>
    </row>
    <row r="58" spans="1:11">
      <c r="A58" s="8">
        <f t="shared" si="0"/>
        <v>56</v>
      </c>
      <c r="B58" s="8" t="s">
        <v>381</v>
      </c>
      <c r="C58" s="8" t="s">
        <v>546</v>
      </c>
      <c r="D58" s="16" t="s">
        <v>574</v>
      </c>
      <c r="E58" s="56" t="s">
        <v>575</v>
      </c>
      <c r="F58" s="8" t="s">
        <v>576</v>
      </c>
      <c r="G58" s="54">
        <v>46174</v>
      </c>
      <c r="H58" s="55">
        <v>0.95</v>
      </c>
      <c r="I58" s="8"/>
      <c r="J58" s="16" t="s">
        <v>550</v>
      </c>
      <c r="K58" s="16" t="s">
        <v>454</v>
      </c>
    </row>
    <row r="59" spans="1:11">
      <c r="A59" s="8">
        <f t="shared" si="0"/>
        <v>57</v>
      </c>
      <c r="B59" s="8" t="s">
        <v>381</v>
      </c>
      <c r="C59" s="8" t="s">
        <v>546</v>
      </c>
      <c r="D59" s="16" t="s">
        <v>577</v>
      </c>
      <c r="E59" s="56" t="s">
        <v>578</v>
      </c>
      <c r="F59" s="8" t="s">
        <v>579</v>
      </c>
      <c r="G59" s="54">
        <v>46174</v>
      </c>
      <c r="H59" s="55">
        <v>0.98</v>
      </c>
      <c r="I59" s="8" t="s">
        <v>580</v>
      </c>
      <c r="J59" s="16" t="s">
        <v>550</v>
      </c>
      <c r="K59" s="16" t="s">
        <v>454</v>
      </c>
    </row>
    <row r="60" spans="1:11">
      <c r="A60" s="57">
        <f t="shared" si="0"/>
        <v>58</v>
      </c>
      <c r="B60" s="57" t="s">
        <v>381</v>
      </c>
      <c r="C60" s="57" t="s">
        <v>546</v>
      </c>
      <c r="D60" s="58" t="s">
        <v>581</v>
      </c>
      <c r="E60" s="59" t="s">
        <v>582</v>
      </c>
      <c r="F60" s="57" t="s">
        <v>583</v>
      </c>
      <c r="G60" s="68" t="s">
        <v>394</v>
      </c>
      <c r="H60" s="61">
        <v>1</v>
      </c>
      <c r="I60" s="57" t="s">
        <v>567</v>
      </c>
      <c r="J60" s="58" t="s">
        <v>550</v>
      </c>
      <c r="K60" s="58" t="s">
        <v>454</v>
      </c>
    </row>
    <row r="61" spans="1:11">
      <c r="A61" s="8">
        <f t="shared" si="0"/>
        <v>59</v>
      </c>
      <c r="B61" s="8" t="s">
        <v>381</v>
      </c>
      <c r="C61" s="8" t="s">
        <v>546</v>
      </c>
      <c r="D61" s="16" t="s">
        <v>584</v>
      </c>
      <c r="E61" s="56" t="s">
        <v>585</v>
      </c>
      <c r="F61" s="8" t="s">
        <v>586</v>
      </c>
      <c r="G61" s="70">
        <v>46235</v>
      </c>
      <c r="H61" s="55">
        <v>0.9</v>
      </c>
      <c r="I61" s="8" t="s">
        <v>587</v>
      </c>
      <c r="J61" s="16" t="s">
        <v>550</v>
      </c>
      <c r="K61" s="16" t="s">
        <v>454</v>
      </c>
    </row>
    <row r="62" spans="1:11">
      <c r="A62" s="8">
        <f t="shared" si="0"/>
        <v>60</v>
      </c>
      <c r="B62" s="8" t="s">
        <v>381</v>
      </c>
      <c r="C62" s="8" t="s">
        <v>546</v>
      </c>
      <c r="D62" s="16" t="s">
        <v>588</v>
      </c>
      <c r="E62" s="56" t="s">
        <v>589</v>
      </c>
      <c r="F62" s="8" t="s">
        <v>590</v>
      </c>
      <c r="G62" s="70">
        <v>46174</v>
      </c>
      <c r="H62" s="55">
        <v>1</v>
      </c>
      <c r="I62" s="8" t="s">
        <v>591</v>
      </c>
      <c r="J62" s="16" t="s">
        <v>550</v>
      </c>
      <c r="K62" s="16" t="s">
        <v>454</v>
      </c>
    </row>
    <row r="63" spans="1:11">
      <c r="A63" s="8">
        <f t="shared" si="0"/>
        <v>61</v>
      </c>
      <c r="B63" s="8" t="s">
        <v>381</v>
      </c>
      <c r="C63" s="8" t="s">
        <v>546</v>
      </c>
      <c r="D63" s="16" t="s">
        <v>592</v>
      </c>
      <c r="E63" s="56" t="s">
        <v>593</v>
      </c>
      <c r="F63" s="8" t="s">
        <v>594</v>
      </c>
      <c r="G63" s="70">
        <v>46357</v>
      </c>
      <c r="H63" s="55">
        <v>0.96</v>
      </c>
      <c r="I63" s="8"/>
      <c r="J63" s="16" t="s">
        <v>550</v>
      </c>
      <c r="K63" s="16" t="s">
        <v>454</v>
      </c>
    </row>
    <row r="64" spans="1:11">
      <c r="A64" s="8">
        <f t="shared" si="0"/>
        <v>62</v>
      </c>
      <c r="B64" s="8" t="s">
        <v>381</v>
      </c>
      <c r="C64" s="8" t="s">
        <v>546</v>
      </c>
      <c r="D64" s="16" t="s">
        <v>595</v>
      </c>
      <c r="E64" s="56" t="s">
        <v>596</v>
      </c>
      <c r="F64" s="8" t="s">
        <v>597</v>
      </c>
      <c r="G64" s="70">
        <v>46174</v>
      </c>
      <c r="H64" s="55">
        <v>0.93</v>
      </c>
      <c r="I64" s="46" t="s">
        <v>453</v>
      </c>
      <c r="J64" s="16" t="s">
        <v>550</v>
      </c>
      <c r="K64" s="16" t="s">
        <v>454</v>
      </c>
    </row>
    <row r="65" spans="1:11">
      <c r="A65" s="8">
        <f t="shared" si="0"/>
        <v>63</v>
      </c>
      <c r="B65" s="8" t="s">
        <v>381</v>
      </c>
      <c r="C65" s="8" t="s">
        <v>546</v>
      </c>
      <c r="D65" s="16" t="s">
        <v>598</v>
      </c>
      <c r="E65" s="56" t="s">
        <v>599</v>
      </c>
      <c r="F65" s="8" t="s">
        <v>600</v>
      </c>
      <c r="G65" s="70">
        <v>46296</v>
      </c>
      <c r="H65" s="55">
        <v>0.9</v>
      </c>
      <c r="I65" s="8" t="s">
        <v>580</v>
      </c>
      <c r="J65" s="16" t="s">
        <v>550</v>
      </c>
      <c r="K65" s="16" t="s">
        <v>454</v>
      </c>
    </row>
    <row r="66" spans="1:11">
      <c r="A66" s="8">
        <f t="shared" si="0"/>
        <v>64</v>
      </c>
      <c r="B66" s="8" t="s">
        <v>381</v>
      </c>
      <c r="C66" s="8" t="s">
        <v>546</v>
      </c>
      <c r="D66" s="16" t="s">
        <v>601</v>
      </c>
      <c r="E66" s="56" t="s">
        <v>602</v>
      </c>
      <c r="F66" s="8" t="s">
        <v>603</v>
      </c>
      <c r="G66" s="70">
        <v>46235</v>
      </c>
      <c r="H66" s="55">
        <v>0.9</v>
      </c>
      <c r="I66" s="8" t="s">
        <v>580</v>
      </c>
      <c r="J66" s="16" t="s">
        <v>550</v>
      </c>
      <c r="K66" s="16" t="s">
        <v>454</v>
      </c>
    </row>
    <row r="67" spans="1:11">
      <c r="A67" s="8">
        <f t="shared" si="0"/>
        <v>65</v>
      </c>
      <c r="B67" s="8" t="s">
        <v>381</v>
      </c>
      <c r="C67" s="8" t="s">
        <v>546</v>
      </c>
      <c r="D67" s="16" t="s">
        <v>604</v>
      </c>
      <c r="E67" s="56" t="s">
        <v>605</v>
      </c>
      <c r="F67" s="8" t="s">
        <v>606</v>
      </c>
      <c r="G67" s="70">
        <v>46357</v>
      </c>
      <c r="H67" s="55">
        <v>0.9</v>
      </c>
      <c r="I67" s="8" t="s">
        <v>580</v>
      </c>
      <c r="J67" s="16" t="s">
        <v>550</v>
      </c>
      <c r="K67" s="16" t="s">
        <v>454</v>
      </c>
    </row>
    <row r="68" spans="1:11">
      <c r="A68" s="8">
        <f t="shared" si="0"/>
        <v>66</v>
      </c>
      <c r="B68" s="8" t="s">
        <v>381</v>
      </c>
      <c r="C68" s="8" t="s">
        <v>546</v>
      </c>
      <c r="D68" s="16" t="s">
        <v>607</v>
      </c>
      <c r="E68" s="56" t="s">
        <v>608</v>
      </c>
      <c r="F68" s="8" t="s">
        <v>609</v>
      </c>
      <c r="G68" s="70">
        <v>46357</v>
      </c>
      <c r="H68" s="67">
        <v>0.95</v>
      </c>
      <c r="I68" s="8" t="s">
        <v>591</v>
      </c>
      <c r="J68" s="16" t="s">
        <v>550</v>
      </c>
      <c r="K68" s="16" t="s">
        <v>454</v>
      </c>
    </row>
    <row r="69" spans="1:11">
      <c r="A69" s="8">
        <f t="shared" si="0"/>
        <v>67</v>
      </c>
      <c r="B69" s="8" t="s">
        <v>381</v>
      </c>
      <c r="C69" s="8" t="s">
        <v>546</v>
      </c>
      <c r="D69" s="16" t="s">
        <v>610</v>
      </c>
      <c r="E69" s="56" t="s">
        <v>611</v>
      </c>
      <c r="F69" s="8" t="s">
        <v>612</v>
      </c>
      <c r="G69" s="70">
        <v>46174</v>
      </c>
      <c r="H69" s="55">
        <v>0.79</v>
      </c>
      <c r="I69" s="8"/>
      <c r="J69" s="16" t="s">
        <v>550</v>
      </c>
      <c r="K69" s="16" t="s">
        <v>454</v>
      </c>
    </row>
    <row r="70" spans="1:11">
      <c r="A70" s="8">
        <f t="shared" si="0"/>
        <v>68</v>
      </c>
      <c r="B70" s="8" t="s">
        <v>381</v>
      </c>
      <c r="C70" s="8" t="s">
        <v>546</v>
      </c>
      <c r="D70" s="16" t="s">
        <v>613</v>
      </c>
      <c r="E70" s="56" t="s">
        <v>614</v>
      </c>
      <c r="F70" s="8" t="s">
        <v>615</v>
      </c>
      <c r="G70" s="70">
        <v>46296</v>
      </c>
      <c r="H70" s="55">
        <v>0.75</v>
      </c>
      <c r="I70" s="8" t="s">
        <v>580</v>
      </c>
      <c r="J70" s="16" t="s">
        <v>550</v>
      </c>
      <c r="K70" s="16" t="s">
        <v>454</v>
      </c>
    </row>
    <row r="71" spans="1:11">
      <c r="A71" s="8">
        <f t="shared" si="0"/>
        <v>69</v>
      </c>
      <c r="B71" s="8" t="s">
        <v>381</v>
      </c>
      <c r="C71" s="8" t="s">
        <v>546</v>
      </c>
      <c r="D71" s="16" t="s">
        <v>616</v>
      </c>
      <c r="E71" s="56" t="s">
        <v>617</v>
      </c>
      <c r="F71" s="8" t="s">
        <v>618</v>
      </c>
      <c r="G71" s="70">
        <v>46235</v>
      </c>
      <c r="H71" s="55">
        <v>0.9</v>
      </c>
      <c r="I71" s="8" t="s">
        <v>580</v>
      </c>
      <c r="J71" s="16" t="s">
        <v>550</v>
      </c>
      <c r="K71" s="16" t="s">
        <v>454</v>
      </c>
    </row>
    <row r="72" spans="1:11">
      <c r="A72" s="57">
        <f t="shared" si="0"/>
        <v>70</v>
      </c>
      <c r="B72" s="57" t="s">
        <v>381</v>
      </c>
      <c r="C72" s="57" t="s">
        <v>546</v>
      </c>
      <c r="D72" s="58" t="s">
        <v>619</v>
      </c>
      <c r="E72" s="59" t="s">
        <v>620</v>
      </c>
      <c r="F72" s="57" t="s">
        <v>517</v>
      </c>
      <c r="G72" s="68" t="s">
        <v>394</v>
      </c>
      <c r="H72" s="61">
        <v>1</v>
      </c>
      <c r="I72" s="57" t="s">
        <v>567</v>
      </c>
      <c r="J72" s="58" t="s">
        <v>550</v>
      </c>
      <c r="K72" s="58" t="s">
        <v>454</v>
      </c>
    </row>
    <row r="73" spans="1:11">
      <c r="A73" s="8">
        <f t="shared" ref="A73:A137" si="1">ROW()-2</f>
        <v>71</v>
      </c>
      <c r="B73" s="8" t="s">
        <v>381</v>
      </c>
      <c r="C73" s="8" t="s">
        <v>546</v>
      </c>
      <c r="D73" s="16" t="s">
        <v>621</v>
      </c>
      <c r="E73" s="56" t="s">
        <v>622</v>
      </c>
      <c r="F73" s="8" t="s">
        <v>623</v>
      </c>
      <c r="G73" s="70">
        <v>46296</v>
      </c>
      <c r="H73" s="55">
        <v>0.95</v>
      </c>
      <c r="I73" s="8" t="s">
        <v>624</v>
      </c>
      <c r="J73" s="16" t="s">
        <v>550</v>
      </c>
      <c r="K73" s="16" t="s">
        <v>454</v>
      </c>
    </row>
    <row r="74" spans="1:11">
      <c r="A74" s="8">
        <f t="shared" si="1"/>
        <v>72</v>
      </c>
      <c r="B74" s="8" t="s">
        <v>381</v>
      </c>
      <c r="C74" s="8" t="s">
        <v>546</v>
      </c>
      <c r="D74" s="16" t="s">
        <v>625</v>
      </c>
      <c r="E74" s="56" t="s">
        <v>626</v>
      </c>
      <c r="F74" s="8" t="s">
        <v>627</v>
      </c>
      <c r="G74" s="70">
        <v>46296</v>
      </c>
      <c r="H74" s="67">
        <v>0.8</v>
      </c>
      <c r="I74" s="8" t="s">
        <v>624</v>
      </c>
      <c r="J74" s="16" t="s">
        <v>550</v>
      </c>
      <c r="K74" s="16" t="s">
        <v>454</v>
      </c>
    </row>
    <row r="75" spans="1:11">
      <c r="A75" s="8">
        <f t="shared" si="1"/>
        <v>73</v>
      </c>
      <c r="B75" s="8" t="s">
        <v>381</v>
      </c>
      <c r="C75" s="8" t="s">
        <v>546</v>
      </c>
      <c r="D75" s="16" t="s">
        <v>628</v>
      </c>
      <c r="E75" s="56" t="s">
        <v>629</v>
      </c>
      <c r="F75" s="8" t="s">
        <v>630</v>
      </c>
      <c r="G75" s="70">
        <v>46174</v>
      </c>
      <c r="H75" s="67">
        <v>0</v>
      </c>
      <c r="I75" s="8" t="s">
        <v>624</v>
      </c>
      <c r="J75" s="16" t="s">
        <v>550</v>
      </c>
      <c r="K75" s="16" t="s">
        <v>454</v>
      </c>
    </row>
    <row r="76" spans="1:11">
      <c r="A76" s="57">
        <f t="shared" si="1"/>
        <v>74</v>
      </c>
      <c r="B76" s="57" t="s">
        <v>381</v>
      </c>
      <c r="C76" s="57" t="s">
        <v>546</v>
      </c>
      <c r="D76" s="58" t="s">
        <v>631</v>
      </c>
      <c r="E76" s="59" t="s">
        <v>632</v>
      </c>
      <c r="F76" s="57" t="s">
        <v>633</v>
      </c>
      <c r="G76" s="68" t="s">
        <v>394</v>
      </c>
      <c r="H76" s="85">
        <v>1</v>
      </c>
      <c r="I76" s="57" t="s">
        <v>567</v>
      </c>
      <c r="J76" s="58" t="s">
        <v>550</v>
      </c>
      <c r="K76" s="58" t="s">
        <v>454</v>
      </c>
    </row>
    <row r="77" spans="1:11">
      <c r="A77" s="8">
        <f t="shared" si="1"/>
        <v>75</v>
      </c>
      <c r="B77" s="8" t="s">
        <v>381</v>
      </c>
      <c r="C77" s="8" t="s">
        <v>546</v>
      </c>
      <c r="D77" s="16" t="s">
        <v>634</v>
      </c>
      <c r="E77" s="56" t="s">
        <v>635</v>
      </c>
      <c r="F77" s="8" t="s">
        <v>636</v>
      </c>
      <c r="G77" s="70">
        <v>46143</v>
      </c>
      <c r="H77" s="55">
        <v>0.8</v>
      </c>
      <c r="I77" s="8" t="s">
        <v>624</v>
      </c>
      <c r="J77" s="16" t="s">
        <v>550</v>
      </c>
      <c r="K77" s="16" t="s">
        <v>454</v>
      </c>
    </row>
    <row r="78" spans="1:11">
      <c r="A78" s="8">
        <f t="shared" si="1"/>
        <v>76</v>
      </c>
      <c r="B78" s="8" t="s">
        <v>381</v>
      </c>
      <c r="C78" s="8" t="s">
        <v>546</v>
      </c>
      <c r="D78" s="16" t="s">
        <v>637</v>
      </c>
      <c r="E78" s="56" t="s">
        <v>638</v>
      </c>
      <c r="F78" s="8" t="s">
        <v>639</v>
      </c>
      <c r="G78" s="70">
        <v>46174</v>
      </c>
      <c r="H78" s="55">
        <v>0.95</v>
      </c>
      <c r="I78" s="8"/>
      <c r="J78" s="16" t="s">
        <v>550</v>
      </c>
      <c r="K78" s="16" t="s">
        <v>454</v>
      </c>
    </row>
    <row r="79" spans="1:11">
      <c r="A79" s="57">
        <f t="shared" si="1"/>
        <v>77</v>
      </c>
      <c r="B79" s="57" t="s">
        <v>381</v>
      </c>
      <c r="C79" s="57" t="s">
        <v>546</v>
      </c>
      <c r="D79" s="58" t="s">
        <v>640</v>
      </c>
      <c r="E79" s="59" t="s">
        <v>641</v>
      </c>
      <c r="F79" s="57" t="s">
        <v>517</v>
      </c>
      <c r="G79" s="60" t="s">
        <v>394</v>
      </c>
      <c r="H79" s="61">
        <v>1</v>
      </c>
      <c r="I79" s="57" t="s">
        <v>642</v>
      </c>
      <c r="J79" s="58" t="s">
        <v>550</v>
      </c>
      <c r="K79" s="58" t="s">
        <v>454</v>
      </c>
    </row>
    <row r="80" spans="1:11">
      <c r="A80" s="8">
        <f t="shared" si="1"/>
        <v>78</v>
      </c>
      <c r="B80" s="8" t="s">
        <v>381</v>
      </c>
      <c r="C80" s="8" t="s">
        <v>546</v>
      </c>
      <c r="D80" s="16" t="s">
        <v>643</v>
      </c>
      <c r="E80" s="56" t="s">
        <v>644</v>
      </c>
      <c r="F80" s="8">
        <v>9238</v>
      </c>
      <c r="G80" s="70">
        <v>46235</v>
      </c>
      <c r="H80" s="55">
        <v>0.75</v>
      </c>
      <c r="I80" s="8"/>
      <c r="J80" s="16" t="s">
        <v>550</v>
      </c>
      <c r="K80" s="16" t="s">
        <v>454</v>
      </c>
    </row>
    <row r="81" spans="1:11">
      <c r="A81" s="8">
        <f t="shared" si="1"/>
        <v>79</v>
      </c>
      <c r="B81" s="8" t="s">
        <v>381</v>
      </c>
      <c r="C81" s="8" t="s">
        <v>546</v>
      </c>
      <c r="D81" s="16" t="s">
        <v>645</v>
      </c>
      <c r="E81" s="56" t="s">
        <v>646</v>
      </c>
      <c r="F81" s="8">
        <v>73</v>
      </c>
      <c r="G81" s="70">
        <v>46174</v>
      </c>
      <c r="H81" s="67">
        <v>0</v>
      </c>
      <c r="I81" s="8" t="s">
        <v>624</v>
      </c>
      <c r="J81" s="16" t="s">
        <v>550</v>
      </c>
      <c r="K81" s="16" t="s">
        <v>454</v>
      </c>
    </row>
    <row r="82" spans="1:11">
      <c r="A82" s="8">
        <f t="shared" si="1"/>
        <v>80</v>
      </c>
      <c r="B82" s="8" t="s">
        <v>381</v>
      </c>
      <c r="C82" s="8" t="s">
        <v>546</v>
      </c>
      <c r="D82" s="16" t="s">
        <v>647</v>
      </c>
      <c r="E82" s="56" t="s">
        <v>648</v>
      </c>
      <c r="F82" s="8" t="s">
        <v>649</v>
      </c>
      <c r="G82" s="54">
        <v>46143</v>
      </c>
      <c r="H82" s="69">
        <v>1</v>
      </c>
      <c r="I82" s="8" t="s">
        <v>624</v>
      </c>
      <c r="J82" s="16" t="s">
        <v>550</v>
      </c>
      <c r="K82" s="16" t="s">
        <v>454</v>
      </c>
    </row>
    <row r="83" spans="1:11">
      <c r="A83" s="8">
        <f t="shared" si="1"/>
        <v>81</v>
      </c>
      <c r="B83" s="8" t="s">
        <v>381</v>
      </c>
      <c r="C83" s="8" t="s">
        <v>546</v>
      </c>
      <c r="D83" s="16" t="s">
        <v>650</v>
      </c>
      <c r="E83" s="56" t="s">
        <v>651</v>
      </c>
      <c r="F83" s="8" t="s">
        <v>652</v>
      </c>
      <c r="G83" s="54">
        <v>46143</v>
      </c>
      <c r="H83" s="73">
        <v>0.95</v>
      </c>
      <c r="I83" s="8" t="s">
        <v>624</v>
      </c>
      <c r="J83" s="16" t="s">
        <v>550</v>
      </c>
      <c r="K83" s="16" t="s">
        <v>454</v>
      </c>
    </row>
    <row r="84" spans="1:11">
      <c r="A84" s="8">
        <f t="shared" si="1"/>
        <v>82</v>
      </c>
      <c r="B84" s="8" t="s">
        <v>381</v>
      </c>
      <c r="C84" s="8" t="s">
        <v>546</v>
      </c>
      <c r="D84" s="16" t="s">
        <v>653</v>
      </c>
      <c r="E84" s="56" t="s">
        <v>654</v>
      </c>
      <c r="F84" s="8" t="s">
        <v>655</v>
      </c>
      <c r="G84" s="70">
        <v>46296</v>
      </c>
      <c r="H84" s="55">
        <v>0.93</v>
      </c>
      <c r="I84" s="8"/>
      <c r="J84" s="16" t="s">
        <v>550</v>
      </c>
      <c r="K84" s="16" t="s">
        <v>454</v>
      </c>
    </row>
    <row r="85" spans="1:11">
      <c r="A85" s="8">
        <f t="shared" si="1"/>
        <v>83</v>
      </c>
      <c r="B85" s="8" t="s">
        <v>381</v>
      </c>
      <c r="C85" s="8" t="s">
        <v>546</v>
      </c>
      <c r="D85" s="16" t="s">
        <v>656</v>
      </c>
      <c r="E85" s="56" t="s">
        <v>657</v>
      </c>
      <c r="F85" s="8" t="s">
        <v>658</v>
      </c>
      <c r="G85" s="54">
        <v>46174</v>
      </c>
      <c r="H85" s="55">
        <v>0.96</v>
      </c>
      <c r="I85" s="8"/>
      <c r="J85" s="16" t="s">
        <v>550</v>
      </c>
      <c r="K85" s="16" t="s">
        <v>454</v>
      </c>
    </row>
    <row r="86" spans="1:11">
      <c r="A86" s="57">
        <f t="shared" si="1"/>
        <v>84</v>
      </c>
      <c r="B86" s="57" t="s">
        <v>381</v>
      </c>
      <c r="C86" s="57" t="s">
        <v>546</v>
      </c>
      <c r="D86" s="58" t="s">
        <v>659</v>
      </c>
      <c r="E86" s="59" t="s">
        <v>660</v>
      </c>
      <c r="F86" s="57" t="s">
        <v>661</v>
      </c>
      <c r="G86" s="60" t="s">
        <v>394</v>
      </c>
      <c r="H86" s="61">
        <v>1</v>
      </c>
      <c r="I86" s="57" t="s">
        <v>567</v>
      </c>
      <c r="J86" s="58" t="s">
        <v>550</v>
      </c>
      <c r="K86" s="58" t="s">
        <v>454</v>
      </c>
    </row>
    <row r="87" spans="1:11">
      <c r="A87" s="57">
        <f t="shared" si="1"/>
        <v>85</v>
      </c>
      <c r="B87" s="57" t="s">
        <v>381</v>
      </c>
      <c r="C87" s="57" t="s">
        <v>546</v>
      </c>
      <c r="D87" s="58" t="s">
        <v>662</v>
      </c>
      <c r="E87" s="59" t="s">
        <v>663</v>
      </c>
      <c r="F87" s="57" t="s">
        <v>664</v>
      </c>
      <c r="G87" s="60" t="s">
        <v>394</v>
      </c>
      <c r="H87" s="61">
        <v>1</v>
      </c>
      <c r="I87" s="57" t="s">
        <v>642</v>
      </c>
      <c r="J87" s="58" t="s">
        <v>550</v>
      </c>
      <c r="K87" s="58" t="s">
        <v>454</v>
      </c>
    </row>
    <row r="88" spans="1:11">
      <c r="A88" s="8">
        <f t="shared" si="1"/>
        <v>86</v>
      </c>
      <c r="B88" s="8" t="s">
        <v>381</v>
      </c>
      <c r="C88" s="8" t="s">
        <v>665</v>
      </c>
      <c r="D88" s="16" t="s">
        <v>666</v>
      </c>
      <c r="E88" s="56" t="s">
        <v>667</v>
      </c>
      <c r="F88" s="8" t="s">
        <v>668</v>
      </c>
      <c r="G88" s="54">
        <v>46143</v>
      </c>
      <c r="H88" s="73">
        <v>1</v>
      </c>
      <c r="I88" s="48" t="s">
        <v>669</v>
      </c>
      <c r="J88" s="16" t="s">
        <v>670</v>
      </c>
      <c r="K88" s="16" t="s">
        <v>671</v>
      </c>
    </row>
    <row r="89" spans="1:11">
      <c r="A89" s="57">
        <f t="shared" si="1"/>
        <v>87</v>
      </c>
      <c r="B89" s="57" t="s">
        <v>381</v>
      </c>
      <c r="C89" s="57" t="s">
        <v>665</v>
      </c>
      <c r="D89" s="58" t="s">
        <v>672</v>
      </c>
      <c r="E89" s="59" t="s">
        <v>673</v>
      </c>
      <c r="F89" s="57" t="s">
        <v>674</v>
      </c>
      <c r="G89" s="68" t="s">
        <v>394</v>
      </c>
      <c r="H89" s="61">
        <v>1</v>
      </c>
      <c r="I89" s="86" t="s">
        <v>675</v>
      </c>
      <c r="J89" s="58" t="s">
        <v>670</v>
      </c>
      <c r="K89" s="58" t="s">
        <v>671</v>
      </c>
    </row>
    <row r="90" spans="1:11">
      <c r="A90" s="57">
        <f t="shared" si="1"/>
        <v>88</v>
      </c>
      <c r="B90" s="57" t="s">
        <v>381</v>
      </c>
      <c r="C90" s="57" t="s">
        <v>665</v>
      </c>
      <c r="D90" s="58" t="s">
        <v>676</v>
      </c>
      <c r="E90" s="59" t="s">
        <v>677</v>
      </c>
      <c r="F90" s="57" t="s">
        <v>678</v>
      </c>
      <c r="G90" s="68" t="s">
        <v>394</v>
      </c>
      <c r="H90" s="61">
        <v>1</v>
      </c>
      <c r="I90" s="86" t="s">
        <v>675</v>
      </c>
      <c r="J90" s="58" t="s">
        <v>670</v>
      </c>
      <c r="K90" s="58" t="s">
        <v>671</v>
      </c>
    </row>
    <row r="91" spans="1:11">
      <c r="A91" s="8">
        <f t="shared" si="1"/>
        <v>89</v>
      </c>
      <c r="B91" s="8" t="s">
        <v>381</v>
      </c>
      <c r="C91" s="8" t="s">
        <v>665</v>
      </c>
      <c r="D91" s="16" t="s">
        <v>679</v>
      </c>
      <c r="E91" s="56" t="s">
        <v>680</v>
      </c>
      <c r="F91" s="8" t="s">
        <v>681</v>
      </c>
      <c r="G91" s="54">
        <v>46143</v>
      </c>
      <c r="H91" s="69">
        <v>1</v>
      </c>
      <c r="I91" s="46" t="s">
        <v>682</v>
      </c>
      <c r="J91" s="16" t="s">
        <v>683</v>
      </c>
      <c r="K91" s="16" t="s">
        <v>671</v>
      </c>
    </row>
    <row r="92" spans="1:11">
      <c r="A92" s="8">
        <f t="shared" si="1"/>
        <v>90</v>
      </c>
      <c r="B92" s="8" t="s">
        <v>381</v>
      </c>
      <c r="C92" s="8" t="s">
        <v>665</v>
      </c>
      <c r="D92" s="16" t="s">
        <v>684</v>
      </c>
      <c r="E92" s="56" t="s">
        <v>685</v>
      </c>
      <c r="F92" s="8" t="s">
        <v>674</v>
      </c>
      <c r="G92" s="54">
        <v>46143</v>
      </c>
      <c r="H92" s="69">
        <v>1</v>
      </c>
      <c r="I92" s="48" t="s">
        <v>686</v>
      </c>
      <c r="J92" s="16" t="s">
        <v>683</v>
      </c>
      <c r="K92" s="16" t="s">
        <v>671</v>
      </c>
    </row>
    <row r="93" spans="1:11">
      <c r="A93" s="8">
        <f t="shared" si="1"/>
        <v>91</v>
      </c>
      <c r="B93" s="8" t="s">
        <v>381</v>
      </c>
      <c r="C93" s="8" t="s">
        <v>665</v>
      </c>
      <c r="D93" s="16" t="s">
        <v>687</v>
      </c>
      <c r="E93" s="56" t="s">
        <v>688</v>
      </c>
      <c r="F93" s="8" t="s">
        <v>689</v>
      </c>
      <c r="G93" s="54">
        <v>46143</v>
      </c>
      <c r="H93" s="69">
        <v>1</v>
      </c>
      <c r="I93" s="46" t="s">
        <v>690</v>
      </c>
      <c r="J93" s="16" t="s">
        <v>670</v>
      </c>
      <c r="K93" s="16" t="s">
        <v>671</v>
      </c>
    </row>
    <row r="94" spans="1:11">
      <c r="A94" s="8">
        <f t="shared" si="1"/>
        <v>92</v>
      </c>
      <c r="B94" s="8" t="s">
        <v>381</v>
      </c>
      <c r="C94" s="8" t="s">
        <v>665</v>
      </c>
      <c r="D94" s="16" t="s">
        <v>691</v>
      </c>
      <c r="E94" s="56" t="s">
        <v>692</v>
      </c>
      <c r="F94" s="8" t="s">
        <v>693</v>
      </c>
      <c r="G94" s="54">
        <v>46143</v>
      </c>
      <c r="H94" s="69">
        <v>1</v>
      </c>
      <c r="I94" s="46" t="s">
        <v>694</v>
      </c>
      <c r="J94" s="16" t="s">
        <v>683</v>
      </c>
      <c r="K94" s="16" t="s">
        <v>671</v>
      </c>
    </row>
    <row r="95" spans="1:11">
      <c r="A95" s="8">
        <f t="shared" si="1"/>
        <v>93</v>
      </c>
      <c r="B95" s="8" t="s">
        <v>381</v>
      </c>
      <c r="C95" s="8" t="s">
        <v>665</v>
      </c>
      <c r="D95" s="16" t="s">
        <v>695</v>
      </c>
      <c r="E95" s="56" t="s">
        <v>3536</v>
      </c>
      <c r="F95" s="8" t="s">
        <v>697</v>
      </c>
      <c r="G95" s="54">
        <v>46143</v>
      </c>
      <c r="H95" s="69">
        <v>1</v>
      </c>
      <c r="I95" s="46" t="s">
        <v>694</v>
      </c>
      <c r="J95" s="16" t="s">
        <v>683</v>
      </c>
      <c r="K95" s="16" t="s">
        <v>671</v>
      </c>
    </row>
    <row r="96" spans="1:11">
      <c r="A96" s="8">
        <f t="shared" si="1"/>
        <v>94</v>
      </c>
      <c r="B96" s="8" t="s">
        <v>381</v>
      </c>
      <c r="C96" s="8" t="s">
        <v>665</v>
      </c>
      <c r="D96" s="16" t="s">
        <v>698</v>
      </c>
      <c r="E96" s="56" t="s">
        <v>699</v>
      </c>
      <c r="F96" s="8" t="s">
        <v>700</v>
      </c>
      <c r="G96" s="54">
        <v>46143</v>
      </c>
      <c r="H96" s="69">
        <v>1</v>
      </c>
      <c r="I96" s="46" t="s">
        <v>694</v>
      </c>
      <c r="J96" s="16" t="s">
        <v>683</v>
      </c>
      <c r="K96" s="16" t="s">
        <v>671</v>
      </c>
    </row>
    <row r="97" spans="1:11">
      <c r="A97" s="8">
        <f t="shared" si="1"/>
        <v>95</v>
      </c>
      <c r="B97" s="8" t="s">
        <v>381</v>
      </c>
      <c r="C97" s="8" t="s">
        <v>665</v>
      </c>
      <c r="D97" s="16" t="s">
        <v>701</v>
      </c>
      <c r="E97" s="56" t="s">
        <v>702</v>
      </c>
      <c r="F97" s="8" t="s">
        <v>703</v>
      </c>
      <c r="G97" s="54">
        <v>46143</v>
      </c>
      <c r="H97" s="67">
        <v>1</v>
      </c>
      <c r="I97" s="46" t="s">
        <v>704</v>
      </c>
      <c r="J97" s="16" t="s">
        <v>705</v>
      </c>
      <c r="K97" s="16" t="s">
        <v>671</v>
      </c>
    </row>
    <row r="98" spans="1:11">
      <c r="A98" s="8">
        <f t="shared" si="1"/>
        <v>96</v>
      </c>
      <c r="B98" s="8" t="s">
        <v>381</v>
      </c>
      <c r="C98" s="8" t="s">
        <v>665</v>
      </c>
      <c r="D98" s="16" t="s">
        <v>706</v>
      </c>
      <c r="E98" s="56" t="s">
        <v>707</v>
      </c>
      <c r="F98" s="8" t="s">
        <v>708</v>
      </c>
      <c r="G98" s="54">
        <v>46143</v>
      </c>
      <c r="H98" s="69">
        <v>1</v>
      </c>
      <c r="I98" s="48" t="s">
        <v>686</v>
      </c>
      <c r="J98" s="16" t="s">
        <v>683</v>
      </c>
      <c r="K98" s="16" t="s">
        <v>671</v>
      </c>
    </row>
    <row r="99" spans="1:11">
      <c r="A99" s="8">
        <f t="shared" si="1"/>
        <v>97</v>
      </c>
      <c r="B99" s="8" t="s">
        <v>381</v>
      </c>
      <c r="C99" s="8" t="s">
        <v>665</v>
      </c>
      <c r="D99" s="16" t="s">
        <v>709</v>
      </c>
      <c r="E99" s="56" t="s">
        <v>710</v>
      </c>
      <c r="F99" s="8" t="s">
        <v>711</v>
      </c>
      <c r="G99" s="54">
        <v>46143</v>
      </c>
      <c r="H99" s="55">
        <v>1</v>
      </c>
      <c r="I99" s="46" t="s">
        <v>712</v>
      </c>
      <c r="J99" s="16" t="s">
        <v>671</v>
      </c>
      <c r="K99" s="16" t="s">
        <v>670</v>
      </c>
    </row>
    <row r="100" spans="1:11">
      <c r="A100" s="8">
        <f t="shared" si="1"/>
        <v>98</v>
      </c>
      <c r="B100" s="8" t="s">
        <v>381</v>
      </c>
      <c r="C100" s="8" t="s">
        <v>665</v>
      </c>
      <c r="D100" s="16" t="s">
        <v>713</v>
      </c>
      <c r="E100" s="56" t="s">
        <v>3537</v>
      </c>
      <c r="F100" s="8" t="s">
        <v>697</v>
      </c>
      <c r="G100" s="54">
        <v>46143</v>
      </c>
      <c r="H100" s="69">
        <v>1</v>
      </c>
      <c r="I100" s="46" t="s">
        <v>714</v>
      </c>
      <c r="J100" s="16" t="s">
        <v>670</v>
      </c>
      <c r="K100" s="16" t="s">
        <v>671</v>
      </c>
    </row>
    <row r="101" spans="1:11">
      <c r="A101" s="8">
        <f t="shared" si="1"/>
        <v>99</v>
      </c>
      <c r="B101" s="8" t="s">
        <v>381</v>
      </c>
      <c r="C101" s="8" t="s">
        <v>665</v>
      </c>
      <c r="D101" s="16" t="s">
        <v>715</v>
      </c>
      <c r="E101" s="56" t="s">
        <v>716</v>
      </c>
      <c r="F101" s="8" t="s">
        <v>534</v>
      </c>
      <c r="G101" s="54">
        <v>46174</v>
      </c>
      <c r="H101" s="55">
        <v>0.4</v>
      </c>
      <c r="I101" s="46" t="s">
        <v>717</v>
      </c>
      <c r="J101" s="16" t="s">
        <v>671</v>
      </c>
      <c r="K101" s="16" t="s">
        <v>670</v>
      </c>
    </row>
    <row r="102" spans="1:11">
      <c r="A102" s="8">
        <f t="shared" si="1"/>
        <v>100</v>
      </c>
      <c r="B102" s="8" t="s">
        <v>381</v>
      </c>
      <c r="C102" s="8" t="s">
        <v>665</v>
      </c>
      <c r="D102" s="16" t="s">
        <v>718</v>
      </c>
      <c r="E102" s="56" t="s">
        <v>719</v>
      </c>
      <c r="F102" s="8" t="s">
        <v>534</v>
      </c>
      <c r="G102" s="54">
        <v>46143</v>
      </c>
      <c r="H102" s="69">
        <v>1</v>
      </c>
      <c r="I102" s="8" t="s">
        <v>717</v>
      </c>
      <c r="J102" s="16" t="s">
        <v>670</v>
      </c>
      <c r="K102" s="16" t="s">
        <v>671</v>
      </c>
    </row>
    <row r="103" spans="1:11">
      <c r="A103" s="8">
        <f t="shared" si="1"/>
        <v>101</v>
      </c>
      <c r="B103" s="8" t="s">
        <v>381</v>
      </c>
      <c r="C103" s="8" t="s">
        <v>665</v>
      </c>
      <c r="D103" s="16" t="s">
        <v>720</v>
      </c>
      <c r="E103" s="56" t="s">
        <v>721</v>
      </c>
      <c r="F103" s="8" t="s">
        <v>534</v>
      </c>
      <c r="G103" s="70" t="s">
        <v>722</v>
      </c>
      <c r="H103" s="70" t="s">
        <v>722</v>
      </c>
      <c r="I103" s="8" t="s">
        <v>723</v>
      </c>
      <c r="J103" s="16" t="s">
        <v>671</v>
      </c>
      <c r="K103" s="16" t="s">
        <v>671</v>
      </c>
    </row>
    <row r="104" spans="1:11">
      <c r="A104" s="8">
        <f t="shared" si="1"/>
        <v>102</v>
      </c>
      <c r="B104" s="8" t="s">
        <v>381</v>
      </c>
      <c r="C104" s="8" t="s">
        <v>665</v>
      </c>
      <c r="D104" s="16" t="s">
        <v>724</v>
      </c>
      <c r="E104" s="56" t="s">
        <v>725</v>
      </c>
      <c r="F104" s="8" t="s">
        <v>726</v>
      </c>
      <c r="G104" s="70">
        <v>46172</v>
      </c>
      <c r="H104" s="73">
        <v>0.95</v>
      </c>
      <c r="I104" s="46" t="s">
        <v>727</v>
      </c>
      <c r="J104" s="16" t="s">
        <v>671</v>
      </c>
      <c r="K104" s="16" t="s">
        <v>670</v>
      </c>
    </row>
    <row r="105" spans="1:11">
      <c r="A105" s="8">
        <f t="shared" si="1"/>
        <v>103</v>
      </c>
      <c r="B105" s="8" t="s">
        <v>381</v>
      </c>
      <c r="C105" s="8" t="s">
        <v>665</v>
      </c>
      <c r="D105" s="16" t="s">
        <v>728</v>
      </c>
      <c r="E105" s="56" t="s">
        <v>729</v>
      </c>
      <c r="F105" s="8" t="s">
        <v>534</v>
      </c>
      <c r="G105" s="54">
        <v>46143</v>
      </c>
      <c r="H105" s="69">
        <v>0.93</v>
      </c>
      <c r="I105" s="46" t="s">
        <v>730</v>
      </c>
      <c r="J105" s="16" t="s">
        <v>671</v>
      </c>
      <c r="K105" s="16" t="s">
        <v>731</v>
      </c>
    </row>
    <row r="106" spans="1:11">
      <c r="A106" s="8">
        <f t="shared" si="1"/>
        <v>104</v>
      </c>
      <c r="B106" s="8" t="s">
        <v>381</v>
      </c>
      <c r="C106" s="8" t="s">
        <v>665</v>
      </c>
      <c r="D106" s="16" t="s">
        <v>732</v>
      </c>
      <c r="E106" s="56" t="s">
        <v>733</v>
      </c>
      <c r="F106" s="8" t="s">
        <v>734</v>
      </c>
      <c r="G106" s="70">
        <v>46143</v>
      </c>
      <c r="H106" s="69">
        <v>0</v>
      </c>
      <c r="I106" s="46" t="s">
        <v>735</v>
      </c>
      <c r="J106" s="16" t="s">
        <v>671</v>
      </c>
      <c r="K106" s="16" t="s">
        <v>736</v>
      </c>
    </row>
    <row r="107" spans="1:11">
      <c r="A107" s="8">
        <f t="shared" si="1"/>
        <v>105</v>
      </c>
      <c r="B107" s="8" t="s">
        <v>381</v>
      </c>
      <c r="C107" s="8" t="s">
        <v>665</v>
      </c>
      <c r="D107" s="16" t="s">
        <v>737</v>
      </c>
      <c r="E107" s="56" t="s">
        <v>738</v>
      </c>
      <c r="F107" s="8" t="s">
        <v>739</v>
      </c>
      <c r="G107" s="54">
        <v>46174</v>
      </c>
      <c r="H107" s="69">
        <v>0</v>
      </c>
      <c r="I107" s="46" t="s">
        <v>740</v>
      </c>
      <c r="J107" s="16" t="s">
        <v>671</v>
      </c>
      <c r="K107" s="16" t="s">
        <v>736</v>
      </c>
    </row>
    <row r="108" spans="1:11">
      <c r="A108" s="8">
        <f t="shared" si="1"/>
        <v>106</v>
      </c>
      <c r="B108" s="8" t="s">
        <v>381</v>
      </c>
      <c r="C108" s="8" t="s">
        <v>665</v>
      </c>
      <c r="D108" s="16" t="s">
        <v>741</v>
      </c>
      <c r="E108" s="56" t="s">
        <v>742</v>
      </c>
      <c r="F108" s="8" t="s">
        <v>743</v>
      </c>
      <c r="G108" s="70" t="s">
        <v>722</v>
      </c>
      <c r="H108" s="70" t="s">
        <v>722</v>
      </c>
      <c r="I108" s="8" t="s">
        <v>723</v>
      </c>
      <c r="J108" s="16" t="s">
        <v>671</v>
      </c>
      <c r="K108" s="16" t="s">
        <v>671</v>
      </c>
    </row>
    <row r="109" spans="1:11">
      <c r="A109" s="8">
        <f t="shared" si="1"/>
        <v>107</v>
      </c>
      <c r="B109" s="8" t="s">
        <v>381</v>
      </c>
      <c r="C109" s="8" t="s">
        <v>665</v>
      </c>
      <c r="D109" s="16" t="s">
        <v>744</v>
      </c>
      <c r="E109" s="56" t="s">
        <v>745</v>
      </c>
      <c r="F109" s="8" t="s">
        <v>534</v>
      </c>
      <c r="G109" s="70" t="s">
        <v>722</v>
      </c>
      <c r="H109" s="70" t="s">
        <v>722</v>
      </c>
      <c r="I109" s="8" t="s">
        <v>723</v>
      </c>
      <c r="J109" s="16" t="s">
        <v>671</v>
      </c>
      <c r="K109" s="16" t="s">
        <v>671</v>
      </c>
    </row>
    <row r="110" spans="1:11">
      <c r="A110" s="8">
        <f t="shared" si="1"/>
        <v>108</v>
      </c>
      <c r="B110" s="8" t="s">
        <v>381</v>
      </c>
      <c r="C110" s="8" t="s">
        <v>665</v>
      </c>
      <c r="D110" s="16" t="s">
        <v>746</v>
      </c>
      <c r="E110" s="56" t="s">
        <v>747</v>
      </c>
      <c r="F110" s="8" t="s">
        <v>534</v>
      </c>
      <c r="G110" s="70" t="s">
        <v>722</v>
      </c>
      <c r="H110" s="70" t="s">
        <v>722</v>
      </c>
      <c r="I110" s="8" t="s">
        <v>723</v>
      </c>
      <c r="J110" s="16" t="s">
        <v>671</v>
      </c>
      <c r="K110" s="16" t="s">
        <v>671</v>
      </c>
    </row>
    <row r="111" spans="1:11">
      <c r="A111" s="8">
        <f t="shared" si="1"/>
        <v>109</v>
      </c>
      <c r="B111" s="8" t="s">
        <v>381</v>
      </c>
      <c r="C111" s="8" t="s">
        <v>665</v>
      </c>
      <c r="D111" s="16" t="s">
        <v>748</v>
      </c>
      <c r="E111" s="56" t="s">
        <v>749</v>
      </c>
      <c r="F111" s="8" t="s">
        <v>534</v>
      </c>
      <c r="G111" s="70" t="s">
        <v>722</v>
      </c>
      <c r="H111" s="70" t="s">
        <v>722</v>
      </c>
      <c r="I111" s="8" t="s">
        <v>723</v>
      </c>
      <c r="J111" s="16" t="s">
        <v>671</v>
      </c>
      <c r="K111" s="16" t="s">
        <v>671</v>
      </c>
    </row>
    <row r="112" spans="1:11">
      <c r="A112" s="8">
        <f t="shared" si="1"/>
        <v>110</v>
      </c>
      <c r="B112" s="8" t="s">
        <v>381</v>
      </c>
      <c r="C112" s="8" t="s">
        <v>665</v>
      </c>
      <c r="D112" s="16" t="s">
        <v>750</v>
      </c>
      <c r="E112" s="56" t="s">
        <v>751</v>
      </c>
      <c r="F112" s="8" t="s">
        <v>534</v>
      </c>
      <c r="G112" s="70" t="s">
        <v>722</v>
      </c>
      <c r="H112" s="70" t="s">
        <v>722</v>
      </c>
      <c r="I112" s="8" t="s">
        <v>723</v>
      </c>
      <c r="J112" s="16" t="s">
        <v>671</v>
      </c>
      <c r="K112" s="16" t="s">
        <v>671</v>
      </c>
    </row>
    <row r="113" spans="1:11">
      <c r="A113" s="8">
        <f t="shared" si="1"/>
        <v>111</v>
      </c>
      <c r="B113" s="8" t="s">
        <v>381</v>
      </c>
      <c r="C113" s="8" t="s">
        <v>665</v>
      </c>
      <c r="D113" s="16" t="s">
        <v>752</v>
      </c>
      <c r="E113" s="56" t="s">
        <v>753</v>
      </c>
      <c r="F113" s="8" t="s">
        <v>534</v>
      </c>
      <c r="G113" s="70" t="s">
        <v>722</v>
      </c>
      <c r="H113" s="70" t="s">
        <v>722</v>
      </c>
      <c r="I113" s="8" t="s">
        <v>723</v>
      </c>
      <c r="J113" s="16" t="s">
        <v>671</v>
      </c>
      <c r="K113" s="16" t="s">
        <v>671</v>
      </c>
    </row>
    <row r="114" spans="1:11">
      <c r="A114" s="8">
        <f t="shared" si="1"/>
        <v>112</v>
      </c>
      <c r="B114" s="8" t="s">
        <v>381</v>
      </c>
      <c r="C114" s="8" t="s">
        <v>665</v>
      </c>
      <c r="D114" s="16" t="s">
        <v>754</v>
      </c>
      <c r="E114" s="56" t="s">
        <v>755</v>
      </c>
      <c r="F114" s="8" t="s">
        <v>534</v>
      </c>
      <c r="G114" s="70" t="s">
        <v>722</v>
      </c>
      <c r="H114" s="70" t="s">
        <v>722</v>
      </c>
      <c r="I114" s="8" t="s">
        <v>723</v>
      </c>
      <c r="J114" s="16" t="s">
        <v>671</v>
      </c>
      <c r="K114" s="16" t="s">
        <v>671</v>
      </c>
    </row>
    <row r="115" spans="1:11">
      <c r="A115" s="8">
        <f t="shared" si="1"/>
        <v>113</v>
      </c>
      <c r="B115" s="8" t="s">
        <v>381</v>
      </c>
      <c r="C115" s="8" t="s">
        <v>665</v>
      </c>
      <c r="D115" s="16" t="s">
        <v>756</v>
      </c>
      <c r="E115" s="56" t="s">
        <v>757</v>
      </c>
      <c r="F115" s="8" t="s">
        <v>534</v>
      </c>
      <c r="G115" s="70" t="s">
        <v>722</v>
      </c>
      <c r="H115" s="70" t="s">
        <v>722</v>
      </c>
      <c r="I115" s="8" t="s">
        <v>723</v>
      </c>
      <c r="J115" s="16" t="s">
        <v>671</v>
      </c>
      <c r="K115" s="16" t="s">
        <v>671</v>
      </c>
    </row>
    <row r="116" spans="1:11">
      <c r="A116" s="8">
        <f t="shared" si="1"/>
        <v>114</v>
      </c>
      <c r="B116" s="8" t="s">
        <v>381</v>
      </c>
      <c r="C116" s="8" t="s">
        <v>665</v>
      </c>
      <c r="D116" s="16" t="s">
        <v>758</v>
      </c>
      <c r="E116" s="56" t="s">
        <v>759</v>
      </c>
      <c r="F116" s="8" t="s">
        <v>760</v>
      </c>
      <c r="G116" s="70">
        <v>46172</v>
      </c>
      <c r="H116" s="67">
        <v>0.97599999999999998</v>
      </c>
      <c r="I116" s="46" t="s">
        <v>740</v>
      </c>
      <c r="J116" s="16" t="s">
        <v>671</v>
      </c>
      <c r="K116" s="16" t="s">
        <v>731</v>
      </c>
    </row>
    <row r="117" spans="1:11">
      <c r="A117" s="8">
        <f t="shared" si="1"/>
        <v>115</v>
      </c>
      <c r="B117" s="8" t="s">
        <v>381</v>
      </c>
      <c r="C117" s="8" t="s">
        <v>665</v>
      </c>
      <c r="D117" s="16" t="s">
        <v>761</v>
      </c>
      <c r="E117" s="56" t="s">
        <v>762</v>
      </c>
      <c r="F117" s="8" t="s">
        <v>763</v>
      </c>
      <c r="G117" s="54">
        <v>46143</v>
      </c>
      <c r="H117" s="69">
        <v>0.95</v>
      </c>
      <c r="I117" s="46" t="s">
        <v>764</v>
      </c>
      <c r="J117" s="16" t="s">
        <v>671</v>
      </c>
      <c r="K117" s="16" t="s">
        <v>731</v>
      </c>
    </row>
    <row r="118" spans="1:11">
      <c r="A118" s="57">
        <f t="shared" si="1"/>
        <v>116</v>
      </c>
      <c r="B118" s="57" t="s">
        <v>381</v>
      </c>
      <c r="C118" s="57" t="s">
        <v>665</v>
      </c>
      <c r="D118" s="58" t="s">
        <v>765</v>
      </c>
      <c r="E118" s="59" t="s">
        <v>766</v>
      </c>
      <c r="F118" s="57" t="s">
        <v>534</v>
      </c>
      <c r="G118" s="68" t="s">
        <v>394</v>
      </c>
      <c r="H118" s="61">
        <v>1</v>
      </c>
      <c r="I118" s="86" t="s">
        <v>767</v>
      </c>
      <c r="J118" s="58" t="s">
        <v>671</v>
      </c>
      <c r="K118" s="58" t="s">
        <v>731</v>
      </c>
    </row>
    <row r="119" spans="1:11">
      <c r="A119" s="8">
        <f t="shared" si="1"/>
        <v>117</v>
      </c>
      <c r="B119" s="8" t="s">
        <v>381</v>
      </c>
      <c r="C119" s="8" t="s">
        <v>665</v>
      </c>
      <c r="D119" s="16" t="s">
        <v>768</v>
      </c>
      <c r="E119" s="56" t="s">
        <v>769</v>
      </c>
      <c r="F119" s="8" t="s">
        <v>534</v>
      </c>
      <c r="G119" s="70" t="s">
        <v>722</v>
      </c>
      <c r="H119" s="70" t="s">
        <v>722</v>
      </c>
      <c r="I119" s="8" t="s">
        <v>723</v>
      </c>
      <c r="J119" s="16" t="s">
        <v>671</v>
      </c>
      <c r="K119" s="16" t="s">
        <v>671</v>
      </c>
    </row>
    <row r="120" spans="1:11">
      <c r="A120" s="8">
        <f t="shared" si="1"/>
        <v>118</v>
      </c>
      <c r="B120" s="8" t="s">
        <v>381</v>
      </c>
      <c r="C120" s="8" t="s">
        <v>770</v>
      </c>
      <c r="D120" s="16" t="s">
        <v>771</v>
      </c>
      <c r="E120" s="56" t="s">
        <v>772</v>
      </c>
      <c r="F120" s="8" t="s">
        <v>534</v>
      </c>
      <c r="G120" s="70" t="s">
        <v>722</v>
      </c>
      <c r="H120" s="70" t="s">
        <v>722</v>
      </c>
      <c r="I120" s="8" t="s">
        <v>723</v>
      </c>
      <c r="J120" s="16" t="s">
        <v>671</v>
      </c>
      <c r="K120" s="16" t="s">
        <v>671</v>
      </c>
    </row>
    <row r="121" spans="1:11" ht="48">
      <c r="A121" s="8">
        <f t="shared" si="1"/>
        <v>119</v>
      </c>
      <c r="B121" s="8" t="s">
        <v>381</v>
      </c>
      <c r="C121" s="8" t="s">
        <v>773</v>
      </c>
      <c r="D121" s="16" t="s">
        <v>774</v>
      </c>
      <c r="E121" s="56" t="s">
        <v>775</v>
      </c>
      <c r="F121" s="8" t="s">
        <v>776</v>
      </c>
      <c r="G121" s="54">
        <v>46143</v>
      </c>
      <c r="H121" s="55">
        <v>0.93</v>
      </c>
      <c r="I121" s="87" t="s">
        <v>777</v>
      </c>
      <c r="J121" s="16" t="s">
        <v>683</v>
      </c>
      <c r="K121" s="16" t="s">
        <v>705</v>
      </c>
    </row>
    <row r="122" spans="1:11">
      <c r="A122" s="8">
        <f t="shared" si="1"/>
        <v>120</v>
      </c>
      <c r="B122" s="8" t="s">
        <v>381</v>
      </c>
      <c r="C122" s="8" t="s">
        <v>773</v>
      </c>
      <c r="D122" s="16" t="s">
        <v>778</v>
      </c>
      <c r="E122" s="56" t="s">
        <v>779</v>
      </c>
      <c r="F122" s="8" t="s">
        <v>780</v>
      </c>
      <c r="G122" s="54">
        <v>46174</v>
      </c>
      <c r="H122" s="67">
        <v>0</v>
      </c>
      <c r="I122" s="8"/>
      <c r="J122" s="16" t="s">
        <v>671</v>
      </c>
      <c r="K122" s="16" t="s">
        <v>683</v>
      </c>
    </row>
    <row r="123" spans="1:11">
      <c r="A123" s="8">
        <f t="shared" si="1"/>
        <v>121</v>
      </c>
      <c r="B123" s="8" t="s">
        <v>381</v>
      </c>
      <c r="C123" s="8" t="s">
        <v>773</v>
      </c>
      <c r="D123" s="16" t="s">
        <v>781</v>
      </c>
      <c r="E123" s="56" t="s">
        <v>782</v>
      </c>
      <c r="F123" s="8" t="s">
        <v>783</v>
      </c>
      <c r="G123" s="54" t="s">
        <v>722</v>
      </c>
      <c r="H123" s="67" t="s">
        <v>423</v>
      </c>
      <c r="I123" s="8" t="s">
        <v>723</v>
      </c>
      <c r="J123" s="16" t="s">
        <v>671</v>
      </c>
      <c r="K123" s="16" t="s">
        <v>683</v>
      </c>
    </row>
    <row r="124" spans="1:11">
      <c r="A124" s="8">
        <f t="shared" si="1"/>
        <v>122</v>
      </c>
      <c r="B124" s="8" t="s">
        <v>381</v>
      </c>
      <c r="C124" s="8" t="s">
        <v>773</v>
      </c>
      <c r="D124" s="16" t="s">
        <v>784</v>
      </c>
      <c r="E124" s="56" t="s">
        <v>785</v>
      </c>
      <c r="F124" s="8" t="s">
        <v>786</v>
      </c>
      <c r="G124" s="70">
        <v>46174</v>
      </c>
      <c r="H124" s="67">
        <v>0.85</v>
      </c>
      <c r="I124" s="8"/>
      <c r="J124" s="16" t="s">
        <v>550</v>
      </c>
      <c r="K124" s="16" t="s">
        <v>454</v>
      </c>
    </row>
    <row r="125" spans="1:11">
      <c r="A125" s="8">
        <f t="shared" si="1"/>
        <v>123</v>
      </c>
      <c r="B125" s="8" t="s">
        <v>381</v>
      </c>
      <c r="C125" s="8" t="s">
        <v>773</v>
      </c>
      <c r="D125" s="16" t="s">
        <v>787</v>
      </c>
      <c r="E125" s="56" t="s">
        <v>788</v>
      </c>
      <c r="F125" s="46" t="s">
        <v>412</v>
      </c>
      <c r="G125" s="54">
        <v>46174</v>
      </c>
      <c r="H125" s="55">
        <v>0.12</v>
      </c>
      <c r="I125" s="46"/>
      <c r="J125" s="16" t="s">
        <v>550</v>
      </c>
      <c r="K125" s="16" t="s">
        <v>454</v>
      </c>
    </row>
    <row r="126" spans="1:11">
      <c r="A126" s="8">
        <f t="shared" si="1"/>
        <v>124</v>
      </c>
      <c r="B126" s="8" t="s">
        <v>381</v>
      </c>
      <c r="C126" s="8" t="s">
        <v>773</v>
      </c>
      <c r="D126" s="16" t="s">
        <v>789</v>
      </c>
      <c r="E126" s="56" t="s">
        <v>790</v>
      </c>
      <c r="F126" s="46" t="s">
        <v>791</v>
      </c>
      <c r="G126" s="54">
        <v>46388</v>
      </c>
      <c r="H126" s="55">
        <v>0.86</v>
      </c>
      <c r="I126" s="8"/>
      <c r="J126" s="16" t="s">
        <v>550</v>
      </c>
      <c r="K126" s="16" t="s">
        <v>454</v>
      </c>
    </row>
    <row r="127" spans="1:11">
      <c r="A127" s="8">
        <f t="shared" si="1"/>
        <v>125</v>
      </c>
      <c r="B127" s="8" t="s">
        <v>381</v>
      </c>
      <c r="C127" s="8" t="s">
        <v>773</v>
      </c>
      <c r="D127" s="16" t="s">
        <v>792</v>
      </c>
      <c r="E127" s="56" t="s">
        <v>793</v>
      </c>
      <c r="F127" s="46" t="s">
        <v>794</v>
      </c>
      <c r="G127" s="54">
        <v>46388</v>
      </c>
      <c r="H127" s="55">
        <v>0.6</v>
      </c>
      <c r="I127" s="8"/>
      <c r="J127" s="16" t="s">
        <v>550</v>
      </c>
      <c r="K127" s="16" t="s">
        <v>454</v>
      </c>
    </row>
    <row r="128" spans="1:11">
      <c r="A128" s="8">
        <f t="shared" si="1"/>
        <v>126</v>
      </c>
      <c r="B128" s="8" t="s">
        <v>381</v>
      </c>
      <c r="C128" s="8" t="s">
        <v>773</v>
      </c>
      <c r="D128" s="16" t="s">
        <v>795</v>
      </c>
      <c r="E128" s="56" t="s">
        <v>796</v>
      </c>
      <c r="F128" s="46" t="s">
        <v>797</v>
      </c>
      <c r="G128" s="54">
        <v>46174</v>
      </c>
      <c r="H128" s="55">
        <v>0.6</v>
      </c>
      <c r="I128" s="46" t="s">
        <v>624</v>
      </c>
      <c r="J128" s="16" t="s">
        <v>550</v>
      </c>
      <c r="K128" s="16" t="s">
        <v>454</v>
      </c>
    </row>
    <row r="129" spans="1:11">
      <c r="A129" s="8">
        <f t="shared" si="1"/>
        <v>127</v>
      </c>
      <c r="B129" s="8" t="s">
        <v>381</v>
      </c>
      <c r="C129" s="8" t="s">
        <v>773</v>
      </c>
      <c r="D129" s="16" t="s">
        <v>798</v>
      </c>
      <c r="E129" s="56" t="s">
        <v>799</v>
      </c>
      <c r="F129" s="8" t="s">
        <v>800</v>
      </c>
      <c r="G129" s="54">
        <v>46143</v>
      </c>
      <c r="H129" s="73">
        <v>1</v>
      </c>
      <c r="I129" s="46" t="s">
        <v>624</v>
      </c>
      <c r="J129" s="16" t="s">
        <v>550</v>
      </c>
      <c r="K129" s="16" t="s">
        <v>454</v>
      </c>
    </row>
    <row r="130" spans="1:11">
      <c r="A130" s="8">
        <f t="shared" si="1"/>
        <v>128</v>
      </c>
      <c r="B130" s="8" t="s">
        <v>381</v>
      </c>
      <c r="C130" s="8" t="s">
        <v>773</v>
      </c>
      <c r="D130" s="16" t="s">
        <v>801</v>
      </c>
      <c r="E130" s="56" t="s">
        <v>802</v>
      </c>
      <c r="F130" s="8" t="s">
        <v>612</v>
      </c>
      <c r="G130" s="54">
        <v>46143</v>
      </c>
      <c r="H130" s="73">
        <v>0.95</v>
      </c>
      <c r="I130" s="8"/>
      <c r="J130" s="16" t="s">
        <v>550</v>
      </c>
      <c r="K130" s="16" t="s">
        <v>454</v>
      </c>
    </row>
    <row r="131" spans="1:11">
      <c r="A131" s="8">
        <f t="shared" si="1"/>
        <v>129</v>
      </c>
      <c r="B131" s="8" t="s">
        <v>381</v>
      </c>
      <c r="C131" s="8" t="s">
        <v>773</v>
      </c>
      <c r="D131" s="16" t="s">
        <v>803</v>
      </c>
      <c r="E131" s="56" t="s">
        <v>804</v>
      </c>
      <c r="F131" s="8" t="s">
        <v>517</v>
      </c>
      <c r="G131" s="54">
        <v>46143</v>
      </c>
      <c r="H131" s="69">
        <v>1</v>
      </c>
      <c r="I131" s="46" t="s">
        <v>805</v>
      </c>
      <c r="J131" s="16" t="s">
        <v>670</v>
      </c>
      <c r="K131" s="16" t="s">
        <v>671</v>
      </c>
    </row>
    <row r="132" spans="1:11">
      <c r="A132" s="8">
        <f t="shared" si="1"/>
        <v>130</v>
      </c>
      <c r="B132" s="8" t="s">
        <v>381</v>
      </c>
      <c r="C132" s="8" t="s">
        <v>773</v>
      </c>
      <c r="D132" s="16" t="s">
        <v>806</v>
      </c>
      <c r="E132" s="56" t="s">
        <v>807</v>
      </c>
      <c r="F132" s="8" t="s">
        <v>808</v>
      </c>
      <c r="G132" s="54">
        <v>46143</v>
      </c>
      <c r="H132" s="69">
        <v>1</v>
      </c>
      <c r="I132" s="46" t="s">
        <v>809</v>
      </c>
      <c r="J132" s="16" t="s">
        <v>670</v>
      </c>
      <c r="K132" s="16" t="s">
        <v>671</v>
      </c>
    </row>
    <row r="133" spans="1:11">
      <c r="A133" s="8">
        <f t="shared" si="1"/>
        <v>131</v>
      </c>
      <c r="B133" s="8" t="s">
        <v>381</v>
      </c>
      <c r="C133" s="8" t="s">
        <v>773</v>
      </c>
      <c r="D133" s="16" t="s">
        <v>810</v>
      </c>
      <c r="E133" s="56" t="s">
        <v>811</v>
      </c>
      <c r="F133" s="8" t="s">
        <v>812</v>
      </c>
      <c r="G133" s="54">
        <v>46143</v>
      </c>
      <c r="H133" s="69">
        <v>0.9</v>
      </c>
      <c r="I133" s="46" t="s">
        <v>813</v>
      </c>
      <c r="J133" s="16" t="s">
        <v>670</v>
      </c>
      <c r="K133" s="16" t="s">
        <v>671</v>
      </c>
    </row>
    <row r="134" spans="1:11">
      <c r="A134" s="8">
        <f t="shared" si="1"/>
        <v>132</v>
      </c>
      <c r="B134" s="8" t="s">
        <v>381</v>
      </c>
      <c r="C134" s="8" t="s">
        <v>773</v>
      </c>
      <c r="D134" s="16" t="s">
        <v>814</v>
      </c>
      <c r="E134" s="56" t="s">
        <v>815</v>
      </c>
      <c r="F134" s="8" t="s">
        <v>816</v>
      </c>
      <c r="G134" s="54">
        <v>46143</v>
      </c>
      <c r="H134" s="67">
        <v>0</v>
      </c>
      <c r="I134" s="46" t="s">
        <v>805</v>
      </c>
      <c r="J134" s="16" t="s">
        <v>671</v>
      </c>
      <c r="K134" s="16" t="s">
        <v>670</v>
      </c>
    </row>
    <row r="135" spans="1:11">
      <c r="A135" s="8">
        <f t="shared" si="1"/>
        <v>133</v>
      </c>
      <c r="B135" s="8" t="s">
        <v>381</v>
      </c>
      <c r="C135" s="8" t="s">
        <v>773</v>
      </c>
      <c r="D135" s="16" t="s">
        <v>817</v>
      </c>
      <c r="E135" s="56" t="s">
        <v>818</v>
      </c>
      <c r="F135" s="8" t="s">
        <v>819</v>
      </c>
      <c r="G135" s="54">
        <v>46172</v>
      </c>
      <c r="H135" s="55">
        <v>0.7</v>
      </c>
      <c r="I135" s="46" t="s">
        <v>813</v>
      </c>
      <c r="J135" s="16" t="s">
        <v>670</v>
      </c>
      <c r="K135" s="16" t="s">
        <v>671</v>
      </c>
    </row>
    <row r="136" spans="1:11">
      <c r="A136" s="8">
        <f t="shared" si="1"/>
        <v>134</v>
      </c>
      <c r="B136" s="8" t="s">
        <v>381</v>
      </c>
      <c r="C136" s="8" t="s">
        <v>773</v>
      </c>
      <c r="D136" s="16" t="s">
        <v>820</v>
      </c>
      <c r="E136" s="56" t="s">
        <v>821</v>
      </c>
      <c r="F136" s="8" t="s">
        <v>822</v>
      </c>
      <c r="G136" s="70">
        <v>46143</v>
      </c>
      <c r="H136" s="55">
        <v>0.05</v>
      </c>
      <c r="I136" s="46" t="s">
        <v>813</v>
      </c>
      <c r="J136" s="16" t="s">
        <v>671</v>
      </c>
      <c r="K136" s="16" t="s">
        <v>670</v>
      </c>
    </row>
    <row r="137" spans="1:11">
      <c r="A137" s="8">
        <f t="shared" si="1"/>
        <v>135</v>
      </c>
      <c r="B137" s="8" t="s">
        <v>381</v>
      </c>
      <c r="C137" s="8" t="s">
        <v>773</v>
      </c>
      <c r="D137" s="16" t="s">
        <v>823</v>
      </c>
      <c r="E137" s="56" t="s">
        <v>824</v>
      </c>
      <c r="F137" s="8" t="s">
        <v>534</v>
      </c>
      <c r="G137" s="70">
        <v>46143</v>
      </c>
      <c r="H137" s="55">
        <v>0.94</v>
      </c>
      <c r="I137" s="46" t="s">
        <v>813</v>
      </c>
      <c r="J137" s="16" t="s">
        <v>671</v>
      </c>
      <c r="K137" s="16" t="s">
        <v>670</v>
      </c>
    </row>
    <row r="138" spans="1:11">
      <c r="A138" s="8">
        <f t="shared" ref="A138:A201" si="2">ROW()-2</f>
        <v>136</v>
      </c>
      <c r="B138" s="8" t="s">
        <v>381</v>
      </c>
      <c r="C138" s="8" t="s">
        <v>773</v>
      </c>
      <c r="D138" s="16" t="s">
        <v>825</v>
      </c>
      <c r="E138" s="56" t="s">
        <v>826</v>
      </c>
      <c r="F138" s="8" t="s">
        <v>827</v>
      </c>
      <c r="G138" s="54">
        <v>46174</v>
      </c>
      <c r="H138" s="73">
        <v>0.45</v>
      </c>
      <c r="I138" s="46" t="s">
        <v>813</v>
      </c>
      <c r="J138" s="16" t="s">
        <v>670</v>
      </c>
      <c r="K138" s="16" t="s">
        <v>671</v>
      </c>
    </row>
    <row r="139" spans="1:11">
      <c r="A139" s="8">
        <f t="shared" si="2"/>
        <v>137</v>
      </c>
      <c r="B139" s="8" t="s">
        <v>381</v>
      </c>
      <c r="C139" s="8" t="s">
        <v>773</v>
      </c>
      <c r="D139" s="16" t="s">
        <v>828</v>
      </c>
      <c r="E139" s="56" t="s">
        <v>829</v>
      </c>
      <c r="F139" s="8" t="s">
        <v>830</v>
      </c>
      <c r="G139" s="54">
        <v>46174</v>
      </c>
      <c r="H139" s="73">
        <v>0.8</v>
      </c>
      <c r="I139" s="46" t="s">
        <v>813</v>
      </c>
      <c r="J139" s="16" t="s">
        <v>670</v>
      </c>
      <c r="K139" s="16" t="s">
        <v>671</v>
      </c>
    </row>
    <row r="140" spans="1:11">
      <c r="A140" s="8">
        <f t="shared" si="2"/>
        <v>138</v>
      </c>
      <c r="B140" s="8" t="s">
        <v>381</v>
      </c>
      <c r="C140" s="8" t="s">
        <v>773</v>
      </c>
      <c r="D140" s="16" t="s">
        <v>831</v>
      </c>
      <c r="E140" s="56" t="s">
        <v>832</v>
      </c>
      <c r="F140" s="8" t="s">
        <v>534</v>
      </c>
      <c r="G140" s="70" t="s">
        <v>722</v>
      </c>
      <c r="H140" s="70" t="s">
        <v>722</v>
      </c>
      <c r="I140" s="8" t="s">
        <v>424</v>
      </c>
      <c r="J140" s="16" t="s">
        <v>671</v>
      </c>
      <c r="K140" s="16" t="s">
        <v>671</v>
      </c>
    </row>
    <row r="141" spans="1:11">
      <c r="A141" s="8">
        <f t="shared" si="2"/>
        <v>139</v>
      </c>
      <c r="B141" s="8" t="s">
        <v>381</v>
      </c>
      <c r="C141" s="8" t="s">
        <v>773</v>
      </c>
      <c r="D141" s="16" t="s">
        <v>833</v>
      </c>
      <c r="E141" s="56" t="s">
        <v>834</v>
      </c>
      <c r="F141" s="8" t="s">
        <v>534</v>
      </c>
      <c r="G141" s="70" t="s">
        <v>722</v>
      </c>
      <c r="H141" s="70" t="s">
        <v>722</v>
      </c>
      <c r="I141" s="8" t="s">
        <v>424</v>
      </c>
      <c r="J141" s="16" t="s">
        <v>671</v>
      </c>
      <c r="K141" s="16" t="s">
        <v>671</v>
      </c>
    </row>
    <row r="142" spans="1:11">
      <c r="A142" s="8">
        <f t="shared" si="2"/>
        <v>140</v>
      </c>
      <c r="B142" s="8" t="s">
        <v>381</v>
      </c>
      <c r="C142" s="8" t="s">
        <v>773</v>
      </c>
      <c r="D142" s="16" t="s">
        <v>835</v>
      </c>
      <c r="E142" s="56" t="s">
        <v>836</v>
      </c>
      <c r="F142" s="8" t="s">
        <v>837</v>
      </c>
      <c r="G142" s="54">
        <v>46143</v>
      </c>
      <c r="H142" s="67">
        <v>0.95</v>
      </c>
      <c r="I142" s="46" t="s">
        <v>813</v>
      </c>
      <c r="J142" s="16" t="s">
        <v>671</v>
      </c>
      <c r="K142" s="16" t="s">
        <v>838</v>
      </c>
    </row>
    <row r="143" spans="1:11">
      <c r="A143" s="57">
        <f t="shared" si="2"/>
        <v>141</v>
      </c>
      <c r="B143" s="57" t="s">
        <v>381</v>
      </c>
      <c r="C143" s="57" t="s">
        <v>773</v>
      </c>
      <c r="D143" s="58" t="s">
        <v>839</v>
      </c>
      <c r="E143" s="59" t="s">
        <v>840</v>
      </c>
      <c r="F143" s="62" t="s">
        <v>534</v>
      </c>
      <c r="G143" s="60" t="s">
        <v>394</v>
      </c>
      <c r="H143" s="61">
        <v>1</v>
      </c>
      <c r="I143" s="57" t="s">
        <v>767</v>
      </c>
      <c r="J143" s="58" t="s">
        <v>671</v>
      </c>
      <c r="K143" s="58" t="s">
        <v>838</v>
      </c>
    </row>
    <row r="144" spans="1:11">
      <c r="A144" s="8">
        <f t="shared" si="2"/>
        <v>142</v>
      </c>
      <c r="B144" s="8" t="s">
        <v>381</v>
      </c>
      <c r="C144" s="8" t="s">
        <v>773</v>
      </c>
      <c r="D144" s="16" t="s">
        <v>841</v>
      </c>
      <c r="E144" s="56" t="s">
        <v>842</v>
      </c>
      <c r="F144" s="8" t="s">
        <v>843</v>
      </c>
      <c r="G144" s="70" t="s">
        <v>722</v>
      </c>
      <c r="H144" s="67" t="s">
        <v>423</v>
      </c>
      <c r="I144" s="8" t="s">
        <v>424</v>
      </c>
      <c r="J144" s="16" t="s">
        <v>671</v>
      </c>
      <c r="K144" s="16" t="s">
        <v>731</v>
      </c>
    </row>
    <row r="145" spans="1:11">
      <c r="A145" s="8">
        <f t="shared" si="2"/>
        <v>143</v>
      </c>
      <c r="B145" s="8" t="s">
        <v>381</v>
      </c>
      <c r="C145" s="8" t="s">
        <v>773</v>
      </c>
      <c r="D145" s="16" t="s">
        <v>844</v>
      </c>
      <c r="E145" s="56" t="s">
        <v>845</v>
      </c>
      <c r="F145" s="8" t="s">
        <v>534</v>
      </c>
      <c r="G145" s="70" t="s">
        <v>722</v>
      </c>
      <c r="H145" s="67" t="s">
        <v>423</v>
      </c>
      <c r="I145" s="8" t="s">
        <v>424</v>
      </c>
      <c r="J145" s="16" t="s">
        <v>671</v>
      </c>
      <c r="K145" s="16" t="s">
        <v>731</v>
      </c>
    </row>
    <row r="146" spans="1:11">
      <c r="A146" s="57">
        <f t="shared" si="2"/>
        <v>144</v>
      </c>
      <c r="B146" s="57" t="s">
        <v>381</v>
      </c>
      <c r="C146" s="57" t="s">
        <v>773</v>
      </c>
      <c r="D146" s="58" t="s">
        <v>846</v>
      </c>
      <c r="E146" s="59" t="s">
        <v>847</v>
      </c>
      <c r="F146" s="57" t="s">
        <v>534</v>
      </c>
      <c r="G146" s="68" t="s">
        <v>394</v>
      </c>
      <c r="H146" s="61">
        <v>1</v>
      </c>
      <c r="I146" s="86" t="s">
        <v>848</v>
      </c>
      <c r="J146" s="58" t="s">
        <v>671</v>
      </c>
      <c r="K146" s="58" t="s">
        <v>731</v>
      </c>
    </row>
    <row r="147" spans="1:11">
      <c r="A147" s="8">
        <f t="shared" si="2"/>
        <v>145</v>
      </c>
      <c r="B147" s="8" t="s">
        <v>381</v>
      </c>
      <c r="C147" s="8" t="s">
        <v>773</v>
      </c>
      <c r="D147" s="16" t="s">
        <v>849</v>
      </c>
      <c r="E147" s="56" t="s">
        <v>850</v>
      </c>
      <c r="F147" s="8" t="s">
        <v>534</v>
      </c>
      <c r="G147" s="54">
        <v>46143</v>
      </c>
      <c r="H147" s="69">
        <v>1</v>
      </c>
      <c r="I147" s="46" t="s">
        <v>851</v>
      </c>
      <c r="J147" s="16" t="s">
        <v>671</v>
      </c>
      <c r="K147" s="16" t="s">
        <v>731</v>
      </c>
    </row>
    <row r="148" spans="1:11">
      <c r="A148" s="8">
        <f t="shared" si="2"/>
        <v>146</v>
      </c>
      <c r="B148" s="8" t="s">
        <v>381</v>
      </c>
      <c r="C148" s="8" t="s">
        <v>773</v>
      </c>
      <c r="D148" s="16" t="s">
        <v>852</v>
      </c>
      <c r="E148" s="56" t="s">
        <v>853</v>
      </c>
      <c r="F148" s="8" t="s">
        <v>534</v>
      </c>
      <c r="G148" s="70" t="s">
        <v>722</v>
      </c>
      <c r="H148" s="67" t="s">
        <v>423</v>
      </c>
      <c r="I148" s="8" t="s">
        <v>424</v>
      </c>
      <c r="J148" s="16" t="s">
        <v>671</v>
      </c>
      <c r="K148" s="16" t="s">
        <v>731</v>
      </c>
    </row>
    <row r="149" spans="1:11">
      <c r="A149" s="8">
        <f t="shared" si="2"/>
        <v>147</v>
      </c>
      <c r="B149" s="8" t="s">
        <v>381</v>
      </c>
      <c r="C149" s="8" t="s">
        <v>773</v>
      </c>
      <c r="D149" s="16" t="s">
        <v>854</v>
      </c>
      <c r="E149" s="56" t="s">
        <v>855</v>
      </c>
      <c r="F149" s="8" t="s">
        <v>534</v>
      </c>
      <c r="G149" s="54">
        <v>46143</v>
      </c>
      <c r="H149" s="73">
        <v>1</v>
      </c>
      <c r="I149" s="46" t="s">
        <v>851</v>
      </c>
      <c r="J149" s="16" t="s">
        <v>671</v>
      </c>
      <c r="K149" s="16" t="s">
        <v>838</v>
      </c>
    </row>
    <row r="150" spans="1:11">
      <c r="A150" s="8">
        <f t="shared" si="2"/>
        <v>148</v>
      </c>
      <c r="B150" s="8" t="s">
        <v>381</v>
      </c>
      <c r="C150" s="8" t="s">
        <v>773</v>
      </c>
      <c r="D150" s="16" t="s">
        <v>856</v>
      </c>
      <c r="E150" s="56" t="s">
        <v>857</v>
      </c>
      <c r="F150" s="8" t="s">
        <v>534</v>
      </c>
      <c r="G150" s="70" t="s">
        <v>722</v>
      </c>
      <c r="H150" s="67" t="s">
        <v>423</v>
      </c>
      <c r="I150" s="8" t="s">
        <v>424</v>
      </c>
      <c r="J150" s="16" t="s">
        <v>671</v>
      </c>
      <c r="K150" s="16" t="s">
        <v>731</v>
      </c>
    </row>
    <row r="151" spans="1:11">
      <c r="A151" s="57">
        <f t="shared" si="2"/>
        <v>149</v>
      </c>
      <c r="B151" s="57" t="s">
        <v>381</v>
      </c>
      <c r="C151" s="57" t="s">
        <v>773</v>
      </c>
      <c r="D151" s="58" t="s">
        <v>858</v>
      </c>
      <c r="E151" s="59" t="s">
        <v>859</v>
      </c>
      <c r="F151" s="57" t="s">
        <v>534</v>
      </c>
      <c r="G151" s="68" t="s">
        <v>394</v>
      </c>
      <c r="H151" s="85">
        <v>1</v>
      </c>
      <c r="I151" s="86" t="s">
        <v>848</v>
      </c>
      <c r="J151" s="58" t="s">
        <v>671</v>
      </c>
      <c r="K151" s="58" t="s">
        <v>838</v>
      </c>
    </row>
    <row r="152" spans="1:11">
      <c r="A152" s="8">
        <f t="shared" si="2"/>
        <v>150</v>
      </c>
      <c r="B152" s="8" t="s">
        <v>381</v>
      </c>
      <c r="C152" s="8" t="s">
        <v>773</v>
      </c>
      <c r="D152" s="16" t="s">
        <v>860</v>
      </c>
      <c r="E152" s="56" t="s">
        <v>861</v>
      </c>
      <c r="F152" s="8">
        <v>14</v>
      </c>
      <c r="G152" s="54">
        <v>46143</v>
      </c>
      <c r="H152" s="55">
        <v>0.9</v>
      </c>
      <c r="I152" s="8"/>
      <c r="J152" s="16" t="s">
        <v>550</v>
      </c>
      <c r="K152" s="16" t="s">
        <v>454</v>
      </c>
    </row>
    <row r="153" spans="1:11" ht="96">
      <c r="A153" s="57">
        <f t="shared" si="2"/>
        <v>151</v>
      </c>
      <c r="B153" s="57" t="s">
        <v>862</v>
      </c>
      <c r="C153" s="57" t="s">
        <v>382</v>
      </c>
      <c r="D153" s="58" t="s">
        <v>863</v>
      </c>
      <c r="E153" s="59" t="s">
        <v>864</v>
      </c>
      <c r="F153" s="88" t="s">
        <v>865</v>
      </c>
      <c r="G153" s="60" t="s">
        <v>394</v>
      </c>
      <c r="H153" s="61">
        <v>1</v>
      </c>
      <c r="I153" s="86" t="s">
        <v>866</v>
      </c>
      <c r="J153" s="58" t="s">
        <v>867</v>
      </c>
      <c r="K153" s="58" t="s">
        <v>868</v>
      </c>
    </row>
    <row r="154" spans="1:11" ht="96">
      <c r="A154" s="8">
        <f t="shared" si="2"/>
        <v>152</v>
      </c>
      <c r="B154" s="8" t="s">
        <v>862</v>
      </c>
      <c r="C154" s="8" t="s">
        <v>382</v>
      </c>
      <c r="D154" s="16" t="s">
        <v>869</v>
      </c>
      <c r="E154" s="56" t="s">
        <v>870</v>
      </c>
      <c r="F154" s="12" t="s">
        <v>871</v>
      </c>
      <c r="G154" s="54">
        <v>46142</v>
      </c>
      <c r="H154" s="67">
        <v>0.999</v>
      </c>
      <c r="I154" s="46" t="s">
        <v>872</v>
      </c>
      <c r="J154" s="16" t="s">
        <v>867</v>
      </c>
      <c r="K154" s="16" t="s">
        <v>868</v>
      </c>
    </row>
    <row r="155" spans="1:11">
      <c r="A155" s="8">
        <f t="shared" si="2"/>
        <v>153</v>
      </c>
      <c r="B155" s="8" t="s">
        <v>862</v>
      </c>
      <c r="C155" s="8" t="s">
        <v>382</v>
      </c>
      <c r="D155" s="16" t="s">
        <v>873</v>
      </c>
      <c r="E155" s="56" t="s">
        <v>874</v>
      </c>
      <c r="F155" s="8"/>
      <c r="G155" s="70">
        <v>46122</v>
      </c>
      <c r="H155" s="67">
        <v>1</v>
      </c>
      <c r="I155" s="46" t="s">
        <v>875</v>
      </c>
      <c r="J155" s="16" t="s">
        <v>868</v>
      </c>
      <c r="K155" s="16" t="s">
        <v>867</v>
      </c>
    </row>
    <row r="156" spans="1:11">
      <c r="A156" s="57">
        <f t="shared" si="2"/>
        <v>154</v>
      </c>
      <c r="B156" s="57" t="s">
        <v>862</v>
      </c>
      <c r="C156" s="57" t="s">
        <v>382</v>
      </c>
      <c r="D156" s="58" t="s">
        <v>876</v>
      </c>
      <c r="E156" s="59" t="s">
        <v>411</v>
      </c>
      <c r="F156" s="57" t="s">
        <v>877</v>
      </c>
      <c r="G156" s="68" t="s">
        <v>394</v>
      </c>
      <c r="H156" s="85">
        <v>1</v>
      </c>
      <c r="I156" s="86" t="s">
        <v>878</v>
      </c>
      <c r="J156" s="58" t="s">
        <v>867</v>
      </c>
      <c r="K156" s="58" t="s">
        <v>868</v>
      </c>
    </row>
    <row r="157" spans="1:11">
      <c r="A157" s="57">
        <f t="shared" si="2"/>
        <v>155</v>
      </c>
      <c r="B157" s="57" t="s">
        <v>862</v>
      </c>
      <c r="C157" s="57" t="s">
        <v>463</v>
      </c>
      <c r="D157" s="58" t="s">
        <v>879</v>
      </c>
      <c r="E157" s="59" t="s">
        <v>880</v>
      </c>
      <c r="F157" s="57" t="s">
        <v>881</v>
      </c>
      <c r="G157" s="68" t="s">
        <v>394</v>
      </c>
      <c r="H157" s="61">
        <v>1</v>
      </c>
      <c r="I157" s="57" t="s">
        <v>882</v>
      </c>
      <c r="J157" s="58" t="s">
        <v>868</v>
      </c>
      <c r="K157" s="58" t="s">
        <v>867</v>
      </c>
    </row>
    <row r="158" spans="1:11">
      <c r="A158" s="62">
        <f t="shared" si="2"/>
        <v>156</v>
      </c>
      <c r="B158" s="62" t="s">
        <v>862</v>
      </c>
      <c r="C158" s="62" t="s">
        <v>463</v>
      </c>
      <c r="D158" s="63" t="s">
        <v>883</v>
      </c>
      <c r="E158" s="64" t="s">
        <v>3538</v>
      </c>
      <c r="F158" s="62"/>
      <c r="G158" s="89" t="s">
        <v>394</v>
      </c>
      <c r="H158" s="66">
        <v>1</v>
      </c>
      <c r="I158" s="62" t="s">
        <v>882</v>
      </c>
      <c r="J158" s="63" t="s">
        <v>868</v>
      </c>
      <c r="K158" s="63" t="s">
        <v>867</v>
      </c>
    </row>
    <row r="159" spans="1:11">
      <c r="A159" s="57">
        <f t="shared" si="2"/>
        <v>157</v>
      </c>
      <c r="B159" s="57" t="s">
        <v>862</v>
      </c>
      <c r="C159" s="57" t="s">
        <v>665</v>
      </c>
      <c r="D159" s="58" t="s">
        <v>884</v>
      </c>
      <c r="E159" s="59" t="s">
        <v>885</v>
      </c>
      <c r="F159" s="57" t="s">
        <v>886</v>
      </c>
      <c r="G159" s="60" t="s">
        <v>394</v>
      </c>
      <c r="H159" s="61">
        <v>1</v>
      </c>
      <c r="I159" s="57"/>
      <c r="J159" s="58" t="s">
        <v>683</v>
      </c>
      <c r="K159" s="58" t="s">
        <v>887</v>
      </c>
    </row>
    <row r="160" spans="1:11" ht="36">
      <c r="A160" s="57">
        <f t="shared" si="2"/>
        <v>158</v>
      </c>
      <c r="B160" s="57" t="s">
        <v>862</v>
      </c>
      <c r="C160" s="57" t="s">
        <v>665</v>
      </c>
      <c r="D160" s="58" t="s">
        <v>888</v>
      </c>
      <c r="E160" s="59" t="s">
        <v>889</v>
      </c>
      <c r="F160" s="88" t="s">
        <v>890</v>
      </c>
      <c r="G160" s="68" t="s">
        <v>394</v>
      </c>
      <c r="H160" s="85">
        <v>1</v>
      </c>
      <c r="I160" s="86" t="s">
        <v>891</v>
      </c>
      <c r="J160" s="58" t="s">
        <v>683</v>
      </c>
      <c r="K160" s="58" t="s">
        <v>887</v>
      </c>
    </row>
    <row r="161" spans="1:11">
      <c r="A161" s="8">
        <f t="shared" si="2"/>
        <v>159</v>
      </c>
      <c r="B161" s="8" t="s">
        <v>862</v>
      </c>
      <c r="C161" s="8" t="s">
        <v>665</v>
      </c>
      <c r="D161" s="16" t="s">
        <v>892</v>
      </c>
      <c r="E161" s="56" t="s">
        <v>893</v>
      </c>
      <c r="F161" s="8" t="s">
        <v>894</v>
      </c>
      <c r="G161" s="54">
        <v>46142</v>
      </c>
      <c r="H161" s="69">
        <v>1</v>
      </c>
      <c r="I161" s="46" t="s">
        <v>895</v>
      </c>
      <c r="J161" s="16" t="s">
        <v>683</v>
      </c>
      <c r="K161" s="16" t="s">
        <v>887</v>
      </c>
    </row>
    <row r="162" spans="1:11">
      <c r="A162" s="57">
        <f t="shared" si="2"/>
        <v>160</v>
      </c>
      <c r="B162" s="57" t="s">
        <v>862</v>
      </c>
      <c r="C162" s="57" t="s">
        <v>665</v>
      </c>
      <c r="D162" s="58" t="s">
        <v>896</v>
      </c>
      <c r="E162" s="59" t="s">
        <v>897</v>
      </c>
      <c r="F162" s="57" t="s">
        <v>898</v>
      </c>
      <c r="G162" s="68" t="s">
        <v>394</v>
      </c>
      <c r="H162" s="61">
        <v>1</v>
      </c>
      <c r="I162" s="86" t="s">
        <v>891</v>
      </c>
      <c r="J162" s="58" t="s">
        <v>683</v>
      </c>
      <c r="K162" s="58" t="s">
        <v>887</v>
      </c>
    </row>
    <row r="163" spans="1:11">
      <c r="A163" s="8">
        <f t="shared" si="2"/>
        <v>161</v>
      </c>
      <c r="B163" s="8" t="s">
        <v>862</v>
      </c>
      <c r="C163" s="8" t="s">
        <v>665</v>
      </c>
      <c r="D163" s="16" t="s">
        <v>899</v>
      </c>
      <c r="E163" s="56" t="s">
        <v>900</v>
      </c>
      <c r="F163" s="8" t="s">
        <v>901</v>
      </c>
      <c r="G163" s="54">
        <v>46142</v>
      </c>
      <c r="H163" s="67">
        <v>0.9</v>
      </c>
      <c r="I163" s="46" t="s">
        <v>902</v>
      </c>
      <c r="J163" s="16" t="s">
        <v>683</v>
      </c>
      <c r="K163" s="16" t="s">
        <v>887</v>
      </c>
    </row>
    <row r="164" spans="1:11">
      <c r="A164" s="8">
        <f t="shared" si="2"/>
        <v>162</v>
      </c>
      <c r="B164" s="8" t="s">
        <v>862</v>
      </c>
      <c r="C164" s="8" t="s">
        <v>665</v>
      </c>
      <c r="D164" s="16" t="s">
        <v>903</v>
      </c>
      <c r="E164" s="56" t="s">
        <v>904</v>
      </c>
      <c r="F164" s="8" t="s">
        <v>905</v>
      </c>
      <c r="G164" s="54">
        <v>46142</v>
      </c>
      <c r="H164" s="69">
        <v>1</v>
      </c>
      <c r="I164" s="46" t="s">
        <v>902</v>
      </c>
      <c r="J164" s="16" t="s">
        <v>683</v>
      </c>
      <c r="K164" s="16" t="s">
        <v>887</v>
      </c>
    </row>
    <row r="165" spans="1:11">
      <c r="A165" s="8">
        <f t="shared" si="2"/>
        <v>163</v>
      </c>
      <c r="B165" s="8" t="s">
        <v>862</v>
      </c>
      <c r="C165" s="8" t="s">
        <v>665</v>
      </c>
      <c r="D165" s="16" t="s">
        <v>906</v>
      </c>
      <c r="E165" s="56" t="s">
        <v>907</v>
      </c>
      <c r="F165" s="8" t="s">
        <v>908</v>
      </c>
      <c r="G165" s="54">
        <v>46142</v>
      </c>
      <c r="H165" s="73">
        <v>0.99</v>
      </c>
      <c r="I165" s="46" t="s">
        <v>909</v>
      </c>
      <c r="J165" s="16" t="s">
        <v>683</v>
      </c>
      <c r="K165" s="16" t="s">
        <v>887</v>
      </c>
    </row>
    <row r="166" spans="1:11">
      <c r="A166" s="8">
        <f t="shared" si="2"/>
        <v>164</v>
      </c>
      <c r="B166" s="8" t="s">
        <v>862</v>
      </c>
      <c r="C166" s="8" t="s">
        <v>665</v>
      </c>
      <c r="D166" s="16" t="s">
        <v>910</v>
      </c>
      <c r="E166" s="56" t="s">
        <v>716</v>
      </c>
      <c r="F166" s="8" t="s">
        <v>534</v>
      </c>
      <c r="G166" s="54">
        <v>46172</v>
      </c>
      <c r="H166" s="73">
        <v>0.9</v>
      </c>
      <c r="I166" s="46" t="s">
        <v>911</v>
      </c>
      <c r="J166" s="16" t="s">
        <v>683</v>
      </c>
      <c r="K166" s="16" t="s">
        <v>887</v>
      </c>
    </row>
    <row r="167" spans="1:11" ht="120">
      <c r="A167" s="8">
        <f t="shared" si="2"/>
        <v>165</v>
      </c>
      <c r="B167" s="8" t="s">
        <v>862</v>
      </c>
      <c r="C167" s="8" t="s">
        <v>665</v>
      </c>
      <c r="D167" s="16" t="s">
        <v>912</v>
      </c>
      <c r="E167" s="56" t="s">
        <v>3539</v>
      </c>
      <c r="F167" s="12" t="s">
        <v>913</v>
      </c>
      <c r="G167" s="54">
        <v>46142</v>
      </c>
      <c r="H167" s="69">
        <v>1</v>
      </c>
      <c r="I167" s="46" t="s">
        <v>914</v>
      </c>
      <c r="J167" s="16" t="s">
        <v>683</v>
      </c>
      <c r="K167" s="16" t="s">
        <v>887</v>
      </c>
    </row>
    <row r="168" spans="1:11" ht="24">
      <c r="A168" s="8">
        <f t="shared" si="2"/>
        <v>166</v>
      </c>
      <c r="B168" s="8" t="s">
        <v>862</v>
      </c>
      <c r="C168" s="8" t="s">
        <v>665</v>
      </c>
      <c r="D168" s="16" t="s">
        <v>915</v>
      </c>
      <c r="E168" s="56" t="s">
        <v>916</v>
      </c>
      <c r="F168" s="8" t="s">
        <v>534</v>
      </c>
      <c r="G168" s="54">
        <v>46172</v>
      </c>
      <c r="H168" s="73">
        <v>0.97</v>
      </c>
      <c r="I168" s="90" t="s">
        <v>917</v>
      </c>
      <c r="J168" s="16" t="s">
        <v>683</v>
      </c>
      <c r="K168" s="16" t="s">
        <v>887</v>
      </c>
    </row>
    <row r="169" spans="1:11">
      <c r="A169" s="8">
        <f t="shared" si="2"/>
        <v>167</v>
      </c>
      <c r="B169" s="8" t="s">
        <v>862</v>
      </c>
      <c r="C169" s="8" t="s">
        <v>665</v>
      </c>
      <c r="D169" s="16" t="s">
        <v>918</v>
      </c>
      <c r="E169" s="56" t="s">
        <v>919</v>
      </c>
      <c r="F169" s="8" t="s">
        <v>534</v>
      </c>
      <c r="G169" s="54">
        <v>46142</v>
      </c>
      <c r="H169" s="69">
        <v>1</v>
      </c>
      <c r="I169" s="46" t="s">
        <v>920</v>
      </c>
      <c r="J169" s="16" t="s">
        <v>683</v>
      </c>
      <c r="K169" s="16" t="s">
        <v>887</v>
      </c>
    </row>
    <row r="170" spans="1:11">
      <c r="A170" s="8">
        <f t="shared" si="2"/>
        <v>168</v>
      </c>
      <c r="B170" s="8" t="s">
        <v>862</v>
      </c>
      <c r="C170" s="8" t="s">
        <v>665</v>
      </c>
      <c r="D170" s="16" t="s">
        <v>921</v>
      </c>
      <c r="E170" s="56" t="s">
        <v>922</v>
      </c>
      <c r="F170" s="8" t="s">
        <v>534</v>
      </c>
      <c r="G170" s="54">
        <v>46172</v>
      </c>
      <c r="H170" s="73">
        <v>0.73</v>
      </c>
      <c r="I170" s="8" t="s">
        <v>923</v>
      </c>
      <c r="J170" s="16" t="s">
        <v>683</v>
      </c>
      <c r="K170" s="16" t="s">
        <v>887</v>
      </c>
    </row>
    <row r="171" spans="1:11">
      <c r="A171" s="8">
        <f t="shared" si="2"/>
        <v>169</v>
      </c>
      <c r="B171" s="8" t="s">
        <v>862</v>
      </c>
      <c r="C171" s="8" t="s">
        <v>665</v>
      </c>
      <c r="D171" s="16" t="s">
        <v>924</v>
      </c>
      <c r="E171" s="56" t="s">
        <v>925</v>
      </c>
      <c r="F171" s="8" t="s">
        <v>534</v>
      </c>
      <c r="G171" s="54">
        <v>46172</v>
      </c>
      <c r="H171" s="73">
        <v>0.99</v>
      </c>
      <c r="I171" s="8" t="s">
        <v>926</v>
      </c>
      <c r="J171" s="16" t="s">
        <v>683</v>
      </c>
      <c r="K171" s="16" t="s">
        <v>887</v>
      </c>
    </row>
    <row r="172" spans="1:11">
      <c r="A172" s="8">
        <f t="shared" si="2"/>
        <v>170</v>
      </c>
      <c r="B172" s="8" t="s">
        <v>862</v>
      </c>
      <c r="C172" s="8" t="s">
        <v>665</v>
      </c>
      <c r="D172" s="16" t="s">
        <v>927</v>
      </c>
      <c r="E172" s="56" t="s">
        <v>928</v>
      </c>
      <c r="F172" s="8" t="s">
        <v>929</v>
      </c>
      <c r="G172" s="54">
        <v>46142</v>
      </c>
      <c r="H172" s="69">
        <v>1</v>
      </c>
      <c r="I172" s="46" t="s">
        <v>930</v>
      </c>
      <c r="J172" s="16" t="s">
        <v>683</v>
      </c>
      <c r="K172" s="16" t="s">
        <v>887</v>
      </c>
    </row>
    <row r="173" spans="1:11">
      <c r="A173" s="57">
        <f t="shared" si="2"/>
        <v>171</v>
      </c>
      <c r="B173" s="57" t="s">
        <v>862</v>
      </c>
      <c r="C173" s="57" t="s">
        <v>773</v>
      </c>
      <c r="D173" s="58" t="s">
        <v>931</v>
      </c>
      <c r="E173" s="59" t="s">
        <v>932</v>
      </c>
      <c r="F173" s="57" t="s">
        <v>933</v>
      </c>
      <c r="G173" s="68" t="s">
        <v>394</v>
      </c>
      <c r="H173" s="61">
        <v>1</v>
      </c>
      <c r="I173" s="86" t="s">
        <v>891</v>
      </c>
      <c r="J173" s="58" t="s">
        <v>683</v>
      </c>
      <c r="K173" s="58" t="s">
        <v>887</v>
      </c>
    </row>
    <row r="174" spans="1:11">
      <c r="A174" s="8">
        <f t="shared" si="2"/>
        <v>172</v>
      </c>
      <c r="B174" s="8" t="s">
        <v>862</v>
      </c>
      <c r="C174" s="8" t="s">
        <v>773</v>
      </c>
      <c r="D174" s="16" t="s">
        <v>934</v>
      </c>
      <c r="E174" s="56" t="s">
        <v>935</v>
      </c>
      <c r="F174" s="8" t="s">
        <v>534</v>
      </c>
      <c r="G174" s="54">
        <v>46143</v>
      </c>
      <c r="H174" s="69">
        <v>0</v>
      </c>
      <c r="I174" s="8" t="s">
        <v>936</v>
      </c>
      <c r="J174" s="16" t="s">
        <v>683</v>
      </c>
      <c r="K174" s="16" t="s">
        <v>887</v>
      </c>
    </row>
    <row r="175" spans="1:11">
      <c r="A175" s="46">
        <f t="shared" si="2"/>
        <v>173</v>
      </c>
      <c r="B175" s="46" t="s">
        <v>862</v>
      </c>
      <c r="C175" s="46" t="s">
        <v>541</v>
      </c>
      <c r="D175" s="77" t="s">
        <v>937</v>
      </c>
      <c r="E175" s="47" t="s">
        <v>3540</v>
      </c>
      <c r="F175" s="46" t="s">
        <v>534</v>
      </c>
      <c r="G175" s="54">
        <v>46113</v>
      </c>
      <c r="H175" s="73">
        <v>0.99</v>
      </c>
      <c r="I175" s="46" t="s">
        <v>939</v>
      </c>
      <c r="J175" s="16" t="s">
        <v>683</v>
      </c>
      <c r="K175" s="77"/>
    </row>
    <row r="176" spans="1:11">
      <c r="A176" s="46">
        <f t="shared" si="2"/>
        <v>174</v>
      </c>
      <c r="B176" s="46" t="s">
        <v>862</v>
      </c>
      <c r="C176" s="46" t="s">
        <v>541</v>
      </c>
      <c r="D176" s="77" t="s">
        <v>940</v>
      </c>
      <c r="E176" s="47" t="s">
        <v>3541</v>
      </c>
      <c r="F176" s="46" t="s">
        <v>534</v>
      </c>
      <c r="G176" s="54">
        <v>46113</v>
      </c>
      <c r="H176" s="73">
        <v>1</v>
      </c>
      <c r="I176" s="46" t="s">
        <v>914</v>
      </c>
      <c r="J176" s="16" t="s">
        <v>683</v>
      </c>
      <c r="K176" s="77"/>
    </row>
    <row r="177" spans="1:11">
      <c r="A177" s="46">
        <f t="shared" si="2"/>
        <v>175</v>
      </c>
      <c r="B177" s="46" t="s">
        <v>941</v>
      </c>
      <c r="C177" s="46" t="s">
        <v>463</v>
      </c>
      <c r="D177" s="77" t="s">
        <v>942</v>
      </c>
      <c r="E177" s="47" t="s">
        <v>3542</v>
      </c>
      <c r="F177" s="46" t="s">
        <v>943</v>
      </c>
      <c r="G177" s="54"/>
      <c r="H177" s="73">
        <v>0</v>
      </c>
      <c r="I177" s="46"/>
      <c r="J177" s="16" t="s">
        <v>944</v>
      </c>
      <c r="K177" s="16" t="s">
        <v>868</v>
      </c>
    </row>
    <row r="178" spans="1:11">
      <c r="A178" s="57">
        <f t="shared" si="2"/>
        <v>176</v>
      </c>
      <c r="B178" s="57" t="s">
        <v>945</v>
      </c>
      <c r="C178" s="57" t="s">
        <v>382</v>
      </c>
      <c r="D178" s="58" t="s">
        <v>946</v>
      </c>
      <c r="E178" s="59" t="s">
        <v>947</v>
      </c>
      <c r="F178" s="57"/>
      <c r="G178" s="60" t="s">
        <v>394</v>
      </c>
      <c r="H178" s="61">
        <v>1</v>
      </c>
      <c r="I178" s="88" t="s">
        <v>948</v>
      </c>
      <c r="J178" s="58" t="s">
        <v>409</v>
      </c>
      <c r="K178" s="58"/>
    </row>
    <row r="179" spans="1:11">
      <c r="A179" s="57">
        <f t="shared" si="2"/>
        <v>177</v>
      </c>
      <c r="B179" s="57" t="s">
        <v>945</v>
      </c>
      <c r="C179" s="57" t="s">
        <v>382</v>
      </c>
      <c r="D179" s="58" t="s">
        <v>949</v>
      </c>
      <c r="E179" s="59" t="s">
        <v>950</v>
      </c>
      <c r="F179" s="57"/>
      <c r="G179" s="60" t="s">
        <v>394</v>
      </c>
      <c r="H179" s="61">
        <v>1</v>
      </c>
      <c r="I179" s="57" t="s">
        <v>948</v>
      </c>
      <c r="J179" s="58" t="s">
        <v>409</v>
      </c>
      <c r="K179" s="58"/>
    </row>
    <row r="180" spans="1:11">
      <c r="A180" s="57">
        <f t="shared" si="2"/>
        <v>178</v>
      </c>
      <c r="B180" s="57" t="s">
        <v>945</v>
      </c>
      <c r="C180" s="57" t="s">
        <v>382</v>
      </c>
      <c r="D180" s="58" t="s">
        <v>951</v>
      </c>
      <c r="E180" s="59" t="s">
        <v>952</v>
      </c>
      <c r="F180" s="57"/>
      <c r="G180" s="60" t="s">
        <v>394</v>
      </c>
      <c r="H180" s="61">
        <v>1</v>
      </c>
      <c r="I180" s="57" t="s">
        <v>948</v>
      </c>
      <c r="J180" s="58" t="s">
        <v>409</v>
      </c>
      <c r="K180" s="58"/>
    </row>
    <row r="181" spans="1:11">
      <c r="A181" s="57">
        <f t="shared" si="2"/>
        <v>179</v>
      </c>
      <c r="B181" s="57" t="s">
        <v>945</v>
      </c>
      <c r="C181" s="57" t="s">
        <v>382</v>
      </c>
      <c r="D181" s="58" t="s">
        <v>953</v>
      </c>
      <c r="E181" s="59" t="s">
        <v>954</v>
      </c>
      <c r="F181" s="57"/>
      <c r="G181" s="60" t="s">
        <v>394</v>
      </c>
      <c r="H181" s="61">
        <v>1</v>
      </c>
      <c r="I181" s="88" t="s">
        <v>948</v>
      </c>
      <c r="J181" s="58" t="s">
        <v>409</v>
      </c>
      <c r="K181" s="58"/>
    </row>
    <row r="182" spans="1:11">
      <c r="A182" s="57">
        <f t="shared" si="2"/>
        <v>180</v>
      </c>
      <c r="B182" s="57" t="s">
        <v>945</v>
      </c>
      <c r="C182" s="57" t="s">
        <v>382</v>
      </c>
      <c r="D182" s="58" t="s">
        <v>955</v>
      </c>
      <c r="E182" s="59" t="s">
        <v>956</v>
      </c>
      <c r="F182" s="57"/>
      <c r="G182" s="60" t="s">
        <v>394</v>
      </c>
      <c r="H182" s="61">
        <v>1</v>
      </c>
      <c r="I182" s="88" t="s">
        <v>948</v>
      </c>
      <c r="J182" s="58" t="s">
        <v>409</v>
      </c>
      <c r="K182" s="58"/>
    </row>
    <row r="183" spans="1:11">
      <c r="A183" s="57">
        <f t="shared" si="2"/>
        <v>181</v>
      </c>
      <c r="B183" s="57" t="s">
        <v>945</v>
      </c>
      <c r="C183" s="57" t="s">
        <v>382</v>
      </c>
      <c r="D183" s="58" t="s">
        <v>395</v>
      </c>
      <c r="E183" s="59" t="s">
        <v>957</v>
      </c>
      <c r="F183" s="57"/>
      <c r="G183" s="60" t="s">
        <v>394</v>
      </c>
      <c r="H183" s="61">
        <v>1</v>
      </c>
      <c r="I183" s="57" t="s">
        <v>948</v>
      </c>
      <c r="J183" s="58" t="s">
        <v>409</v>
      </c>
      <c r="K183" s="58"/>
    </row>
    <row r="184" spans="1:11">
      <c r="A184" s="57">
        <f t="shared" si="2"/>
        <v>182</v>
      </c>
      <c r="B184" s="57" t="s">
        <v>945</v>
      </c>
      <c r="C184" s="57" t="s">
        <v>382</v>
      </c>
      <c r="D184" s="58" t="s">
        <v>399</v>
      </c>
      <c r="E184" s="59" t="s">
        <v>958</v>
      </c>
      <c r="F184" s="57"/>
      <c r="G184" s="60" t="s">
        <v>394</v>
      </c>
      <c r="H184" s="61">
        <v>1</v>
      </c>
      <c r="I184" s="57" t="s">
        <v>948</v>
      </c>
      <c r="J184" s="58" t="s">
        <v>409</v>
      </c>
      <c r="K184" s="58"/>
    </row>
    <row r="185" spans="1:11">
      <c r="A185" s="57">
        <f t="shared" si="2"/>
        <v>183</v>
      </c>
      <c r="B185" s="57" t="s">
        <v>945</v>
      </c>
      <c r="C185" s="57" t="s">
        <v>382</v>
      </c>
      <c r="D185" s="58" t="s">
        <v>959</v>
      </c>
      <c r="E185" s="59" t="s">
        <v>960</v>
      </c>
      <c r="F185" s="57"/>
      <c r="G185" s="60" t="s">
        <v>394</v>
      </c>
      <c r="H185" s="61">
        <v>1</v>
      </c>
      <c r="I185" s="57" t="s">
        <v>948</v>
      </c>
      <c r="J185" s="58" t="s">
        <v>409</v>
      </c>
      <c r="K185" s="58"/>
    </row>
    <row r="186" spans="1:11">
      <c r="A186" s="57">
        <f t="shared" si="2"/>
        <v>184</v>
      </c>
      <c r="B186" s="57" t="s">
        <v>945</v>
      </c>
      <c r="C186" s="57" t="s">
        <v>382</v>
      </c>
      <c r="D186" s="58" t="s">
        <v>404</v>
      </c>
      <c r="E186" s="59" t="s">
        <v>961</v>
      </c>
      <c r="F186" s="57"/>
      <c r="G186" s="60" t="s">
        <v>394</v>
      </c>
      <c r="H186" s="61">
        <v>1</v>
      </c>
      <c r="I186" s="88" t="s">
        <v>948</v>
      </c>
      <c r="J186" s="58" t="s">
        <v>409</v>
      </c>
      <c r="K186" s="58"/>
    </row>
    <row r="187" spans="1:11">
      <c r="A187" s="8">
        <f t="shared" si="2"/>
        <v>185</v>
      </c>
      <c r="B187" s="8" t="s">
        <v>945</v>
      </c>
      <c r="C187" s="8" t="s">
        <v>382</v>
      </c>
      <c r="D187" s="16" t="s">
        <v>406</v>
      </c>
      <c r="E187" s="56" t="s">
        <v>962</v>
      </c>
      <c r="F187" s="8" t="s">
        <v>703</v>
      </c>
      <c r="G187" s="70">
        <v>46203</v>
      </c>
      <c r="H187" s="67">
        <v>1</v>
      </c>
      <c r="I187" s="8" t="s">
        <v>3413</v>
      </c>
      <c r="J187" s="16" t="s">
        <v>868</v>
      </c>
      <c r="K187" s="16" t="s">
        <v>409</v>
      </c>
    </row>
    <row r="188" spans="1:11">
      <c r="A188" s="57">
        <f t="shared" si="2"/>
        <v>186</v>
      </c>
      <c r="B188" s="57" t="s">
        <v>945</v>
      </c>
      <c r="C188" s="57" t="s">
        <v>382</v>
      </c>
      <c r="D188" s="58" t="s">
        <v>963</v>
      </c>
      <c r="E188" s="59" t="s">
        <v>411</v>
      </c>
      <c r="F188" s="57"/>
      <c r="G188" s="60" t="s">
        <v>394</v>
      </c>
      <c r="H188" s="61">
        <v>1</v>
      </c>
      <c r="I188" s="57" t="s">
        <v>948</v>
      </c>
      <c r="J188" s="58" t="s">
        <v>409</v>
      </c>
      <c r="K188" s="58"/>
    </row>
    <row r="189" spans="1:11">
      <c r="A189" s="57">
        <f t="shared" si="2"/>
        <v>187</v>
      </c>
      <c r="B189" s="57" t="s">
        <v>945</v>
      </c>
      <c r="C189" s="57" t="s">
        <v>382</v>
      </c>
      <c r="D189" s="58" t="s">
        <v>964</v>
      </c>
      <c r="E189" s="59" t="s">
        <v>417</v>
      </c>
      <c r="F189" s="57"/>
      <c r="G189" s="60" t="s">
        <v>394</v>
      </c>
      <c r="H189" s="61">
        <v>1</v>
      </c>
      <c r="I189" s="57" t="s">
        <v>948</v>
      </c>
      <c r="J189" s="58" t="s">
        <v>409</v>
      </c>
      <c r="K189" s="58"/>
    </row>
    <row r="190" spans="1:11">
      <c r="A190" s="57">
        <f t="shared" si="2"/>
        <v>188</v>
      </c>
      <c r="B190" s="57" t="s">
        <v>945</v>
      </c>
      <c r="C190" s="57" t="s">
        <v>382</v>
      </c>
      <c r="D190" s="58" t="s">
        <v>965</v>
      </c>
      <c r="E190" s="59" t="s">
        <v>428</v>
      </c>
      <c r="F190" s="57"/>
      <c r="G190" s="60" t="s">
        <v>394</v>
      </c>
      <c r="H190" s="61">
        <v>1</v>
      </c>
      <c r="I190" s="57" t="s">
        <v>948</v>
      </c>
      <c r="J190" s="58" t="s">
        <v>409</v>
      </c>
      <c r="K190" s="58"/>
    </row>
    <row r="191" spans="1:11">
      <c r="A191" s="57">
        <f t="shared" si="2"/>
        <v>189</v>
      </c>
      <c r="B191" s="57" t="s">
        <v>945</v>
      </c>
      <c r="C191" s="57" t="s">
        <v>382</v>
      </c>
      <c r="D191" s="58" t="s">
        <v>966</v>
      </c>
      <c r="E191" s="59" t="s">
        <v>967</v>
      </c>
      <c r="F191" s="57"/>
      <c r="G191" s="60" t="s">
        <v>394</v>
      </c>
      <c r="H191" s="61">
        <v>1</v>
      </c>
      <c r="I191" s="57" t="s">
        <v>948</v>
      </c>
      <c r="J191" s="58" t="s">
        <v>409</v>
      </c>
      <c r="K191" s="58"/>
    </row>
    <row r="192" spans="1:11">
      <c r="A192" s="57">
        <f t="shared" si="2"/>
        <v>190</v>
      </c>
      <c r="B192" s="57" t="s">
        <v>945</v>
      </c>
      <c r="C192" s="57" t="s">
        <v>382</v>
      </c>
      <c r="D192" s="58" t="s">
        <v>418</v>
      </c>
      <c r="E192" s="59" t="s">
        <v>968</v>
      </c>
      <c r="F192" s="57"/>
      <c r="G192" s="60" t="s">
        <v>394</v>
      </c>
      <c r="H192" s="61">
        <v>1</v>
      </c>
      <c r="I192" s="57" t="s">
        <v>948</v>
      </c>
      <c r="J192" s="58" t="s">
        <v>409</v>
      </c>
      <c r="K192" s="58"/>
    </row>
    <row r="193" spans="1:11">
      <c r="A193" s="57">
        <f t="shared" si="2"/>
        <v>191</v>
      </c>
      <c r="B193" s="57" t="s">
        <v>945</v>
      </c>
      <c r="C193" s="57" t="s">
        <v>382</v>
      </c>
      <c r="D193" s="58" t="s">
        <v>421</v>
      </c>
      <c r="E193" s="59" t="s">
        <v>969</v>
      </c>
      <c r="F193" s="57"/>
      <c r="G193" s="60" t="s">
        <v>394</v>
      </c>
      <c r="H193" s="61">
        <v>1</v>
      </c>
      <c r="I193" s="57" t="s">
        <v>948</v>
      </c>
      <c r="J193" s="58" t="s">
        <v>409</v>
      </c>
      <c r="K193" s="58"/>
    </row>
    <row r="194" spans="1:11">
      <c r="A194" s="57">
        <f t="shared" si="2"/>
        <v>192</v>
      </c>
      <c r="B194" s="57" t="s">
        <v>945</v>
      </c>
      <c r="C194" s="57" t="s">
        <v>382</v>
      </c>
      <c r="D194" s="58" t="s">
        <v>425</v>
      </c>
      <c r="E194" s="59" t="s">
        <v>443</v>
      </c>
      <c r="F194" s="57"/>
      <c r="G194" s="60" t="s">
        <v>394</v>
      </c>
      <c r="H194" s="61">
        <v>1</v>
      </c>
      <c r="I194" s="57" t="s">
        <v>948</v>
      </c>
      <c r="J194" s="58" t="s">
        <v>409</v>
      </c>
      <c r="K194" s="58"/>
    </row>
    <row r="195" spans="1:11">
      <c r="A195" s="57">
        <f t="shared" si="2"/>
        <v>193</v>
      </c>
      <c r="B195" s="57" t="s">
        <v>945</v>
      </c>
      <c r="C195" s="57" t="s">
        <v>382</v>
      </c>
      <c r="D195" s="58" t="s">
        <v>427</v>
      </c>
      <c r="E195" s="59" t="s">
        <v>970</v>
      </c>
      <c r="F195" s="57"/>
      <c r="G195" s="60" t="s">
        <v>394</v>
      </c>
      <c r="H195" s="61">
        <v>1</v>
      </c>
      <c r="I195" s="57" t="s">
        <v>948</v>
      </c>
      <c r="J195" s="58" t="s">
        <v>409</v>
      </c>
      <c r="K195" s="58"/>
    </row>
    <row r="196" spans="1:11">
      <c r="A196" s="57">
        <f t="shared" si="2"/>
        <v>194</v>
      </c>
      <c r="B196" s="57" t="s">
        <v>945</v>
      </c>
      <c r="C196" s="57" t="s">
        <v>382</v>
      </c>
      <c r="D196" s="58" t="s">
        <v>431</v>
      </c>
      <c r="E196" s="59" t="s">
        <v>971</v>
      </c>
      <c r="F196" s="57"/>
      <c r="G196" s="60" t="s">
        <v>394</v>
      </c>
      <c r="H196" s="61">
        <v>1</v>
      </c>
      <c r="I196" s="57" t="s">
        <v>948</v>
      </c>
      <c r="J196" s="58" t="s">
        <v>409</v>
      </c>
      <c r="K196" s="58"/>
    </row>
    <row r="197" spans="1:11">
      <c r="A197" s="57">
        <f t="shared" si="2"/>
        <v>195</v>
      </c>
      <c r="B197" s="57" t="s">
        <v>945</v>
      </c>
      <c r="C197" s="57" t="s">
        <v>382</v>
      </c>
      <c r="D197" s="58" t="s">
        <v>972</v>
      </c>
      <c r="E197" s="59" t="s">
        <v>973</v>
      </c>
      <c r="F197" s="57"/>
      <c r="G197" s="60" t="s">
        <v>394</v>
      </c>
      <c r="H197" s="61">
        <v>1</v>
      </c>
      <c r="I197" s="57" t="s">
        <v>948</v>
      </c>
      <c r="J197" s="58" t="s">
        <v>409</v>
      </c>
      <c r="K197" s="58"/>
    </row>
    <row r="198" spans="1:11">
      <c r="A198" s="57">
        <f t="shared" si="2"/>
        <v>196</v>
      </c>
      <c r="B198" s="57" t="s">
        <v>945</v>
      </c>
      <c r="C198" s="57" t="s">
        <v>463</v>
      </c>
      <c r="D198" s="58" t="s">
        <v>974</v>
      </c>
      <c r="E198" s="59" t="s">
        <v>975</v>
      </c>
      <c r="F198" s="57"/>
      <c r="G198" s="60" t="s">
        <v>394</v>
      </c>
      <c r="H198" s="61">
        <v>1</v>
      </c>
      <c r="I198" s="57" t="s">
        <v>948</v>
      </c>
      <c r="J198" s="58" t="s">
        <v>470</v>
      </c>
      <c r="K198" s="58"/>
    </row>
    <row r="199" spans="1:11">
      <c r="A199" s="57">
        <f t="shared" si="2"/>
        <v>197</v>
      </c>
      <c r="B199" s="57" t="s">
        <v>945</v>
      </c>
      <c r="C199" s="57" t="s">
        <v>463</v>
      </c>
      <c r="D199" s="58" t="s">
        <v>976</v>
      </c>
      <c r="E199" s="59" t="s">
        <v>977</v>
      </c>
      <c r="F199" s="57"/>
      <c r="G199" s="60" t="s">
        <v>394</v>
      </c>
      <c r="H199" s="61">
        <v>1</v>
      </c>
      <c r="I199" s="57" t="s">
        <v>948</v>
      </c>
      <c r="J199" s="58" t="s">
        <v>470</v>
      </c>
      <c r="K199" s="58"/>
    </row>
    <row r="200" spans="1:11">
      <c r="A200" s="57">
        <f t="shared" si="2"/>
        <v>198</v>
      </c>
      <c r="B200" s="57" t="s">
        <v>945</v>
      </c>
      <c r="C200" s="57" t="s">
        <v>463</v>
      </c>
      <c r="D200" s="58" t="s">
        <v>978</v>
      </c>
      <c r="E200" s="59" t="s">
        <v>979</v>
      </c>
      <c r="F200" s="57"/>
      <c r="G200" s="60" t="s">
        <v>394</v>
      </c>
      <c r="H200" s="61">
        <v>1</v>
      </c>
      <c r="I200" s="57" t="s">
        <v>948</v>
      </c>
      <c r="J200" s="58" t="s">
        <v>470</v>
      </c>
      <c r="K200" s="58"/>
    </row>
    <row r="201" spans="1:11">
      <c r="A201" s="57">
        <f t="shared" si="2"/>
        <v>199</v>
      </c>
      <c r="B201" s="57" t="s">
        <v>945</v>
      </c>
      <c r="C201" s="57" t="s">
        <v>463</v>
      </c>
      <c r="D201" s="58" t="s">
        <v>980</v>
      </c>
      <c r="E201" s="59" t="s">
        <v>981</v>
      </c>
      <c r="F201" s="57"/>
      <c r="G201" s="60" t="s">
        <v>394</v>
      </c>
      <c r="H201" s="61">
        <v>1</v>
      </c>
      <c r="I201" s="57" t="s">
        <v>948</v>
      </c>
      <c r="J201" s="58" t="s">
        <v>470</v>
      </c>
      <c r="K201" s="58"/>
    </row>
    <row r="202" spans="1:11">
      <c r="A202" s="57">
        <f t="shared" ref="A202:A265" si="3">ROW()-2</f>
        <v>200</v>
      </c>
      <c r="B202" s="57" t="s">
        <v>945</v>
      </c>
      <c r="C202" s="57" t="s">
        <v>463</v>
      </c>
      <c r="D202" s="58" t="s">
        <v>982</v>
      </c>
      <c r="E202" s="59" t="s">
        <v>983</v>
      </c>
      <c r="F202" s="57"/>
      <c r="G202" s="60" t="s">
        <v>394</v>
      </c>
      <c r="H202" s="61">
        <v>1</v>
      </c>
      <c r="I202" s="57" t="s">
        <v>948</v>
      </c>
      <c r="J202" s="58" t="s">
        <v>470</v>
      </c>
      <c r="K202" s="58"/>
    </row>
    <row r="203" spans="1:11">
      <c r="A203" s="57">
        <f t="shared" si="3"/>
        <v>201</v>
      </c>
      <c r="B203" s="57" t="s">
        <v>945</v>
      </c>
      <c r="C203" s="57" t="s">
        <v>463</v>
      </c>
      <c r="D203" s="58" t="s">
        <v>482</v>
      </c>
      <c r="E203" s="59" t="s">
        <v>984</v>
      </c>
      <c r="F203" s="57"/>
      <c r="G203" s="60" t="s">
        <v>394</v>
      </c>
      <c r="H203" s="61">
        <v>1</v>
      </c>
      <c r="I203" s="57" t="s">
        <v>948</v>
      </c>
      <c r="J203" s="58" t="s">
        <v>470</v>
      </c>
      <c r="K203" s="58"/>
    </row>
    <row r="204" spans="1:11">
      <c r="A204" s="57">
        <f t="shared" si="3"/>
        <v>202</v>
      </c>
      <c r="B204" s="57" t="s">
        <v>945</v>
      </c>
      <c r="C204" s="57" t="s">
        <v>463</v>
      </c>
      <c r="D204" s="58" t="s">
        <v>485</v>
      </c>
      <c r="E204" s="59" t="s">
        <v>985</v>
      </c>
      <c r="F204" s="57"/>
      <c r="G204" s="60" t="s">
        <v>394</v>
      </c>
      <c r="H204" s="61">
        <v>1</v>
      </c>
      <c r="I204" s="57" t="s">
        <v>948</v>
      </c>
      <c r="J204" s="58" t="s">
        <v>470</v>
      </c>
      <c r="K204" s="58"/>
    </row>
    <row r="205" spans="1:11">
      <c r="A205" s="57">
        <f t="shared" si="3"/>
        <v>203</v>
      </c>
      <c r="B205" s="57" t="s">
        <v>945</v>
      </c>
      <c r="C205" s="57" t="s">
        <v>463</v>
      </c>
      <c r="D205" s="58" t="s">
        <v>491</v>
      </c>
      <c r="E205" s="59" t="s">
        <v>986</v>
      </c>
      <c r="F205" s="57"/>
      <c r="G205" s="60" t="s">
        <v>394</v>
      </c>
      <c r="H205" s="61">
        <v>1</v>
      </c>
      <c r="I205" s="57" t="s">
        <v>948</v>
      </c>
      <c r="J205" s="58" t="s">
        <v>470</v>
      </c>
      <c r="K205" s="58"/>
    </row>
    <row r="206" spans="1:11">
      <c r="A206" s="57">
        <f t="shared" si="3"/>
        <v>204</v>
      </c>
      <c r="B206" s="57" t="s">
        <v>945</v>
      </c>
      <c r="C206" s="57" t="s">
        <v>463</v>
      </c>
      <c r="D206" s="58" t="s">
        <v>987</v>
      </c>
      <c r="E206" s="59" t="s">
        <v>988</v>
      </c>
      <c r="F206" s="57"/>
      <c r="G206" s="60" t="s">
        <v>394</v>
      </c>
      <c r="H206" s="61">
        <v>1</v>
      </c>
      <c r="I206" s="57" t="s">
        <v>948</v>
      </c>
      <c r="J206" s="58" t="s">
        <v>470</v>
      </c>
      <c r="K206" s="58"/>
    </row>
    <row r="207" spans="1:11">
      <c r="A207" s="57">
        <f t="shared" si="3"/>
        <v>205</v>
      </c>
      <c r="B207" s="57" t="s">
        <v>945</v>
      </c>
      <c r="C207" s="57" t="s">
        <v>463</v>
      </c>
      <c r="D207" s="58" t="s">
        <v>989</v>
      </c>
      <c r="E207" s="59" t="s">
        <v>990</v>
      </c>
      <c r="F207" s="57"/>
      <c r="G207" s="60" t="s">
        <v>394</v>
      </c>
      <c r="H207" s="61">
        <v>1</v>
      </c>
      <c r="I207" s="57" t="s">
        <v>948</v>
      </c>
      <c r="J207" s="58" t="s">
        <v>470</v>
      </c>
      <c r="K207" s="58"/>
    </row>
    <row r="208" spans="1:11">
      <c r="A208" s="57">
        <f t="shared" si="3"/>
        <v>206</v>
      </c>
      <c r="B208" s="57" t="s">
        <v>945</v>
      </c>
      <c r="C208" s="57" t="s">
        <v>463</v>
      </c>
      <c r="D208" s="58" t="s">
        <v>991</v>
      </c>
      <c r="E208" s="59" t="s">
        <v>992</v>
      </c>
      <c r="F208" s="57"/>
      <c r="G208" s="60" t="s">
        <v>394</v>
      </c>
      <c r="H208" s="61">
        <v>1</v>
      </c>
      <c r="I208" s="57" t="s">
        <v>948</v>
      </c>
      <c r="J208" s="58" t="s">
        <v>470</v>
      </c>
      <c r="K208" s="58"/>
    </row>
    <row r="209" spans="1:11">
      <c r="A209" s="57">
        <f t="shared" si="3"/>
        <v>207</v>
      </c>
      <c r="B209" s="57" t="s">
        <v>945</v>
      </c>
      <c r="C209" s="57" t="s">
        <v>463</v>
      </c>
      <c r="D209" s="58" t="s">
        <v>993</v>
      </c>
      <c r="E209" s="59" t="s">
        <v>994</v>
      </c>
      <c r="F209" s="57"/>
      <c r="G209" s="60" t="s">
        <v>394</v>
      </c>
      <c r="H209" s="61">
        <v>1</v>
      </c>
      <c r="I209" s="57" t="s">
        <v>948</v>
      </c>
      <c r="J209" s="58" t="s">
        <v>470</v>
      </c>
      <c r="K209" s="58"/>
    </row>
    <row r="210" spans="1:11">
      <c r="A210" s="57">
        <f t="shared" si="3"/>
        <v>208</v>
      </c>
      <c r="B210" s="57" t="s">
        <v>945</v>
      </c>
      <c r="C210" s="57" t="s">
        <v>463</v>
      </c>
      <c r="D210" s="58" t="s">
        <v>995</v>
      </c>
      <c r="E210" s="59" t="s">
        <v>996</v>
      </c>
      <c r="F210" s="57"/>
      <c r="G210" s="60" t="s">
        <v>394</v>
      </c>
      <c r="H210" s="61">
        <v>1</v>
      </c>
      <c r="I210" s="57" t="s">
        <v>948</v>
      </c>
      <c r="J210" s="58" t="s">
        <v>470</v>
      </c>
      <c r="K210" s="58"/>
    </row>
    <row r="211" spans="1:11">
      <c r="A211" s="57">
        <f t="shared" si="3"/>
        <v>209</v>
      </c>
      <c r="B211" s="57" t="s">
        <v>945</v>
      </c>
      <c r="C211" s="57" t="s">
        <v>463</v>
      </c>
      <c r="D211" s="58" t="s">
        <v>515</v>
      </c>
      <c r="E211" s="59" t="s">
        <v>997</v>
      </c>
      <c r="F211" s="57"/>
      <c r="G211" s="60" t="s">
        <v>394</v>
      </c>
      <c r="H211" s="61">
        <v>1</v>
      </c>
      <c r="I211" s="57" t="s">
        <v>948</v>
      </c>
      <c r="J211" s="58" t="s">
        <v>470</v>
      </c>
      <c r="K211" s="58"/>
    </row>
    <row r="212" spans="1:11">
      <c r="A212" s="57">
        <f t="shared" si="3"/>
        <v>210</v>
      </c>
      <c r="B212" s="57" t="s">
        <v>945</v>
      </c>
      <c r="C212" s="57" t="s">
        <v>463</v>
      </c>
      <c r="D212" s="58" t="s">
        <v>519</v>
      </c>
      <c r="E212" s="59" t="s">
        <v>998</v>
      </c>
      <c r="F212" s="57"/>
      <c r="G212" s="60" t="s">
        <v>394</v>
      </c>
      <c r="H212" s="61">
        <v>1</v>
      </c>
      <c r="I212" s="57" t="s">
        <v>948</v>
      </c>
      <c r="J212" s="58" t="s">
        <v>470</v>
      </c>
      <c r="K212" s="58"/>
    </row>
    <row r="213" spans="1:11">
      <c r="A213" s="57">
        <f t="shared" si="3"/>
        <v>211</v>
      </c>
      <c r="B213" s="57" t="s">
        <v>945</v>
      </c>
      <c r="C213" s="57" t="s">
        <v>463</v>
      </c>
      <c r="D213" s="58" t="s">
        <v>999</v>
      </c>
      <c r="E213" s="59" t="s">
        <v>1000</v>
      </c>
      <c r="F213" s="57"/>
      <c r="G213" s="60" t="s">
        <v>394</v>
      </c>
      <c r="H213" s="61">
        <v>1</v>
      </c>
      <c r="I213" s="57" t="s">
        <v>948</v>
      </c>
      <c r="J213" s="58" t="s">
        <v>470</v>
      </c>
      <c r="K213" s="58"/>
    </row>
    <row r="214" spans="1:11">
      <c r="A214" s="57">
        <f t="shared" si="3"/>
        <v>212</v>
      </c>
      <c r="B214" s="57" t="s">
        <v>945</v>
      </c>
      <c r="C214" s="57" t="s">
        <v>463</v>
      </c>
      <c r="D214" s="58" t="s">
        <v>1001</v>
      </c>
      <c r="E214" s="59" t="s">
        <v>520</v>
      </c>
      <c r="F214" s="57"/>
      <c r="G214" s="60" t="s">
        <v>394</v>
      </c>
      <c r="H214" s="61">
        <v>1</v>
      </c>
      <c r="I214" s="57" t="s">
        <v>948</v>
      </c>
      <c r="J214" s="58" t="s">
        <v>470</v>
      </c>
      <c r="K214" s="58"/>
    </row>
    <row r="215" spans="1:11">
      <c r="A215" s="57">
        <f t="shared" si="3"/>
        <v>213</v>
      </c>
      <c r="B215" s="57" t="s">
        <v>945</v>
      </c>
      <c r="C215" s="57" t="s">
        <v>463</v>
      </c>
      <c r="D215" s="58" t="s">
        <v>1002</v>
      </c>
      <c r="E215" s="59" t="s">
        <v>1003</v>
      </c>
      <c r="F215" s="57"/>
      <c r="G215" s="60" t="s">
        <v>394</v>
      </c>
      <c r="H215" s="61">
        <v>1</v>
      </c>
      <c r="I215" s="57" t="s">
        <v>948</v>
      </c>
      <c r="J215" s="58" t="s">
        <v>470</v>
      </c>
      <c r="K215" s="58"/>
    </row>
    <row r="216" spans="1:11">
      <c r="A216" s="57">
        <f t="shared" si="3"/>
        <v>214</v>
      </c>
      <c r="B216" s="57" t="s">
        <v>945</v>
      </c>
      <c r="C216" s="57" t="s">
        <v>463</v>
      </c>
      <c r="D216" s="58" t="s">
        <v>1004</v>
      </c>
      <c r="E216" s="59" t="s">
        <v>1005</v>
      </c>
      <c r="F216" s="57"/>
      <c r="G216" s="60" t="s">
        <v>394</v>
      </c>
      <c r="H216" s="61">
        <v>1</v>
      </c>
      <c r="I216" s="57" t="s">
        <v>948</v>
      </c>
      <c r="J216" s="58" t="s">
        <v>470</v>
      </c>
      <c r="K216" s="58"/>
    </row>
    <row r="217" spans="1:11">
      <c r="A217" s="57">
        <f t="shared" si="3"/>
        <v>215</v>
      </c>
      <c r="B217" s="57" t="s">
        <v>945</v>
      </c>
      <c r="C217" s="57" t="s">
        <v>463</v>
      </c>
      <c r="D217" s="58" t="s">
        <v>1006</v>
      </c>
      <c r="E217" s="59" t="s">
        <v>1007</v>
      </c>
      <c r="F217" s="57"/>
      <c r="G217" s="60" t="s">
        <v>394</v>
      </c>
      <c r="H217" s="61">
        <v>1</v>
      </c>
      <c r="I217" s="57" t="s">
        <v>948</v>
      </c>
      <c r="J217" s="58" t="s">
        <v>470</v>
      </c>
      <c r="K217" s="58"/>
    </row>
    <row r="218" spans="1:11">
      <c r="A218" s="57">
        <f t="shared" si="3"/>
        <v>216</v>
      </c>
      <c r="B218" s="57" t="s">
        <v>945</v>
      </c>
      <c r="C218" s="57" t="s">
        <v>463</v>
      </c>
      <c r="D218" s="58" t="s">
        <v>1008</v>
      </c>
      <c r="E218" s="59" t="s">
        <v>880</v>
      </c>
      <c r="F218" s="57"/>
      <c r="G218" s="60" t="s">
        <v>394</v>
      </c>
      <c r="H218" s="61">
        <v>1</v>
      </c>
      <c r="I218" s="57" t="s">
        <v>948</v>
      </c>
      <c r="J218" s="58" t="s">
        <v>470</v>
      </c>
      <c r="K218" s="58"/>
    </row>
    <row r="219" spans="1:11">
      <c r="A219" s="57">
        <f t="shared" si="3"/>
        <v>217</v>
      </c>
      <c r="B219" s="57" t="s">
        <v>945</v>
      </c>
      <c r="C219" s="57" t="s">
        <v>463</v>
      </c>
      <c r="D219" s="58" t="s">
        <v>1009</v>
      </c>
      <c r="E219" s="59" t="s">
        <v>1010</v>
      </c>
      <c r="F219" s="57"/>
      <c r="G219" s="60" t="s">
        <v>394</v>
      </c>
      <c r="H219" s="61">
        <v>1</v>
      </c>
      <c r="I219" s="57" t="s">
        <v>948</v>
      </c>
      <c r="J219" s="58" t="s">
        <v>470</v>
      </c>
      <c r="K219" s="58"/>
    </row>
    <row r="220" spans="1:11">
      <c r="A220" s="57">
        <f t="shared" si="3"/>
        <v>218</v>
      </c>
      <c r="B220" s="57" t="s">
        <v>945</v>
      </c>
      <c r="C220" s="57" t="s">
        <v>463</v>
      </c>
      <c r="D220" s="58" t="s">
        <v>1011</v>
      </c>
      <c r="E220" s="59" t="s">
        <v>1012</v>
      </c>
      <c r="F220" s="57"/>
      <c r="G220" s="60" t="s">
        <v>394</v>
      </c>
      <c r="H220" s="61">
        <v>1</v>
      </c>
      <c r="I220" s="57" t="s">
        <v>948</v>
      </c>
      <c r="J220" s="58" t="s">
        <v>470</v>
      </c>
      <c r="K220" s="58"/>
    </row>
    <row r="221" spans="1:11">
      <c r="A221" s="57">
        <f t="shared" si="3"/>
        <v>219</v>
      </c>
      <c r="B221" s="57" t="s">
        <v>945</v>
      </c>
      <c r="C221" s="57" t="s">
        <v>463</v>
      </c>
      <c r="D221" s="58" t="s">
        <v>1013</v>
      </c>
      <c r="E221" s="59" t="s">
        <v>1014</v>
      </c>
      <c r="F221" s="57"/>
      <c r="G221" s="60" t="s">
        <v>394</v>
      </c>
      <c r="H221" s="61">
        <v>1</v>
      </c>
      <c r="I221" s="57" t="s">
        <v>948</v>
      </c>
      <c r="J221" s="58" t="s">
        <v>470</v>
      </c>
      <c r="K221" s="58"/>
    </row>
    <row r="222" spans="1:11">
      <c r="A222" s="57">
        <f t="shared" si="3"/>
        <v>220</v>
      </c>
      <c r="B222" s="57" t="s">
        <v>945</v>
      </c>
      <c r="C222" s="57" t="s">
        <v>463</v>
      </c>
      <c r="D222" s="58" t="s">
        <v>1015</v>
      </c>
      <c r="E222" s="59" t="s">
        <v>1016</v>
      </c>
      <c r="F222" s="57"/>
      <c r="G222" s="60" t="s">
        <v>394</v>
      </c>
      <c r="H222" s="61">
        <v>1</v>
      </c>
      <c r="I222" s="57" t="s">
        <v>948</v>
      </c>
      <c r="J222" s="58" t="s">
        <v>470</v>
      </c>
      <c r="K222" s="58"/>
    </row>
    <row r="223" spans="1:11">
      <c r="A223" s="57">
        <f t="shared" si="3"/>
        <v>221</v>
      </c>
      <c r="B223" s="57" t="s">
        <v>945</v>
      </c>
      <c r="C223" s="57" t="s">
        <v>463</v>
      </c>
      <c r="D223" s="58" t="s">
        <v>1017</v>
      </c>
      <c r="E223" s="59" t="s">
        <v>1018</v>
      </c>
      <c r="F223" s="57"/>
      <c r="G223" s="60" t="s">
        <v>394</v>
      </c>
      <c r="H223" s="61">
        <v>1</v>
      </c>
      <c r="I223" s="57" t="s">
        <v>948</v>
      </c>
      <c r="J223" s="58" t="s">
        <v>470</v>
      </c>
      <c r="K223" s="58"/>
    </row>
    <row r="224" spans="1:11">
      <c r="A224" s="57">
        <f t="shared" si="3"/>
        <v>222</v>
      </c>
      <c r="B224" s="57" t="s">
        <v>945</v>
      </c>
      <c r="C224" s="57" t="s">
        <v>546</v>
      </c>
      <c r="D224" s="58" t="s">
        <v>1019</v>
      </c>
      <c r="E224" s="59" t="s">
        <v>1020</v>
      </c>
      <c r="F224" s="57"/>
      <c r="G224" s="60" t="s">
        <v>394</v>
      </c>
      <c r="H224" s="61">
        <v>1</v>
      </c>
      <c r="I224" s="57" t="s">
        <v>948</v>
      </c>
      <c r="J224" s="58" t="s">
        <v>470</v>
      </c>
      <c r="K224" s="58"/>
    </row>
    <row r="225" spans="1:11">
      <c r="A225" s="57">
        <f t="shared" si="3"/>
        <v>223</v>
      </c>
      <c r="B225" s="57" t="s">
        <v>945</v>
      </c>
      <c r="C225" s="57" t="s">
        <v>546</v>
      </c>
      <c r="D225" s="58" t="s">
        <v>1021</v>
      </c>
      <c r="E225" s="59" t="s">
        <v>1022</v>
      </c>
      <c r="F225" s="57"/>
      <c r="G225" s="60" t="s">
        <v>394</v>
      </c>
      <c r="H225" s="61">
        <v>1</v>
      </c>
      <c r="I225" s="57" t="s">
        <v>948</v>
      </c>
      <c r="J225" s="58" t="s">
        <v>470</v>
      </c>
      <c r="K225" s="58"/>
    </row>
    <row r="226" spans="1:11">
      <c r="A226" s="57">
        <f t="shared" si="3"/>
        <v>224</v>
      </c>
      <c r="B226" s="57" t="s">
        <v>945</v>
      </c>
      <c r="C226" s="57" t="s">
        <v>546</v>
      </c>
      <c r="D226" s="58" t="s">
        <v>1023</v>
      </c>
      <c r="E226" s="59" t="s">
        <v>1024</v>
      </c>
      <c r="F226" s="57"/>
      <c r="G226" s="60" t="s">
        <v>394</v>
      </c>
      <c r="H226" s="61">
        <v>1</v>
      </c>
      <c r="I226" s="57" t="s">
        <v>948</v>
      </c>
      <c r="J226" s="58" t="s">
        <v>470</v>
      </c>
      <c r="K226" s="58"/>
    </row>
    <row r="227" spans="1:11">
      <c r="A227" s="57">
        <f t="shared" si="3"/>
        <v>225</v>
      </c>
      <c r="B227" s="57" t="s">
        <v>945</v>
      </c>
      <c r="C227" s="57" t="s">
        <v>546</v>
      </c>
      <c r="D227" s="58" t="s">
        <v>1025</v>
      </c>
      <c r="E227" s="59" t="s">
        <v>1026</v>
      </c>
      <c r="F227" s="57"/>
      <c r="G227" s="60" t="s">
        <v>394</v>
      </c>
      <c r="H227" s="61">
        <v>1</v>
      </c>
      <c r="I227" s="57" t="s">
        <v>948</v>
      </c>
      <c r="J227" s="58" t="s">
        <v>470</v>
      </c>
      <c r="K227" s="58"/>
    </row>
    <row r="228" spans="1:11">
      <c r="A228" s="57">
        <f t="shared" si="3"/>
        <v>226</v>
      </c>
      <c r="B228" s="57" t="s">
        <v>945</v>
      </c>
      <c r="C228" s="57" t="s">
        <v>546</v>
      </c>
      <c r="D228" s="58" t="s">
        <v>1027</v>
      </c>
      <c r="E228" s="59" t="s">
        <v>644</v>
      </c>
      <c r="F228" s="57"/>
      <c r="G228" s="60" t="s">
        <v>394</v>
      </c>
      <c r="H228" s="61">
        <v>1</v>
      </c>
      <c r="I228" s="57" t="s">
        <v>948</v>
      </c>
      <c r="J228" s="58" t="s">
        <v>470</v>
      </c>
      <c r="K228" s="58"/>
    </row>
    <row r="229" spans="1:11">
      <c r="A229" s="57">
        <f t="shared" si="3"/>
        <v>227</v>
      </c>
      <c r="B229" s="57" t="s">
        <v>945</v>
      </c>
      <c r="C229" s="57" t="s">
        <v>546</v>
      </c>
      <c r="D229" s="58" t="s">
        <v>1028</v>
      </c>
      <c r="E229" s="59" t="s">
        <v>1029</v>
      </c>
      <c r="F229" s="57"/>
      <c r="G229" s="60" t="s">
        <v>394</v>
      </c>
      <c r="H229" s="61">
        <v>1</v>
      </c>
      <c r="I229" s="57" t="s">
        <v>948</v>
      </c>
      <c r="J229" s="58" t="s">
        <v>470</v>
      </c>
      <c r="K229" s="58"/>
    </row>
    <row r="230" spans="1:11">
      <c r="A230" s="57">
        <f t="shared" si="3"/>
        <v>228</v>
      </c>
      <c r="B230" s="57" t="s">
        <v>945</v>
      </c>
      <c r="C230" s="57" t="s">
        <v>546</v>
      </c>
      <c r="D230" s="58" t="s">
        <v>568</v>
      </c>
      <c r="E230" s="59" t="s">
        <v>1030</v>
      </c>
      <c r="F230" s="57"/>
      <c r="G230" s="60" t="s">
        <v>394</v>
      </c>
      <c r="H230" s="61">
        <v>1</v>
      </c>
      <c r="I230" s="57" t="s">
        <v>948</v>
      </c>
      <c r="J230" s="58" t="s">
        <v>470</v>
      </c>
      <c r="K230" s="58"/>
    </row>
    <row r="231" spans="1:11">
      <c r="A231" s="57">
        <f t="shared" si="3"/>
        <v>229</v>
      </c>
      <c r="B231" s="57" t="s">
        <v>945</v>
      </c>
      <c r="C231" s="57" t="s">
        <v>546</v>
      </c>
      <c r="D231" s="58" t="s">
        <v>1031</v>
      </c>
      <c r="E231" s="59" t="s">
        <v>1032</v>
      </c>
      <c r="F231" s="57"/>
      <c r="G231" s="60" t="s">
        <v>394</v>
      </c>
      <c r="H231" s="61">
        <v>1</v>
      </c>
      <c r="I231" s="57" t="s">
        <v>948</v>
      </c>
      <c r="J231" s="58" t="s">
        <v>470</v>
      </c>
      <c r="K231" s="58"/>
    </row>
    <row r="232" spans="1:11">
      <c r="A232" s="57">
        <f t="shared" si="3"/>
        <v>230</v>
      </c>
      <c r="B232" s="57" t="s">
        <v>945</v>
      </c>
      <c r="C232" s="57" t="s">
        <v>546</v>
      </c>
      <c r="D232" s="58" t="s">
        <v>574</v>
      </c>
      <c r="E232" s="59" t="s">
        <v>548</v>
      </c>
      <c r="F232" s="57"/>
      <c r="G232" s="60" t="s">
        <v>394</v>
      </c>
      <c r="H232" s="61">
        <v>1</v>
      </c>
      <c r="I232" s="57"/>
      <c r="J232" s="58" t="s">
        <v>470</v>
      </c>
      <c r="K232" s="58" t="s">
        <v>944</v>
      </c>
    </row>
    <row r="233" spans="1:11">
      <c r="A233" s="57">
        <f t="shared" si="3"/>
        <v>231</v>
      </c>
      <c r="B233" s="57" t="s">
        <v>945</v>
      </c>
      <c r="C233" s="57" t="s">
        <v>546</v>
      </c>
      <c r="D233" s="58" t="s">
        <v>577</v>
      </c>
      <c r="E233" s="59" t="s">
        <v>1033</v>
      </c>
      <c r="F233" s="57"/>
      <c r="G233" s="60" t="s">
        <v>394</v>
      </c>
      <c r="H233" s="61">
        <v>1</v>
      </c>
      <c r="I233" s="57" t="s">
        <v>948</v>
      </c>
      <c r="J233" s="58" t="s">
        <v>470</v>
      </c>
      <c r="K233" s="58"/>
    </row>
    <row r="234" spans="1:11">
      <c r="A234" s="57">
        <f t="shared" si="3"/>
        <v>232</v>
      </c>
      <c r="B234" s="57" t="s">
        <v>945</v>
      </c>
      <c r="C234" s="57" t="s">
        <v>546</v>
      </c>
      <c r="D234" s="58" t="s">
        <v>1034</v>
      </c>
      <c r="E234" s="59" t="s">
        <v>575</v>
      </c>
      <c r="F234" s="57"/>
      <c r="G234" s="60" t="s">
        <v>394</v>
      </c>
      <c r="H234" s="61">
        <v>1</v>
      </c>
      <c r="I234" s="57" t="s">
        <v>948</v>
      </c>
      <c r="J234" s="58" t="s">
        <v>470</v>
      </c>
      <c r="K234" s="58"/>
    </row>
    <row r="235" spans="1:11">
      <c r="A235" s="57">
        <f t="shared" si="3"/>
        <v>233</v>
      </c>
      <c r="B235" s="57" t="s">
        <v>945</v>
      </c>
      <c r="C235" s="57" t="s">
        <v>546</v>
      </c>
      <c r="D235" s="58" t="s">
        <v>1035</v>
      </c>
      <c r="E235" s="59" t="s">
        <v>578</v>
      </c>
      <c r="F235" s="57"/>
      <c r="G235" s="60" t="s">
        <v>394</v>
      </c>
      <c r="H235" s="61">
        <v>1</v>
      </c>
      <c r="I235" s="57" t="s">
        <v>948</v>
      </c>
      <c r="J235" s="58" t="s">
        <v>470</v>
      </c>
      <c r="K235" s="58"/>
    </row>
    <row r="236" spans="1:11">
      <c r="A236" s="57">
        <f t="shared" si="3"/>
        <v>234</v>
      </c>
      <c r="B236" s="57" t="s">
        <v>945</v>
      </c>
      <c r="C236" s="57" t="s">
        <v>546</v>
      </c>
      <c r="D236" s="58" t="s">
        <v>1036</v>
      </c>
      <c r="E236" s="59" t="s">
        <v>585</v>
      </c>
      <c r="F236" s="57"/>
      <c r="G236" s="60" t="s">
        <v>394</v>
      </c>
      <c r="H236" s="61">
        <v>1</v>
      </c>
      <c r="I236" s="57" t="s">
        <v>948</v>
      </c>
      <c r="J236" s="58" t="s">
        <v>470</v>
      </c>
      <c r="K236" s="58"/>
    </row>
    <row r="237" spans="1:11">
      <c r="A237" s="57">
        <f t="shared" si="3"/>
        <v>235</v>
      </c>
      <c r="B237" s="57" t="s">
        <v>945</v>
      </c>
      <c r="C237" s="57" t="s">
        <v>546</v>
      </c>
      <c r="D237" s="58" t="s">
        <v>1037</v>
      </c>
      <c r="E237" s="59" t="s">
        <v>1038</v>
      </c>
      <c r="F237" s="57"/>
      <c r="G237" s="60" t="s">
        <v>394</v>
      </c>
      <c r="H237" s="61">
        <v>1</v>
      </c>
      <c r="I237" s="57" t="s">
        <v>948</v>
      </c>
      <c r="J237" s="58" t="s">
        <v>470</v>
      </c>
      <c r="K237" s="58"/>
    </row>
    <row r="238" spans="1:11">
      <c r="A238" s="57">
        <f t="shared" si="3"/>
        <v>236</v>
      </c>
      <c r="B238" s="57" t="s">
        <v>945</v>
      </c>
      <c r="C238" s="57" t="s">
        <v>546</v>
      </c>
      <c r="D238" s="58" t="s">
        <v>1039</v>
      </c>
      <c r="E238" s="59" t="s">
        <v>1040</v>
      </c>
      <c r="F238" s="57"/>
      <c r="G238" s="60" t="s">
        <v>394</v>
      </c>
      <c r="H238" s="61">
        <v>1</v>
      </c>
      <c r="I238" s="57" t="s">
        <v>948</v>
      </c>
      <c r="J238" s="58" t="s">
        <v>470</v>
      </c>
      <c r="K238" s="58"/>
    </row>
    <row r="239" spans="1:11">
      <c r="A239" s="57">
        <f t="shared" si="3"/>
        <v>237</v>
      </c>
      <c r="B239" s="57" t="s">
        <v>945</v>
      </c>
      <c r="C239" s="57" t="s">
        <v>546</v>
      </c>
      <c r="D239" s="58" t="s">
        <v>1041</v>
      </c>
      <c r="E239" s="59" t="s">
        <v>1042</v>
      </c>
      <c r="F239" s="57"/>
      <c r="G239" s="60" t="s">
        <v>394</v>
      </c>
      <c r="H239" s="61">
        <v>1</v>
      </c>
      <c r="I239" s="57" t="s">
        <v>948</v>
      </c>
      <c r="J239" s="58" t="s">
        <v>470</v>
      </c>
      <c r="K239" s="58"/>
    </row>
    <row r="240" spans="1:11">
      <c r="A240" s="57">
        <f t="shared" si="3"/>
        <v>238</v>
      </c>
      <c r="B240" s="57" t="s">
        <v>945</v>
      </c>
      <c r="C240" s="57" t="s">
        <v>546</v>
      </c>
      <c r="D240" s="58" t="s">
        <v>1043</v>
      </c>
      <c r="E240" s="59" t="s">
        <v>1044</v>
      </c>
      <c r="F240" s="57"/>
      <c r="G240" s="60" t="s">
        <v>394</v>
      </c>
      <c r="H240" s="61">
        <v>1</v>
      </c>
      <c r="I240" s="57" t="s">
        <v>948</v>
      </c>
      <c r="J240" s="58" t="s">
        <v>470</v>
      </c>
      <c r="K240" s="58"/>
    </row>
    <row r="241" spans="1:11">
      <c r="A241" s="57">
        <f t="shared" si="3"/>
        <v>239</v>
      </c>
      <c r="B241" s="57" t="s">
        <v>945</v>
      </c>
      <c r="C241" s="57" t="s">
        <v>546</v>
      </c>
      <c r="D241" s="58" t="s">
        <v>1045</v>
      </c>
      <c r="E241" s="59" t="s">
        <v>1046</v>
      </c>
      <c r="F241" s="57"/>
      <c r="G241" s="60" t="s">
        <v>394</v>
      </c>
      <c r="H241" s="61">
        <v>1</v>
      </c>
      <c r="I241" s="57" t="s">
        <v>948</v>
      </c>
      <c r="J241" s="58" t="s">
        <v>470</v>
      </c>
      <c r="K241" s="58"/>
    </row>
    <row r="242" spans="1:11">
      <c r="A242" s="57">
        <f t="shared" si="3"/>
        <v>240</v>
      </c>
      <c r="B242" s="57" t="s">
        <v>945</v>
      </c>
      <c r="C242" s="57" t="s">
        <v>546</v>
      </c>
      <c r="D242" s="58" t="s">
        <v>1047</v>
      </c>
      <c r="E242" s="59" t="s">
        <v>1048</v>
      </c>
      <c r="F242" s="57"/>
      <c r="G242" s="60" t="s">
        <v>394</v>
      </c>
      <c r="H242" s="61">
        <v>1</v>
      </c>
      <c r="I242" s="57" t="s">
        <v>948</v>
      </c>
      <c r="J242" s="58" t="s">
        <v>470</v>
      </c>
      <c r="K242" s="58"/>
    </row>
    <row r="243" spans="1:11">
      <c r="A243" s="57">
        <f t="shared" si="3"/>
        <v>241</v>
      </c>
      <c r="B243" s="57" t="s">
        <v>945</v>
      </c>
      <c r="C243" s="57" t="s">
        <v>546</v>
      </c>
      <c r="D243" s="58" t="s">
        <v>1049</v>
      </c>
      <c r="E243" s="59" t="s">
        <v>593</v>
      </c>
      <c r="F243" s="57"/>
      <c r="G243" s="60" t="s">
        <v>394</v>
      </c>
      <c r="H243" s="61">
        <v>1</v>
      </c>
      <c r="I243" s="57" t="s">
        <v>948</v>
      </c>
      <c r="J243" s="58" t="s">
        <v>470</v>
      </c>
      <c r="K243" s="58"/>
    </row>
    <row r="244" spans="1:11">
      <c r="A244" s="57">
        <f t="shared" si="3"/>
        <v>242</v>
      </c>
      <c r="B244" s="57" t="s">
        <v>945</v>
      </c>
      <c r="C244" s="57" t="s">
        <v>546</v>
      </c>
      <c r="D244" s="58" t="s">
        <v>1050</v>
      </c>
      <c r="E244" s="59" t="s">
        <v>599</v>
      </c>
      <c r="F244" s="57"/>
      <c r="G244" s="60" t="s">
        <v>394</v>
      </c>
      <c r="H244" s="61">
        <v>1</v>
      </c>
      <c r="I244" s="57" t="s">
        <v>948</v>
      </c>
      <c r="J244" s="58" t="s">
        <v>470</v>
      </c>
      <c r="K244" s="58"/>
    </row>
    <row r="245" spans="1:11">
      <c r="A245" s="57">
        <f t="shared" si="3"/>
        <v>243</v>
      </c>
      <c r="B245" s="57" t="s">
        <v>945</v>
      </c>
      <c r="C245" s="57" t="s">
        <v>546</v>
      </c>
      <c r="D245" s="58" t="s">
        <v>1051</v>
      </c>
      <c r="E245" s="59" t="s">
        <v>608</v>
      </c>
      <c r="F245" s="57"/>
      <c r="G245" s="60" t="s">
        <v>394</v>
      </c>
      <c r="H245" s="61">
        <v>1</v>
      </c>
      <c r="I245" s="57" t="s">
        <v>948</v>
      </c>
      <c r="J245" s="58" t="s">
        <v>470</v>
      </c>
      <c r="K245" s="58"/>
    </row>
    <row r="246" spans="1:11">
      <c r="A246" s="57">
        <f t="shared" si="3"/>
        <v>244</v>
      </c>
      <c r="B246" s="57" t="s">
        <v>945</v>
      </c>
      <c r="C246" s="57" t="s">
        <v>546</v>
      </c>
      <c r="D246" s="58" t="s">
        <v>1052</v>
      </c>
      <c r="E246" s="59" t="s">
        <v>605</v>
      </c>
      <c r="F246" s="57"/>
      <c r="G246" s="60" t="s">
        <v>394</v>
      </c>
      <c r="H246" s="61">
        <v>1</v>
      </c>
      <c r="I246" s="57" t="s">
        <v>948</v>
      </c>
      <c r="J246" s="58" t="s">
        <v>470</v>
      </c>
      <c r="K246" s="58"/>
    </row>
    <row r="247" spans="1:11">
      <c r="A247" s="57">
        <f t="shared" si="3"/>
        <v>245</v>
      </c>
      <c r="B247" s="57" t="s">
        <v>945</v>
      </c>
      <c r="C247" s="57" t="s">
        <v>546</v>
      </c>
      <c r="D247" s="58" t="s">
        <v>1053</v>
      </c>
      <c r="E247" s="59" t="s">
        <v>611</v>
      </c>
      <c r="F247" s="57"/>
      <c r="G247" s="60" t="s">
        <v>394</v>
      </c>
      <c r="H247" s="61">
        <v>1</v>
      </c>
      <c r="I247" s="57" t="s">
        <v>948</v>
      </c>
      <c r="J247" s="58" t="s">
        <v>470</v>
      </c>
      <c r="K247" s="58"/>
    </row>
    <row r="248" spans="1:11">
      <c r="A248" s="57">
        <f t="shared" si="3"/>
        <v>246</v>
      </c>
      <c r="B248" s="57" t="s">
        <v>945</v>
      </c>
      <c r="C248" s="57" t="s">
        <v>546</v>
      </c>
      <c r="D248" s="58" t="s">
        <v>1054</v>
      </c>
      <c r="E248" s="59" t="s">
        <v>1055</v>
      </c>
      <c r="F248" s="57"/>
      <c r="G248" s="60" t="s">
        <v>394</v>
      </c>
      <c r="H248" s="61">
        <v>1</v>
      </c>
      <c r="I248" s="57" t="s">
        <v>948</v>
      </c>
      <c r="J248" s="58" t="s">
        <v>470</v>
      </c>
      <c r="K248" s="58"/>
    </row>
    <row r="249" spans="1:11">
      <c r="A249" s="57">
        <f t="shared" si="3"/>
        <v>247</v>
      </c>
      <c r="B249" s="57" t="s">
        <v>945</v>
      </c>
      <c r="C249" s="57" t="s">
        <v>546</v>
      </c>
      <c r="D249" s="58" t="s">
        <v>653</v>
      </c>
      <c r="E249" s="59" t="s">
        <v>1056</v>
      </c>
      <c r="F249" s="57"/>
      <c r="G249" s="60" t="s">
        <v>394</v>
      </c>
      <c r="H249" s="61">
        <v>1</v>
      </c>
      <c r="I249" s="57" t="s">
        <v>948</v>
      </c>
      <c r="J249" s="58" t="s">
        <v>470</v>
      </c>
      <c r="K249" s="58"/>
    </row>
    <row r="250" spans="1:11">
      <c r="A250" s="57">
        <f t="shared" si="3"/>
        <v>248</v>
      </c>
      <c r="B250" s="57" t="s">
        <v>945</v>
      </c>
      <c r="C250" s="57" t="s">
        <v>546</v>
      </c>
      <c r="D250" s="58" t="s">
        <v>656</v>
      </c>
      <c r="E250" s="59" t="s">
        <v>617</v>
      </c>
      <c r="F250" s="57"/>
      <c r="G250" s="60" t="s">
        <v>394</v>
      </c>
      <c r="H250" s="61">
        <v>1</v>
      </c>
      <c r="I250" s="57" t="s">
        <v>948</v>
      </c>
      <c r="J250" s="58" t="s">
        <v>470</v>
      </c>
      <c r="K250" s="58"/>
    </row>
    <row r="251" spans="1:11">
      <c r="A251" s="57">
        <f t="shared" si="3"/>
        <v>249</v>
      </c>
      <c r="B251" s="57" t="s">
        <v>945</v>
      </c>
      <c r="C251" s="57" t="s">
        <v>546</v>
      </c>
      <c r="D251" s="58" t="s">
        <v>659</v>
      </c>
      <c r="E251" s="59" t="s">
        <v>1057</v>
      </c>
      <c r="F251" s="57"/>
      <c r="G251" s="60" t="s">
        <v>394</v>
      </c>
      <c r="H251" s="61">
        <v>1</v>
      </c>
      <c r="I251" s="57" t="s">
        <v>948</v>
      </c>
      <c r="J251" s="58" t="s">
        <v>470</v>
      </c>
      <c r="K251" s="58"/>
    </row>
    <row r="252" spans="1:11">
      <c r="A252" s="57">
        <f t="shared" si="3"/>
        <v>250</v>
      </c>
      <c r="B252" s="57" t="s">
        <v>945</v>
      </c>
      <c r="C252" s="57" t="s">
        <v>546</v>
      </c>
      <c r="D252" s="58" t="s">
        <v>1058</v>
      </c>
      <c r="E252" s="59" t="s">
        <v>614</v>
      </c>
      <c r="F252" s="57"/>
      <c r="G252" s="60" t="s">
        <v>394</v>
      </c>
      <c r="H252" s="61">
        <v>1</v>
      </c>
      <c r="I252" s="57" t="s">
        <v>948</v>
      </c>
      <c r="J252" s="58" t="s">
        <v>470</v>
      </c>
      <c r="K252" s="58"/>
    </row>
    <row r="253" spans="1:11">
      <c r="A253" s="57">
        <f t="shared" si="3"/>
        <v>251</v>
      </c>
      <c r="B253" s="57" t="s">
        <v>945</v>
      </c>
      <c r="C253" s="57" t="s">
        <v>546</v>
      </c>
      <c r="D253" s="58" t="s">
        <v>1059</v>
      </c>
      <c r="E253" s="59" t="s">
        <v>663</v>
      </c>
      <c r="F253" s="57"/>
      <c r="G253" s="60" t="s">
        <v>394</v>
      </c>
      <c r="H253" s="61">
        <v>1</v>
      </c>
      <c r="I253" s="57" t="s">
        <v>948</v>
      </c>
      <c r="J253" s="58" t="s">
        <v>470</v>
      </c>
      <c r="K253" s="58"/>
    </row>
    <row r="254" spans="1:11">
      <c r="A254" s="57">
        <f t="shared" si="3"/>
        <v>252</v>
      </c>
      <c r="B254" s="57" t="s">
        <v>945</v>
      </c>
      <c r="C254" s="57" t="s">
        <v>546</v>
      </c>
      <c r="D254" s="58" t="s">
        <v>1060</v>
      </c>
      <c r="E254" s="59" t="s">
        <v>1061</v>
      </c>
      <c r="F254" s="57"/>
      <c r="G254" s="60" t="s">
        <v>394</v>
      </c>
      <c r="H254" s="61">
        <v>1</v>
      </c>
      <c r="I254" s="57" t="s">
        <v>948</v>
      </c>
      <c r="J254" s="58" t="s">
        <v>470</v>
      </c>
      <c r="K254" s="58"/>
    </row>
    <row r="255" spans="1:11">
      <c r="A255" s="57">
        <f t="shared" si="3"/>
        <v>253</v>
      </c>
      <c r="B255" s="57" t="s">
        <v>945</v>
      </c>
      <c r="C255" s="57" t="s">
        <v>546</v>
      </c>
      <c r="D255" s="58" t="s">
        <v>1062</v>
      </c>
      <c r="E255" s="59" t="s">
        <v>1063</v>
      </c>
      <c r="F255" s="57"/>
      <c r="G255" s="60" t="s">
        <v>394</v>
      </c>
      <c r="H255" s="61">
        <v>1</v>
      </c>
      <c r="I255" s="57" t="s">
        <v>948</v>
      </c>
      <c r="J255" s="58" t="s">
        <v>470</v>
      </c>
      <c r="K255" s="58"/>
    </row>
    <row r="256" spans="1:11">
      <c r="A256" s="57">
        <f t="shared" si="3"/>
        <v>254</v>
      </c>
      <c r="B256" s="57" t="s">
        <v>945</v>
      </c>
      <c r="C256" s="57" t="s">
        <v>546</v>
      </c>
      <c r="D256" s="58" t="s">
        <v>1064</v>
      </c>
      <c r="E256" s="59" t="s">
        <v>1065</v>
      </c>
      <c r="F256" s="57"/>
      <c r="G256" s="60" t="s">
        <v>394</v>
      </c>
      <c r="H256" s="61">
        <v>1</v>
      </c>
      <c r="I256" s="57" t="s">
        <v>948</v>
      </c>
      <c r="J256" s="58" t="s">
        <v>470</v>
      </c>
      <c r="K256" s="58"/>
    </row>
    <row r="257" spans="1:11">
      <c r="A257" s="57">
        <f t="shared" si="3"/>
        <v>255</v>
      </c>
      <c r="B257" s="57" t="s">
        <v>945</v>
      </c>
      <c r="C257" s="57" t="s">
        <v>546</v>
      </c>
      <c r="D257" s="58" t="s">
        <v>1066</v>
      </c>
      <c r="E257" s="59" t="s">
        <v>1067</v>
      </c>
      <c r="F257" s="57"/>
      <c r="G257" s="60" t="s">
        <v>394</v>
      </c>
      <c r="H257" s="61">
        <v>1</v>
      </c>
      <c r="I257" s="57" t="s">
        <v>948</v>
      </c>
      <c r="J257" s="58" t="s">
        <v>470</v>
      </c>
      <c r="K257" s="58"/>
    </row>
    <row r="258" spans="1:11">
      <c r="A258" s="57">
        <f t="shared" si="3"/>
        <v>256</v>
      </c>
      <c r="B258" s="57" t="s">
        <v>945</v>
      </c>
      <c r="C258" s="57" t="s">
        <v>546</v>
      </c>
      <c r="D258" s="58" t="s">
        <v>1068</v>
      </c>
      <c r="E258" s="59" t="s">
        <v>632</v>
      </c>
      <c r="F258" s="57"/>
      <c r="G258" s="60" t="s">
        <v>394</v>
      </c>
      <c r="H258" s="61">
        <v>1</v>
      </c>
      <c r="I258" s="57" t="s">
        <v>948</v>
      </c>
      <c r="J258" s="58" t="s">
        <v>470</v>
      </c>
      <c r="K258" s="58"/>
    </row>
    <row r="259" spans="1:11">
      <c r="A259" s="57">
        <f t="shared" si="3"/>
        <v>257</v>
      </c>
      <c r="B259" s="57" t="s">
        <v>945</v>
      </c>
      <c r="C259" s="57" t="s">
        <v>546</v>
      </c>
      <c r="D259" s="58" t="s">
        <v>1069</v>
      </c>
      <c r="E259" s="59" t="s">
        <v>1070</v>
      </c>
      <c r="F259" s="57"/>
      <c r="G259" s="60" t="s">
        <v>394</v>
      </c>
      <c r="H259" s="61">
        <v>1</v>
      </c>
      <c r="I259" s="57" t="s">
        <v>948</v>
      </c>
      <c r="J259" s="58" t="s">
        <v>470</v>
      </c>
      <c r="K259" s="58"/>
    </row>
    <row r="260" spans="1:11">
      <c r="A260" s="57">
        <f t="shared" si="3"/>
        <v>258</v>
      </c>
      <c r="B260" s="57" t="s">
        <v>945</v>
      </c>
      <c r="C260" s="57" t="s">
        <v>546</v>
      </c>
      <c r="D260" s="58" t="s">
        <v>1071</v>
      </c>
      <c r="E260" s="59" t="s">
        <v>1072</v>
      </c>
      <c r="F260" s="57"/>
      <c r="G260" s="60" t="s">
        <v>394</v>
      </c>
      <c r="H260" s="61">
        <v>1</v>
      </c>
      <c r="I260" s="57" t="s">
        <v>948</v>
      </c>
      <c r="J260" s="58" t="s">
        <v>470</v>
      </c>
      <c r="K260" s="58"/>
    </row>
    <row r="261" spans="1:11">
      <c r="A261" s="57">
        <f t="shared" si="3"/>
        <v>259</v>
      </c>
      <c r="B261" s="57" t="s">
        <v>945</v>
      </c>
      <c r="C261" s="57" t="s">
        <v>546</v>
      </c>
      <c r="D261" s="58" t="s">
        <v>1071</v>
      </c>
      <c r="E261" s="59" t="s">
        <v>1073</v>
      </c>
      <c r="F261" s="57"/>
      <c r="G261" s="60" t="s">
        <v>394</v>
      </c>
      <c r="H261" s="61">
        <v>1</v>
      </c>
      <c r="I261" s="57" t="s">
        <v>948</v>
      </c>
      <c r="J261" s="58" t="s">
        <v>470</v>
      </c>
      <c r="K261" s="58"/>
    </row>
    <row r="262" spans="1:11">
      <c r="A262" s="57">
        <f t="shared" si="3"/>
        <v>260</v>
      </c>
      <c r="B262" s="57" t="s">
        <v>945</v>
      </c>
      <c r="C262" s="57" t="s">
        <v>546</v>
      </c>
      <c r="D262" s="58" t="s">
        <v>1074</v>
      </c>
      <c r="E262" s="59" t="s">
        <v>1075</v>
      </c>
      <c r="F262" s="57"/>
      <c r="G262" s="60" t="s">
        <v>394</v>
      </c>
      <c r="H262" s="61">
        <v>1</v>
      </c>
      <c r="I262" s="57" t="s">
        <v>948</v>
      </c>
      <c r="J262" s="58" t="s">
        <v>470</v>
      </c>
      <c r="K262" s="58"/>
    </row>
    <row r="263" spans="1:11">
      <c r="A263" s="57">
        <f t="shared" si="3"/>
        <v>261</v>
      </c>
      <c r="B263" s="57" t="s">
        <v>945</v>
      </c>
      <c r="C263" s="57" t="s">
        <v>546</v>
      </c>
      <c r="D263" s="58" t="s">
        <v>1076</v>
      </c>
      <c r="E263" s="59" t="s">
        <v>1077</v>
      </c>
      <c r="F263" s="57"/>
      <c r="G263" s="60" t="s">
        <v>394</v>
      </c>
      <c r="H263" s="61">
        <v>1</v>
      </c>
      <c r="I263" s="57" t="s">
        <v>948</v>
      </c>
      <c r="J263" s="58" t="s">
        <v>470</v>
      </c>
      <c r="K263" s="58"/>
    </row>
    <row r="264" spans="1:11">
      <c r="A264" s="57">
        <f t="shared" si="3"/>
        <v>262</v>
      </c>
      <c r="B264" s="57" t="s">
        <v>945</v>
      </c>
      <c r="C264" s="57" t="s">
        <v>546</v>
      </c>
      <c r="D264" s="58" t="s">
        <v>1078</v>
      </c>
      <c r="E264" s="59" t="s">
        <v>1079</v>
      </c>
      <c r="F264" s="57"/>
      <c r="G264" s="60" t="s">
        <v>394</v>
      </c>
      <c r="H264" s="61">
        <v>1</v>
      </c>
      <c r="I264" s="57" t="s">
        <v>948</v>
      </c>
      <c r="J264" s="58" t="s">
        <v>470</v>
      </c>
      <c r="K264" s="58"/>
    </row>
    <row r="265" spans="1:11">
      <c r="A265" s="57">
        <f t="shared" si="3"/>
        <v>263</v>
      </c>
      <c r="B265" s="57" t="s">
        <v>945</v>
      </c>
      <c r="C265" s="57" t="s">
        <v>546</v>
      </c>
      <c r="D265" s="58" t="s">
        <v>1080</v>
      </c>
      <c r="E265" s="59" t="s">
        <v>1081</v>
      </c>
      <c r="F265" s="57"/>
      <c r="G265" s="60" t="s">
        <v>394</v>
      </c>
      <c r="H265" s="61">
        <v>1</v>
      </c>
      <c r="I265" s="57" t="s">
        <v>948</v>
      </c>
      <c r="J265" s="58" t="s">
        <v>470</v>
      </c>
      <c r="K265" s="58"/>
    </row>
    <row r="266" spans="1:11">
      <c r="A266" s="57">
        <f t="shared" ref="A266:A329" si="4">ROW()-2</f>
        <v>264</v>
      </c>
      <c r="B266" s="57" t="s">
        <v>945</v>
      </c>
      <c r="C266" s="57" t="s">
        <v>546</v>
      </c>
      <c r="D266" s="58" t="s">
        <v>1082</v>
      </c>
      <c r="E266" s="59" t="s">
        <v>1083</v>
      </c>
      <c r="F266" s="57"/>
      <c r="G266" s="60" t="s">
        <v>394</v>
      </c>
      <c r="H266" s="61">
        <v>1</v>
      </c>
      <c r="I266" s="57" t="s">
        <v>948</v>
      </c>
      <c r="J266" s="58" t="s">
        <v>470</v>
      </c>
      <c r="K266" s="58"/>
    </row>
    <row r="267" spans="1:11">
      <c r="A267" s="57">
        <f t="shared" si="4"/>
        <v>265</v>
      </c>
      <c r="B267" s="57" t="s">
        <v>945</v>
      </c>
      <c r="C267" s="57" t="s">
        <v>546</v>
      </c>
      <c r="D267" s="58" t="s">
        <v>1084</v>
      </c>
      <c r="E267" s="59" t="s">
        <v>1085</v>
      </c>
      <c r="F267" s="57"/>
      <c r="G267" s="60" t="s">
        <v>394</v>
      </c>
      <c r="H267" s="61">
        <v>1</v>
      </c>
      <c r="I267" s="57" t="s">
        <v>948</v>
      </c>
      <c r="J267" s="58" t="s">
        <v>470</v>
      </c>
      <c r="K267" s="58"/>
    </row>
    <row r="268" spans="1:11">
      <c r="A268" s="57">
        <f t="shared" si="4"/>
        <v>266</v>
      </c>
      <c r="B268" s="57" t="s">
        <v>945</v>
      </c>
      <c r="C268" s="57" t="s">
        <v>546</v>
      </c>
      <c r="D268" s="58" t="s">
        <v>1086</v>
      </c>
      <c r="E268" s="59" t="s">
        <v>1087</v>
      </c>
      <c r="F268" s="57"/>
      <c r="G268" s="60" t="s">
        <v>394</v>
      </c>
      <c r="H268" s="61">
        <v>1</v>
      </c>
      <c r="I268" s="57" t="s">
        <v>948</v>
      </c>
      <c r="J268" s="58" t="s">
        <v>470</v>
      </c>
      <c r="K268" s="58"/>
    </row>
    <row r="269" spans="1:11">
      <c r="A269" s="57">
        <f t="shared" si="4"/>
        <v>267</v>
      </c>
      <c r="B269" s="57" t="s">
        <v>945</v>
      </c>
      <c r="C269" s="57" t="s">
        <v>546</v>
      </c>
      <c r="D269" s="58" t="s">
        <v>1088</v>
      </c>
      <c r="E269" s="59" t="s">
        <v>1089</v>
      </c>
      <c r="F269" s="57"/>
      <c r="G269" s="60" t="s">
        <v>394</v>
      </c>
      <c r="H269" s="61">
        <v>1</v>
      </c>
      <c r="I269" s="57" t="s">
        <v>948</v>
      </c>
      <c r="J269" s="58" t="s">
        <v>470</v>
      </c>
      <c r="K269" s="58"/>
    </row>
    <row r="270" spans="1:11">
      <c r="A270" s="57">
        <f t="shared" si="4"/>
        <v>268</v>
      </c>
      <c r="B270" s="57" t="s">
        <v>945</v>
      </c>
      <c r="C270" s="57" t="s">
        <v>546</v>
      </c>
      <c r="D270" s="58" t="s">
        <v>1090</v>
      </c>
      <c r="E270" s="59" t="s">
        <v>1091</v>
      </c>
      <c r="F270" s="57"/>
      <c r="G270" s="60" t="s">
        <v>394</v>
      </c>
      <c r="H270" s="61">
        <v>1</v>
      </c>
      <c r="I270" s="57" t="s">
        <v>948</v>
      </c>
      <c r="J270" s="58" t="s">
        <v>470</v>
      </c>
      <c r="K270" s="58"/>
    </row>
    <row r="271" spans="1:11">
      <c r="A271" s="57">
        <f t="shared" si="4"/>
        <v>269</v>
      </c>
      <c r="B271" s="57" t="s">
        <v>945</v>
      </c>
      <c r="C271" s="57" t="s">
        <v>546</v>
      </c>
      <c r="D271" s="58" t="s">
        <v>1092</v>
      </c>
      <c r="E271" s="59" t="s">
        <v>1093</v>
      </c>
      <c r="F271" s="57"/>
      <c r="G271" s="60" t="s">
        <v>394</v>
      </c>
      <c r="H271" s="61">
        <v>1</v>
      </c>
      <c r="I271" s="57" t="s">
        <v>948</v>
      </c>
      <c r="J271" s="58" t="s">
        <v>470</v>
      </c>
      <c r="K271" s="58"/>
    </row>
    <row r="272" spans="1:11">
      <c r="A272" s="57">
        <f t="shared" si="4"/>
        <v>270</v>
      </c>
      <c r="B272" s="57" t="s">
        <v>945</v>
      </c>
      <c r="C272" s="57" t="s">
        <v>546</v>
      </c>
      <c r="D272" s="58" t="s">
        <v>1094</v>
      </c>
      <c r="E272" s="59" t="s">
        <v>1095</v>
      </c>
      <c r="F272" s="57"/>
      <c r="G272" s="60" t="s">
        <v>394</v>
      </c>
      <c r="H272" s="61">
        <v>1</v>
      </c>
      <c r="I272" s="57" t="s">
        <v>948</v>
      </c>
      <c r="J272" s="58" t="s">
        <v>470</v>
      </c>
      <c r="K272" s="58"/>
    </row>
    <row r="273" spans="1:11">
      <c r="A273" s="57">
        <f t="shared" si="4"/>
        <v>271</v>
      </c>
      <c r="B273" s="57" t="s">
        <v>945</v>
      </c>
      <c r="C273" s="57" t="s">
        <v>546</v>
      </c>
      <c r="D273" s="58" t="s">
        <v>1096</v>
      </c>
      <c r="E273" s="59" t="s">
        <v>585</v>
      </c>
      <c r="F273" s="57"/>
      <c r="G273" s="60" t="s">
        <v>394</v>
      </c>
      <c r="H273" s="61">
        <v>1</v>
      </c>
      <c r="I273" s="57" t="s">
        <v>948</v>
      </c>
      <c r="J273" s="58" t="s">
        <v>470</v>
      </c>
      <c r="K273" s="58"/>
    </row>
    <row r="274" spans="1:11">
      <c r="A274" s="57">
        <f t="shared" si="4"/>
        <v>272</v>
      </c>
      <c r="B274" s="57" t="s">
        <v>945</v>
      </c>
      <c r="C274" s="57" t="s">
        <v>546</v>
      </c>
      <c r="D274" s="58" t="s">
        <v>1097</v>
      </c>
      <c r="E274" s="59" t="s">
        <v>593</v>
      </c>
      <c r="F274" s="57"/>
      <c r="G274" s="60" t="s">
        <v>394</v>
      </c>
      <c r="H274" s="61">
        <v>1</v>
      </c>
      <c r="I274" s="57" t="s">
        <v>948</v>
      </c>
      <c r="J274" s="58" t="s">
        <v>470</v>
      </c>
      <c r="K274" s="58"/>
    </row>
    <row r="275" spans="1:11">
      <c r="A275" s="57">
        <f t="shared" si="4"/>
        <v>273</v>
      </c>
      <c r="B275" s="57" t="s">
        <v>945</v>
      </c>
      <c r="C275" s="57" t="s">
        <v>546</v>
      </c>
      <c r="D275" s="58" t="s">
        <v>1098</v>
      </c>
      <c r="E275" s="59" t="s">
        <v>1099</v>
      </c>
      <c r="F275" s="57"/>
      <c r="G275" s="60" t="s">
        <v>394</v>
      </c>
      <c r="H275" s="61">
        <v>1</v>
      </c>
      <c r="I275" s="57" t="s">
        <v>948</v>
      </c>
      <c r="J275" s="58" t="s">
        <v>470</v>
      </c>
      <c r="K275" s="58"/>
    </row>
    <row r="276" spans="1:11">
      <c r="A276" s="57">
        <f t="shared" si="4"/>
        <v>274</v>
      </c>
      <c r="B276" s="57" t="s">
        <v>945</v>
      </c>
      <c r="C276" s="57" t="s">
        <v>546</v>
      </c>
      <c r="D276" s="58" t="s">
        <v>1100</v>
      </c>
      <c r="E276" s="59" t="s">
        <v>1087</v>
      </c>
      <c r="F276" s="57"/>
      <c r="G276" s="60" t="s">
        <v>394</v>
      </c>
      <c r="H276" s="61">
        <v>1</v>
      </c>
      <c r="I276" s="57" t="s">
        <v>948</v>
      </c>
      <c r="J276" s="58" t="s">
        <v>470</v>
      </c>
      <c r="K276" s="58"/>
    </row>
    <row r="277" spans="1:11">
      <c r="A277" s="57">
        <f t="shared" si="4"/>
        <v>275</v>
      </c>
      <c r="B277" s="57" t="s">
        <v>945</v>
      </c>
      <c r="C277" s="57" t="s">
        <v>546</v>
      </c>
      <c r="D277" s="58" t="s">
        <v>1101</v>
      </c>
      <c r="E277" s="59" t="s">
        <v>1102</v>
      </c>
      <c r="F277" s="57"/>
      <c r="G277" s="60" t="s">
        <v>394</v>
      </c>
      <c r="H277" s="61">
        <v>1</v>
      </c>
      <c r="I277" s="57" t="s">
        <v>948</v>
      </c>
      <c r="J277" s="58" t="s">
        <v>470</v>
      </c>
      <c r="K277" s="58"/>
    </row>
    <row r="278" spans="1:11">
      <c r="A278" s="57">
        <f t="shared" si="4"/>
        <v>276</v>
      </c>
      <c r="B278" s="57" t="s">
        <v>945</v>
      </c>
      <c r="C278" s="57" t="s">
        <v>546</v>
      </c>
      <c r="D278" s="58" t="s">
        <v>1103</v>
      </c>
      <c r="E278" s="59" t="s">
        <v>1104</v>
      </c>
      <c r="F278" s="57"/>
      <c r="G278" s="60" t="s">
        <v>394</v>
      </c>
      <c r="H278" s="61">
        <v>1</v>
      </c>
      <c r="I278" s="57" t="s">
        <v>948</v>
      </c>
      <c r="J278" s="58" t="s">
        <v>470</v>
      </c>
      <c r="K278" s="58"/>
    </row>
    <row r="279" spans="1:11">
      <c r="A279" s="57">
        <f t="shared" si="4"/>
        <v>277</v>
      </c>
      <c r="B279" s="57" t="s">
        <v>945</v>
      </c>
      <c r="C279" s="57" t="s">
        <v>665</v>
      </c>
      <c r="D279" s="58" t="s">
        <v>1105</v>
      </c>
      <c r="E279" s="59" t="s">
        <v>667</v>
      </c>
      <c r="F279" s="57"/>
      <c r="G279" s="60" t="s">
        <v>394</v>
      </c>
      <c r="H279" s="61">
        <v>1</v>
      </c>
      <c r="I279" s="57" t="s">
        <v>948</v>
      </c>
      <c r="J279" s="58" t="s">
        <v>683</v>
      </c>
      <c r="K279" s="58"/>
    </row>
    <row r="280" spans="1:11">
      <c r="A280" s="57">
        <f t="shared" si="4"/>
        <v>278</v>
      </c>
      <c r="B280" s="57" t="s">
        <v>945</v>
      </c>
      <c r="C280" s="57" t="s">
        <v>665</v>
      </c>
      <c r="D280" s="58" t="s">
        <v>1106</v>
      </c>
      <c r="E280" s="59" t="s">
        <v>1107</v>
      </c>
      <c r="F280" s="57"/>
      <c r="G280" s="60" t="s">
        <v>394</v>
      </c>
      <c r="H280" s="61">
        <v>1</v>
      </c>
      <c r="I280" s="57" t="s">
        <v>948</v>
      </c>
      <c r="J280" s="58" t="s">
        <v>683</v>
      </c>
      <c r="K280" s="58"/>
    </row>
    <row r="281" spans="1:11">
      <c r="A281" s="57">
        <f t="shared" si="4"/>
        <v>279</v>
      </c>
      <c r="B281" s="57" t="s">
        <v>945</v>
      </c>
      <c r="C281" s="57" t="s">
        <v>665</v>
      </c>
      <c r="D281" s="58" t="s">
        <v>676</v>
      </c>
      <c r="E281" s="59" t="s">
        <v>1108</v>
      </c>
      <c r="F281" s="57"/>
      <c r="G281" s="60" t="s">
        <v>394</v>
      </c>
      <c r="H281" s="61">
        <v>1</v>
      </c>
      <c r="I281" s="57" t="s">
        <v>948</v>
      </c>
      <c r="J281" s="58" t="s">
        <v>683</v>
      </c>
      <c r="K281" s="58"/>
    </row>
    <row r="282" spans="1:11">
      <c r="A282" s="57">
        <f t="shared" si="4"/>
        <v>280</v>
      </c>
      <c r="B282" s="57" t="s">
        <v>945</v>
      </c>
      <c r="C282" s="57" t="s">
        <v>665</v>
      </c>
      <c r="D282" s="58" t="s">
        <v>684</v>
      </c>
      <c r="E282" s="59" t="s">
        <v>1109</v>
      </c>
      <c r="F282" s="57"/>
      <c r="G282" s="60" t="s">
        <v>394</v>
      </c>
      <c r="H282" s="61">
        <v>1</v>
      </c>
      <c r="I282" s="57" t="s">
        <v>948</v>
      </c>
      <c r="J282" s="58" t="s">
        <v>683</v>
      </c>
      <c r="K282" s="58"/>
    </row>
    <row r="283" spans="1:11">
      <c r="A283" s="57">
        <f t="shared" si="4"/>
        <v>281</v>
      </c>
      <c r="B283" s="57" t="s">
        <v>945</v>
      </c>
      <c r="C283" s="57" t="s">
        <v>665</v>
      </c>
      <c r="D283" s="58" t="s">
        <v>687</v>
      </c>
      <c r="E283" s="59" t="s">
        <v>1110</v>
      </c>
      <c r="F283" s="57"/>
      <c r="G283" s="60" t="s">
        <v>394</v>
      </c>
      <c r="H283" s="61">
        <v>1</v>
      </c>
      <c r="I283" s="57" t="s">
        <v>948</v>
      </c>
      <c r="J283" s="58" t="s">
        <v>683</v>
      </c>
      <c r="K283" s="58"/>
    </row>
    <row r="284" spans="1:11">
      <c r="A284" s="57">
        <f t="shared" si="4"/>
        <v>282</v>
      </c>
      <c r="B284" s="57" t="s">
        <v>945</v>
      </c>
      <c r="C284" s="57" t="s">
        <v>665</v>
      </c>
      <c r="D284" s="58" t="s">
        <v>1111</v>
      </c>
      <c r="E284" s="59" t="s">
        <v>1112</v>
      </c>
      <c r="F284" s="57"/>
      <c r="G284" s="60" t="s">
        <v>394</v>
      </c>
      <c r="H284" s="61">
        <v>1</v>
      </c>
      <c r="I284" s="57" t="s">
        <v>948</v>
      </c>
      <c r="J284" s="58" t="s">
        <v>683</v>
      </c>
      <c r="K284" s="58"/>
    </row>
    <row r="285" spans="1:11">
      <c r="A285" s="57">
        <f t="shared" si="4"/>
        <v>283</v>
      </c>
      <c r="B285" s="57" t="s">
        <v>945</v>
      </c>
      <c r="C285" s="57" t="s">
        <v>665</v>
      </c>
      <c r="D285" s="58" t="s">
        <v>695</v>
      </c>
      <c r="E285" s="59" t="s">
        <v>1113</v>
      </c>
      <c r="F285" s="57"/>
      <c r="G285" s="60" t="s">
        <v>394</v>
      </c>
      <c r="H285" s="61">
        <v>1</v>
      </c>
      <c r="I285" s="57" t="s">
        <v>948</v>
      </c>
      <c r="J285" s="58" t="s">
        <v>683</v>
      </c>
      <c r="K285" s="58"/>
    </row>
    <row r="286" spans="1:11">
      <c r="A286" s="57">
        <f t="shared" si="4"/>
        <v>284</v>
      </c>
      <c r="B286" s="57" t="s">
        <v>945</v>
      </c>
      <c r="C286" s="57" t="s">
        <v>665</v>
      </c>
      <c r="D286" s="58" t="s">
        <v>698</v>
      </c>
      <c r="E286" s="59" t="s">
        <v>1114</v>
      </c>
      <c r="F286" s="57"/>
      <c r="G286" s="60" t="s">
        <v>394</v>
      </c>
      <c r="H286" s="61">
        <v>1</v>
      </c>
      <c r="I286" s="57" t="s">
        <v>948</v>
      </c>
      <c r="J286" s="58" t="s">
        <v>683</v>
      </c>
      <c r="K286" s="58"/>
    </row>
    <row r="287" spans="1:11">
      <c r="A287" s="57">
        <f t="shared" si="4"/>
        <v>285</v>
      </c>
      <c r="B287" s="57" t="s">
        <v>945</v>
      </c>
      <c r="C287" s="57" t="s">
        <v>665</v>
      </c>
      <c r="D287" s="58" t="s">
        <v>701</v>
      </c>
      <c r="E287" s="59" t="s">
        <v>702</v>
      </c>
      <c r="F287" s="57"/>
      <c r="G287" s="60" t="s">
        <v>394</v>
      </c>
      <c r="H287" s="61">
        <v>1</v>
      </c>
      <c r="I287" s="57" t="s">
        <v>948</v>
      </c>
      <c r="J287" s="58" t="s">
        <v>683</v>
      </c>
      <c r="K287" s="58"/>
    </row>
    <row r="288" spans="1:11">
      <c r="A288" s="57">
        <f t="shared" si="4"/>
        <v>286</v>
      </c>
      <c r="B288" s="57" t="s">
        <v>945</v>
      </c>
      <c r="C288" s="57" t="s">
        <v>665</v>
      </c>
      <c r="D288" s="58" t="s">
        <v>1115</v>
      </c>
      <c r="E288" s="59" t="s">
        <v>1116</v>
      </c>
      <c r="F288" s="57"/>
      <c r="G288" s="60" t="s">
        <v>394</v>
      </c>
      <c r="H288" s="61">
        <v>1</v>
      </c>
      <c r="I288" s="57" t="s">
        <v>948</v>
      </c>
      <c r="J288" s="58" t="s">
        <v>683</v>
      </c>
      <c r="K288" s="58"/>
    </row>
    <row r="289" spans="1:11">
      <c r="A289" s="57">
        <f t="shared" si="4"/>
        <v>287</v>
      </c>
      <c r="B289" s="57" t="s">
        <v>945</v>
      </c>
      <c r="C289" s="57" t="s">
        <v>665</v>
      </c>
      <c r="D289" s="58" t="s">
        <v>709</v>
      </c>
      <c r="E289" s="59" t="s">
        <v>1117</v>
      </c>
      <c r="F289" s="57"/>
      <c r="G289" s="60" t="s">
        <v>394</v>
      </c>
      <c r="H289" s="61">
        <v>1</v>
      </c>
      <c r="I289" s="57" t="s">
        <v>948</v>
      </c>
      <c r="J289" s="58" t="s">
        <v>683</v>
      </c>
      <c r="K289" s="58"/>
    </row>
    <row r="290" spans="1:11">
      <c r="A290" s="57">
        <f t="shared" si="4"/>
        <v>288</v>
      </c>
      <c r="B290" s="57" t="s">
        <v>945</v>
      </c>
      <c r="C290" s="57" t="s">
        <v>665</v>
      </c>
      <c r="D290" s="58" t="s">
        <v>715</v>
      </c>
      <c r="E290" s="59" t="s">
        <v>1118</v>
      </c>
      <c r="F290" s="57"/>
      <c r="G290" s="60" t="s">
        <v>394</v>
      </c>
      <c r="H290" s="61">
        <v>1</v>
      </c>
      <c r="I290" s="57" t="s">
        <v>948</v>
      </c>
      <c r="J290" s="58" t="s">
        <v>683</v>
      </c>
      <c r="K290" s="58"/>
    </row>
    <row r="291" spans="1:11">
      <c r="A291" s="57">
        <f t="shared" si="4"/>
        <v>289</v>
      </c>
      <c r="B291" s="57" t="s">
        <v>945</v>
      </c>
      <c r="C291" s="57" t="s">
        <v>665</v>
      </c>
      <c r="D291" s="58" t="s">
        <v>718</v>
      </c>
      <c r="E291" s="59" t="s">
        <v>716</v>
      </c>
      <c r="F291" s="57"/>
      <c r="G291" s="60" t="s">
        <v>394</v>
      </c>
      <c r="H291" s="61">
        <v>1</v>
      </c>
      <c r="I291" s="57" t="s">
        <v>948</v>
      </c>
      <c r="J291" s="58" t="s">
        <v>683</v>
      </c>
      <c r="K291" s="58"/>
    </row>
    <row r="292" spans="1:11">
      <c r="A292" s="57">
        <f t="shared" si="4"/>
        <v>290</v>
      </c>
      <c r="B292" s="57" t="s">
        <v>945</v>
      </c>
      <c r="C292" s="57" t="s">
        <v>665</v>
      </c>
      <c r="D292" s="58" t="s">
        <v>720</v>
      </c>
      <c r="E292" s="59" t="s">
        <v>1119</v>
      </c>
      <c r="F292" s="57"/>
      <c r="G292" s="60" t="s">
        <v>394</v>
      </c>
      <c r="H292" s="61">
        <v>1</v>
      </c>
      <c r="I292" s="57" t="s">
        <v>948</v>
      </c>
      <c r="J292" s="58" t="s">
        <v>683</v>
      </c>
      <c r="K292" s="58"/>
    </row>
    <row r="293" spans="1:11">
      <c r="A293" s="57">
        <f t="shared" si="4"/>
        <v>291</v>
      </c>
      <c r="B293" s="57" t="s">
        <v>945</v>
      </c>
      <c r="C293" s="57" t="s">
        <v>665</v>
      </c>
      <c r="D293" s="58" t="s">
        <v>724</v>
      </c>
      <c r="E293" s="59" t="s">
        <v>1120</v>
      </c>
      <c r="F293" s="57"/>
      <c r="G293" s="60" t="s">
        <v>394</v>
      </c>
      <c r="H293" s="61">
        <v>1</v>
      </c>
      <c r="I293" s="57" t="s">
        <v>948</v>
      </c>
      <c r="J293" s="58" t="s">
        <v>683</v>
      </c>
      <c r="K293" s="58"/>
    </row>
    <row r="294" spans="1:11">
      <c r="A294" s="57">
        <f t="shared" si="4"/>
        <v>292</v>
      </c>
      <c r="B294" s="57" t="s">
        <v>945</v>
      </c>
      <c r="C294" s="57" t="s">
        <v>665</v>
      </c>
      <c r="D294" s="58" t="s">
        <v>728</v>
      </c>
      <c r="E294" s="59" t="s">
        <v>719</v>
      </c>
      <c r="F294" s="57"/>
      <c r="G294" s="60" t="s">
        <v>394</v>
      </c>
      <c r="H294" s="61">
        <v>1</v>
      </c>
      <c r="I294" s="57" t="s">
        <v>948</v>
      </c>
      <c r="J294" s="58" t="s">
        <v>683</v>
      </c>
      <c r="K294" s="58"/>
    </row>
    <row r="295" spans="1:11">
      <c r="A295" s="57">
        <f t="shared" si="4"/>
        <v>293</v>
      </c>
      <c r="B295" s="57" t="s">
        <v>945</v>
      </c>
      <c r="C295" s="57" t="s">
        <v>665</v>
      </c>
      <c r="D295" s="58" t="s">
        <v>732</v>
      </c>
      <c r="E295" s="59" t="s">
        <v>1121</v>
      </c>
      <c r="F295" s="57"/>
      <c r="G295" s="60" t="s">
        <v>394</v>
      </c>
      <c r="H295" s="61">
        <v>1</v>
      </c>
      <c r="I295" s="57" t="s">
        <v>948</v>
      </c>
      <c r="J295" s="58" t="s">
        <v>683</v>
      </c>
      <c r="K295" s="58"/>
    </row>
    <row r="296" spans="1:11">
      <c r="A296" s="57">
        <f t="shared" si="4"/>
        <v>294</v>
      </c>
      <c r="B296" s="57" t="s">
        <v>945</v>
      </c>
      <c r="C296" s="57" t="s">
        <v>665</v>
      </c>
      <c r="D296" s="58" t="s">
        <v>737</v>
      </c>
      <c r="E296" s="59" t="s">
        <v>1122</v>
      </c>
      <c r="F296" s="57"/>
      <c r="G296" s="60" t="s">
        <v>394</v>
      </c>
      <c r="H296" s="61">
        <v>1</v>
      </c>
      <c r="I296" s="57" t="s">
        <v>948</v>
      </c>
      <c r="J296" s="58" t="s">
        <v>683</v>
      </c>
      <c r="K296" s="58"/>
    </row>
    <row r="297" spans="1:11">
      <c r="A297" s="57">
        <f t="shared" si="4"/>
        <v>295</v>
      </c>
      <c r="B297" s="57" t="s">
        <v>945</v>
      </c>
      <c r="C297" s="57" t="s">
        <v>665</v>
      </c>
      <c r="D297" s="58" t="s">
        <v>741</v>
      </c>
      <c r="E297" s="59" t="s">
        <v>1123</v>
      </c>
      <c r="F297" s="57"/>
      <c r="G297" s="60" t="s">
        <v>394</v>
      </c>
      <c r="H297" s="61">
        <v>1</v>
      </c>
      <c r="I297" s="57" t="s">
        <v>948</v>
      </c>
      <c r="J297" s="58" t="s">
        <v>683</v>
      </c>
      <c r="K297" s="58"/>
    </row>
    <row r="298" spans="1:11">
      <c r="A298" s="57">
        <f t="shared" si="4"/>
        <v>296</v>
      </c>
      <c r="B298" s="57" t="s">
        <v>945</v>
      </c>
      <c r="C298" s="57" t="s">
        <v>665</v>
      </c>
      <c r="D298" s="58" t="s">
        <v>744</v>
      </c>
      <c r="E298" s="59" t="s">
        <v>1124</v>
      </c>
      <c r="F298" s="57"/>
      <c r="G298" s="60" t="s">
        <v>394</v>
      </c>
      <c r="H298" s="61">
        <v>1</v>
      </c>
      <c r="I298" s="57" t="s">
        <v>948</v>
      </c>
      <c r="J298" s="58" t="s">
        <v>683</v>
      </c>
      <c r="K298" s="58"/>
    </row>
    <row r="299" spans="1:11">
      <c r="A299" s="57">
        <f t="shared" si="4"/>
        <v>297</v>
      </c>
      <c r="B299" s="57" t="s">
        <v>945</v>
      </c>
      <c r="C299" s="57" t="s">
        <v>665</v>
      </c>
      <c r="D299" s="58" t="s">
        <v>746</v>
      </c>
      <c r="E299" s="59" t="s">
        <v>1125</v>
      </c>
      <c r="F299" s="57"/>
      <c r="G299" s="60" t="s">
        <v>394</v>
      </c>
      <c r="H299" s="61">
        <v>1</v>
      </c>
      <c r="I299" s="57" t="s">
        <v>948</v>
      </c>
      <c r="J299" s="58" t="s">
        <v>683</v>
      </c>
      <c r="K299" s="58"/>
    </row>
    <row r="300" spans="1:11">
      <c r="A300" s="57">
        <f t="shared" si="4"/>
        <v>298</v>
      </c>
      <c r="B300" s="57" t="s">
        <v>945</v>
      </c>
      <c r="C300" s="57" t="s">
        <v>665</v>
      </c>
      <c r="D300" s="58" t="s">
        <v>748</v>
      </c>
      <c r="E300" s="59" t="s">
        <v>1126</v>
      </c>
      <c r="F300" s="57"/>
      <c r="G300" s="60" t="s">
        <v>394</v>
      </c>
      <c r="H300" s="61">
        <v>1</v>
      </c>
      <c r="I300" s="57" t="s">
        <v>948</v>
      </c>
      <c r="J300" s="58" t="s">
        <v>683</v>
      </c>
      <c r="K300" s="58"/>
    </row>
    <row r="301" spans="1:11">
      <c r="A301" s="57">
        <f t="shared" si="4"/>
        <v>299</v>
      </c>
      <c r="B301" s="57" t="s">
        <v>945</v>
      </c>
      <c r="C301" s="57" t="s">
        <v>665</v>
      </c>
      <c r="D301" s="58" t="s">
        <v>750</v>
      </c>
      <c r="E301" s="59" t="s">
        <v>749</v>
      </c>
      <c r="F301" s="57"/>
      <c r="G301" s="60" t="s">
        <v>394</v>
      </c>
      <c r="H301" s="61">
        <v>1</v>
      </c>
      <c r="I301" s="57" t="s">
        <v>948</v>
      </c>
      <c r="J301" s="58" t="s">
        <v>683</v>
      </c>
      <c r="K301" s="58"/>
    </row>
    <row r="302" spans="1:11">
      <c r="A302" s="57">
        <f t="shared" si="4"/>
        <v>300</v>
      </c>
      <c r="B302" s="57" t="s">
        <v>945</v>
      </c>
      <c r="C302" s="57" t="s">
        <v>665</v>
      </c>
      <c r="D302" s="58" t="s">
        <v>752</v>
      </c>
      <c r="E302" s="59" t="s">
        <v>1127</v>
      </c>
      <c r="F302" s="57"/>
      <c r="G302" s="60" t="s">
        <v>394</v>
      </c>
      <c r="H302" s="61">
        <v>1</v>
      </c>
      <c r="I302" s="57" t="s">
        <v>948</v>
      </c>
      <c r="J302" s="58" t="s">
        <v>683</v>
      </c>
      <c r="K302" s="58"/>
    </row>
    <row r="303" spans="1:11">
      <c r="A303" s="57">
        <f t="shared" si="4"/>
        <v>301</v>
      </c>
      <c r="B303" s="57" t="s">
        <v>945</v>
      </c>
      <c r="C303" s="57" t="s">
        <v>665</v>
      </c>
      <c r="D303" s="58" t="s">
        <v>754</v>
      </c>
      <c r="E303" s="59" t="s">
        <v>1128</v>
      </c>
      <c r="F303" s="57"/>
      <c r="G303" s="60" t="s">
        <v>394</v>
      </c>
      <c r="H303" s="61">
        <v>1</v>
      </c>
      <c r="I303" s="57" t="s">
        <v>948</v>
      </c>
      <c r="J303" s="58" t="s">
        <v>683</v>
      </c>
      <c r="K303" s="58"/>
    </row>
    <row r="304" spans="1:11">
      <c r="A304" s="57">
        <f t="shared" si="4"/>
        <v>302</v>
      </c>
      <c r="B304" s="57" t="s">
        <v>945</v>
      </c>
      <c r="C304" s="57" t="s">
        <v>665</v>
      </c>
      <c r="D304" s="58" t="s">
        <v>756</v>
      </c>
      <c r="E304" s="59" t="s">
        <v>1129</v>
      </c>
      <c r="F304" s="57"/>
      <c r="G304" s="60" t="s">
        <v>394</v>
      </c>
      <c r="H304" s="61">
        <v>1</v>
      </c>
      <c r="I304" s="57" t="s">
        <v>948</v>
      </c>
      <c r="J304" s="58" t="s">
        <v>683</v>
      </c>
      <c r="K304" s="58"/>
    </row>
    <row r="305" spans="1:11">
      <c r="A305" s="57">
        <f t="shared" si="4"/>
        <v>303</v>
      </c>
      <c r="B305" s="57" t="s">
        <v>945</v>
      </c>
      <c r="C305" s="57" t="s">
        <v>665</v>
      </c>
      <c r="D305" s="58" t="s">
        <v>1130</v>
      </c>
      <c r="E305" s="59" t="s">
        <v>1131</v>
      </c>
      <c r="F305" s="57"/>
      <c r="G305" s="60" t="s">
        <v>394</v>
      </c>
      <c r="H305" s="61">
        <v>1</v>
      </c>
      <c r="I305" s="57" t="s">
        <v>948</v>
      </c>
      <c r="J305" s="58" t="s">
        <v>683</v>
      </c>
      <c r="K305" s="58"/>
    </row>
    <row r="306" spans="1:11">
      <c r="A306" s="57">
        <f t="shared" si="4"/>
        <v>304</v>
      </c>
      <c r="B306" s="57" t="s">
        <v>945</v>
      </c>
      <c r="C306" s="57" t="s">
        <v>665</v>
      </c>
      <c r="D306" s="58" t="s">
        <v>1132</v>
      </c>
      <c r="E306" s="59" t="s">
        <v>1133</v>
      </c>
      <c r="F306" s="57"/>
      <c r="G306" s="60" t="s">
        <v>394</v>
      </c>
      <c r="H306" s="61">
        <v>1</v>
      </c>
      <c r="I306" s="57" t="s">
        <v>948</v>
      </c>
      <c r="J306" s="58" t="s">
        <v>683</v>
      </c>
      <c r="K306" s="58"/>
    </row>
    <row r="307" spans="1:11">
      <c r="A307" s="57">
        <f t="shared" si="4"/>
        <v>305</v>
      </c>
      <c r="B307" s="57" t="s">
        <v>945</v>
      </c>
      <c r="C307" s="57" t="s">
        <v>665</v>
      </c>
      <c r="D307" s="58" t="s">
        <v>1134</v>
      </c>
      <c r="E307" s="59" t="s">
        <v>1135</v>
      </c>
      <c r="F307" s="57"/>
      <c r="G307" s="60" t="s">
        <v>394</v>
      </c>
      <c r="H307" s="61">
        <v>1</v>
      </c>
      <c r="I307" s="57" t="s">
        <v>948</v>
      </c>
      <c r="J307" s="58" t="s">
        <v>683</v>
      </c>
      <c r="K307" s="58"/>
    </row>
    <row r="308" spans="1:11">
      <c r="A308" s="57">
        <f t="shared" si="4"/>
        <v>306</v>
      </c>
      <c r="B308" s="57" t="s">
        <v>945</v>
      </c>
      <c r="C308" s="57" t="s">
        <v>665</v>
      </c>
      <c r="D308" s="58" t="s">
        <v>1136</v>
      </c>
      <c r="E308" s="59" t="s">
        <v>1137</v>
      </c>
      <c r="F308" s="57"/>
      <c r="G308" s="60" t="s">
        <v>394</v>
      </c>
      <c r="H308" s="61">
        <v>1</v>
      </c>
      <c r="I308" s="57" t="s">
        <v>948</v>
      </c>
      <c r="J308" s="58" t="s">
        <v>683</v>
      </c>
      <c r="K308" s="58"/>
    </row>
    <row r="309" spans="1:11">
      <c r="A309" s="57">
        <f t="shared" si="4"/>
        <v>307</v>
      </c>
      <c r="B309" s="57" t="s">
        <v>945</v>
      </c>
      <c r="C309" s="57" t="s">
        <v>773</v>
      </c>
      <c r="D309" s="58" t="s">
        <v>1138</v>
      </c>
      <c r="E309" s="59" t="s">
        <v>1139</v>
      </c>
      <c r="F309" s="57"/>
      <c r="G309" s="60" t="s">
        <v>394</v>
      </c>
      <c r="H309" s="61">
        <v>1</v>
      </c>
      <c r="I309" s="57" t="s">
        <v>948</v>
      </c>
      <c r="J309" s="58" t="s">
        <v>683</v>
      </c>
      <c r="K309" s="58"/>
    </row>
    <row r="310" spans="1:11">
      <c r="A310" s="57">
        <f t="shared" si="4"/>
        <v>308</v>
      </c>
      <c r="B310" s="57" t="s">
        <v>945</v>
      </c>
      <c r="C310" s="57" t="s">
        <v>773</v>
      </c>
      <c r="D310" s="58" t="s">
        <v>1140</v>
      </c>
      <c r="E310" s="59" t="s">
        <v>1141</v>
      </c>
      <c r="F310" s="57"/>
      <c r="G310" s="60" t="s">
        <v>394</v>
      </c>
      <c r="H310" s="61">
        <v>1</v>
      </c>
      <c r="I310" s="57" t="s">
        <v>948</v>
      </c>
      <c r="J310" s="58" t="s">
        <v>683</v>
      </c>
      <c r="K310" s="58"/>
    </row>
    <row r="311" spans="1:11">
      <c r="A311" s="57">
        <f t="shared" si="4"/>
        <v>309</v>
      </c>
      <c r="B311" s="57" t="s">
        <v>945</v>
      </c>
      <c r="C311" s="57" t="s">
        <v>773</v>
      </c>
      <c r="D311" s="58" t="s">
        <v>1142</v>
      </c>
      <c r="E311" s="59" t="s">
        <v>1143</v>
      </c>
      <c r="F311" s="57"/>
      <c r="G311" s="60" t="s">
        <v>394</v>
      </c>
      <c r="H311" s="61">
        <v>1</v>
      </c>
      <c r="I311" s="57" t="s">
        <v>948</v>
      </c>
      <c r="J311" s="58" t="s">
        <v>683</v>
      </c>
      <c r="K311" s="58"/>
    </row>
    <row r="312" spans="1:11">
      <c r="A312" s="57">
        <f t="shared" si="4"/>
        <v>310</v>
      </c>
      <c r="B312" s="57" t="s">
        <v>945</v>
      </c>
      <c r="C312" s="57" t="s">
        <v>773</v>
      </c>
      <c r="D312" s="58" t="s">
        <v>1144</v>
      </c>
      <c r="E312" s="59" t="s">
        <v>1145</v>
      </c>
      <c r="F312" s="57"/>
      <c r="G312" s="60" t="s">
        <v>394</v>
      </c>
      <c r="H312" s="61">
        <v>1</v>
      </c>
      <c r="I312" s="57" t="s">
        <v>948</v>
      </c>
      <c r="J312" s="58" t="s">
        <v>683</v>
      </c>
      <c r="K312" s="58"/>
    </row>
    <row r="313" spans="1:11">
      <c r="A313" s="57">
        <f t="shared" si="4"/>
        <v>311</v>
      </c>
      <c r="B313" s="57" t="s">
        <v>945</v>
      </c>
      <c r="C313" s="57" t="s">
        <v>773</v>
      </c>
      <c r="D313" s="58" t="s">
        <v>1146</v>
      </c>
      <c r="E313" s="59" t="s">
        <v>1147</v>
      </c>
      <c r="F313" s="57"/>
      <c r="G313" s="60" t="s">
        <v>394</v>
      </c>
      <c r="H313" s="61">
        <v>1</v>
      </c>
      <c r="I313" s="57" t="s">
        <v>948</v>
      </c>
      <c r="J313" s="58" t="s">
        <v>683</v>
      </c>
      <c r="K313" s="58"/>
    </row>
    <row r="314" spans="1:11">
      <c r="A314" s="57">
        <f t="shared" si="4"/>
        <v>312</v>
      </c>
      <c r="B314" s="57" t="s">
        <v>945</v>
      </c>
      <c r="C314" s="57" t="s">
        <v>773</v>
      </c>
      <c r="D314" s="58" t="s">
        <v>1148</v>
      </c>
      <c r="E314" s="59" t="s">
        <v>1149</v>
      </c>
      <c r="F314" s="57"/>
      <c r="G314" s="60" t="s">
        <v>394</v>
      </c>
      <c r="H314" s="61">
        <v>1</v>
      </c>
      <c r="I314" s="57" t="s">
        <v>948</v>
      </c>
      <c r="J314" s="58" t="s">
        <v>470</v>
      </c>
      <c r="K314" s="58"/>
    </row>
    <row r="315" spans="1:11">
      <c r="A315" s="57">
        <f t="shared" si="4"/>
        <v>313</v>
      </c>
      <c r="B315" s="57" t="s">
        <v>945</v>
      </c>
      <c r="C315" s="57" t="s">
        <v>773</v>
      </c>
      <c r="D315" s="58" t="s">
        <v>1150</v>
      </c>
      <c r="E315" s="59" t="s">
        <v>1151</v>
      </c>
      <c r="F315" s="57"/>
      <c r="G315" s="60" t="s">
        <v>394</v>
      </c>
      <c r="H315" s="61">
        <v>1</v>
      </c>
      <c r="I315" s="57" t="s">
        <v>948</v>
      </c>
      <c r="J315" s="58" t="s">
        <v>470</v>
      </c>
      <c r="K315" s="58"/>
    </row>
    <row r="316" spans="1:11">
      <c r="A316" s="57">
        <f t="shared" si="4"/>
        <v>314</v>
      </c>
      <c r="B316" s="57" t="s">
        <v>945</v>
      </c>
      <c r="C316" s="57" t="s">
        <v>773</v>
      </c>
      <c r="D316" s="58" t="s">
        <v>1152</v>
      </c>
      <c r="E316" s="59" t="s">
        <v>1153</v>
      </c>
      <c r="F316" s="57"/>
      <c r="G316" s="60" t="s">
        <v>394</v>
      </c>
      <c r="H316" s="61">
        <v>1</v>
      </c>
      <c r="I316" s="57" t="s">
        <v>948</v>
      </c>
      <c r="J316" s="58" t="s">
        <v>470</v>
      </c>
      <c r="K316" s="58"/>
    </row>
    <row r="317" spans="1:11">
      <c r="A317" s="57">
        <f t="shared" si="4"/>
        <v>315</v>
      </c>
      <c r="B317" s="57" t="s">
        <v>945</v>
      </c>
      <c r="C317" s="57" t="s">
        <v>773</v>
      </c>
      <c r="D317" s="58" t="s">
        <v>1154</v>
      </c>
      <c r="E317" s="59" t="s">
        <v>1155</v>
      </c>
      <c r="F317" s="57"/>
      <c r="G317" s="60" t="s">
        <v>394</v>
      </c>
      <c r="H317" s="61">
        <v>1</v>
      </c>
      <c r="I317" s="57" t="s">
        <v>948</v>
      </c>
      <c r="J317" s="58" t="s">
        <v>470</v>
      </c>
      <c r="K317" s="58"/>
    </row>
    <row r="318" spans="1:11">
      <c r="A318" s="57">
        <f t="shared" si="4"/>
        <v>316</v>
      </c>
      <c r="B318" s="57" t="s">
        <v>945</v>
      </c>
      <c r="C318" s="57" t="s">
        <v>773</v>
      </c>
      <c r="D318" s="58" t="s">
        <v>1156</v>
      </c>
      <c r="E318" s="59" t="s">
        <v>1157</v>
      </c>
      <c r="F318" s="57"/>
      <c r="G318" s="60" t="s">
        <v>394</v>
      </c>
      <c r="H318" s="61">
        <v>1</v>
      </c>
      <c r="I318" s="57" t="s">
        <v>948</v>
      </c>
      <c r="J318" s="58" t="s">
        <v>470</v>
      </c>
      <c r="K318" s="58"/>
    </row>
    <row r="319" spans="1:11">
      <c r="A319" s="57">
        <f t="shared" si="4"/>
        <v>317</v>
      </c>
      <c r="B319" s="57" t="s">
        <v>945</v>
      </c>
      <c r="C319" s="57" t="s">
        <v>773</v>
      </c>
      <c r="D319" s="58" t="s">
        <v>1158</v>
      </c>
      <c r="E319" s="59" t="s">
        <v>1159</v>
      </c>
      <c r="F319" s="57"/>
      <c r="G319" s="60" t="s">
        <v>394</v>
      </c>
      <c r="H319" s="61">
        <v>1</v>
      </c>
      <c r="I319" s="57" t="s">
        <v>948</v>
      </c>
      <c r="J319" s="58" t="s">
        <v>470</v>
      </c>
      <c r="K319" s="58"/>
    </row>
    <row r="320" spans="1:11">
      <c r="A320" s="57">
        <f t="shared" si="4"/>
        <v>318</v>
      </c>
      <c r="B320" s="57" t="s">
        <v>945</v>
      </c>
      <c r="C320" s="57" t="s">
        <v>773</v>
      </c>
      <c r="D320" s="58" t="s">
        <v>1160</v>
      </c>
      <c r="E320" s="59" t="s">
        <v>1161</v>
      </c>
      <c r="F320" s="57"/>
      <c r="G320" s="60" t="s">
        <v>394</v>
      </c>
      <c r="H320" s="61">
        <v>1</v>
      </c>
      <c r="I320" s="57" t="s">
        <v>948</v>
      </c>
      <c r="J320" s="58" t="s">
        <v>470</v>
      </c>
      <c r="K320" s="58"/>
    </row>
    <row r="321" spans="1:11">
      <c r="A321" s="57">
        <f t="shared" si="4"/>
        <v>319</v>
      </c>
      <c r="B321" s="57" t="s">
        <v>945</v>
      </c>
      <c r="C321" s="57" t="s">
        <v>773</v>
      </c>
      <c r="D321" s="58" t="s">
        <v>1162</v>
      </c>
      <c r="E321" s="59" t="s">
        <v>1163</v>
      </c>
      <c r="F321" s="57"/>
      <c r="G321" s="60" t="s">
        <v>394</v>
      </c>
      <c r="H321" s="61">
        <v>1</v>
      </c>
      <c r="I321" s="57" t="s">
        <v>948</v>
      </c>
      <c r="J321" s="58" t="s">
        <v>470</v>
      </c>
      <c r="K321" s="58"/>
    </row>
    <row r="322" spans="1:11">
      <c r="A322" s="57">
        <f t="shared" si="4"/>
        <v>320</v>
      </c>
      <c r="B322" s="57" t="s">
        <v>945</v>
      </c>
      <c r="C322" s="57" t="s">
        <v>773</v>
      </c>
      <c r="D322" s="58" t="s">
        <v>1164</v>
      </c>
      <c r="E322" s="59" t="s">
        <v>1165</v>
      </c>
      <c r="F322" s="57"/>
      <c r="G322" s="60" t="s">
        <v>394</v>
      </c>
      <c r="H322" s="61">
        <v>1</v>
      </c>
      <c r="I322" s="57" t="s">
        <v>948</v>
      </c>
      <c r="J322" s="58" t="s">
        <v>683</v>
      </c>
      <c r="K322" s="58"/>
    </row>
    <row r="323" spans="1:11">
      <c r="A323" s="57">
        <f t="shared" si="4"/>
        <v>321</v>
      </c>
      <c r="B323" s="57" t="s">
        <v>945</v>
      </c>
      <c r="C323" s="57" t="s">
        <v>773</v>
      </c>
      <c r="D323" s="58" t="s">
        <v>1166</v>
      </c>
      <c r="E323" s="59" t="s">
        <v>1167</v>
      </c>
      <c r="F323" s="57"/>
      <c r="G323" s="60" t="s">
        <v>394</v>
      </c>
      <c r="H323" s="61">
        <v>1</v>
      </c>
      <c r="I323" s="57" t="s">
        <v>948</v>
      </c>
      <c r="J323" s="58" t="s">
        <v>683</v>
      </c>
      <c r="K323" s="58"/>
    </row>
    <row r="324" spans="1:11">
      <c r="A324" s="57">
        <f t="shared" si="4"/>
        <v>322</v>
      </c>
      <c r="B324" s="57" t="s">
        <v>945</v>
      </c>
      <c r="C324" s="57" t="s">
        <v>773</v>
      </c>
      <c r="D324" s="58" t="s">
        <v>1168</v>
      </c>
      <c r="E324" s="59" t="s">
        <v>821</v>
      </c>
      <c r="F324" s="57"/>
      <c r="G324" s="60" t="s">
        <v>394</v>
      </c>
      <c r="H324" s="61">
        <v>1</v>
      </c>
      <c r="I324" s="57" t="s">
        <v>948</v>
      </c>
      <c r="J324" s="58" t="s">
        <v>683</v>
      </c>
      <c r="K324" s="58"/>
    </row>
    <row r="325" spans="1:11">
      <c r="A325" s="57">
        <f t="shared" si="4"/>
        <v>323</v>
      </c>
      <c r="B325" s="57" t="s">
        <v>945</v>
      </c>
      <c r="C325" s="57" t="s">
        <v>773</v>
      </c>
      <c r="D325" s="58" t="s">
        <v>1169</v>
      </c>
      <c r="E325" s="59" t="s">
        <v>1170</v>
      </c>
      <c r="F325" s="57"/>
      <c r="G325" s="60" t="s">
        <v>394</v>
      </c>
      <c r="H325" s="61">
        <v>1</v>
      </c>
      <c r="I325" s="57" t="s">
        <v>948</v>
      </c>
      <c r="J325" s="58" t="s">
        <v>683</v>
      </c>
      <c r="K325" s="58"/>
    </row>
    <row r="326" spans="1:11">
      <c r="A326" s="57">
        <f t="shared" si="4"/>
        <v>324</v>
      </c>
      <c r="B326" s="57" t="s">
        <v>945</v>
      </c>
      <c r="C326" s="57" t="s">
        <v>773</v>
      </c>
      <c r="D326" s="58" t="s">
        <v>1171</v>
      </c>
      <c r="E326" s="59" t="s">
        <v>1172</v>
      </c>
      <c r="F326" s="57"/>
      <c r="G326" s="60" t="s">
        <v>394</v>
      </c>
      <c r="H326" s="61">
        <v>1</v>
      </c>
      <c r="I326" s="57" t="s">
        <v>948</v>
      </c>
      <c r="J326" s="58" t="s">
        <v>683</v>
      </c>
      <c r="K326" s="58"/>
    </row>
    <row r="327" spans="1:11">
      <c r="A327" s="57">
        <f t="shared" si="4"/>
        <v>325</v>
      </c>
      <c r="B327" s="57" t="s">
        <v>945</v>
      </c>
      <c r="C327" s="57" t="s">
        <v>773</v>
      </c>
      <c r="D327" s="58" t="s">
        <v>1173</v>
      </c>
      <c r="E327" s="59" t="s">
        <v>1174</v>
      </c>
      <c r="F327" s="57"/>
      <c r="G327" s="60" t="s">
        <v>394</v>
      </c>
      <c r="H327" s="61">
        <v>1</v>
      </c>
      <c r="I327" s="57" t="s">
        <v>948</v>
      </c>
      <c r="J327" s="58" t="s">
        <v>683</v>
      </c>
      <c r="K327" s="58"/>
    </row>
    <row r="328" spans="1:11">
      <c r="A328" s="57">
        <f t="shared" si="4"/>
        <v>326</v>
      </c>
      <c r="B328" s="57" t="s">
        <v>945</v>
      </c>
      <c r="C328" s="57" t="s">
        <v>773</v>
      </c>
      <c r="D328" s="58" t="s">
        <v>1175</v>
      </c>
      <c r="E328" s="59" t="s">
        <v>1176</v>
      </c>
      <c r="F328" s="57"/>
      <c r="G328" s="60" t="s">
        <v>394</v>
      </c>
      <c r="H328" s="61">
        <v>1</v>
      </c>
      <c r="I328" s="57" t="s">
        <v>948</v>
      </c>
      <c r="J328" s="58" t="s">
        <v>683</v>
      </c>
      <c r="K328" s="58"/>
    </row>
    <row r="329" spans="1:11">
      <c r="A329" s="57">
        <f t="shared" si="4"/>
        <v>327</v>
      </c>
      <c r="B329" s="57" t="s">
        <v>945</v>
      </c>
      <c r="C329" s="57" t="s">
        <v>773</v>
      </c>
      <c r="D329" s="58" t="s">
        <v>1177</v>
      </c>
      <c r="E329" s="59" t="s">
        <v>824</v>
      </c>
      <c r="F329" s="57"/>
      <c r="G329" s="60" t="s">
        <v>394</v>
      </c>
      <c r="H329" s="61">
        <v>1</v>
      </c>
      <c r="I329" s="57" t="s">
        <v>948</v>
      </c>
      <c r="J329" s="58" t="s">
        <v>683</v>
      </c>
      <c r="K329" s="58"/>
    </row>
    <row r="330" spans="1:11">
      <c r="A330" s="57">
        <f t="shared" ref="A330:A393" si="5">ROW()-2</f>
        <v>328</v>
      </c>
      <c r="B330" s="57" t="s">
        <v>945</v>
      </c>
      <c r="C330" s="57" t="s">
        <v>773</v>
      </c>
      <c r="D330" s="58" t="s">
        <v>1178</v>
      </c>
      <c r="E330" s="59" t="s">
        <v>1179</v>
      </c>
      <c r="F330" s="57"/>
      <c r="G330" s="60" t="s">
        <v>394</v>
      </c>
      <c r="H330" s="61">
        <v>1</v>
      </c>
      <c r="I330" s="57" t="s">
        <v>948</v>
      </c>
      <c r="J330" s="58" t="s">
        <v>683</v>
      </c>
      <c r="K330" s="58"/>
    </row>
    <row r="331" spans="1:11">
      <c r="A331" s="57">
        <f t="shared" si="5"/>
        <v>329</v>
      </c>
      <c r="B331" s="57" t="s">
        <v>945</v>
      </c>
      <c r="C331" s="57" t="s">
        <v>773</v>
      </c>
      <c r="D331" s="58" t="s">
        <v>1180</v>
      </c>
      <c r="E331" s="59" t="s">
        <v>1181</v>
      </c>
      <c r="F331" s="57"/>
      <c r="G331" s="60" t="s">
        <v>394</v>
      </c>
      <c r="H331" s="61">
        <v>1</v>
      </c>
      <c r="I331" s="57" t="s">
        <v>948</v>
      </c>
      <c r="J331" s="58" t="s">
        <v>470</v>
      </c>
      <c r="K331" s="58"/>
    </row>
    <row r="332" spans="1:11">
      <c r="A332" s="57">
        <f t="shared" si="5"/>
        <v>330</v>
      </c>
      <c r="B332" s="57" t="s">
        <v>945</v>
      </c>
      <c r="C332" s="57" t="s">
        <v>773</v>
      </c>
      <c r="D332" s="58" t="s">
        <v>1182</v>
      </c>
      <c r="E332" s="59" t="s">
        <v>832</v>
      </c>
      <c r="F332" s="57"/>
      <c r="G332" s="60" t="s">
        <v>394</v>
      </c>
      <c r="H332" s="61">
        <v>1</v>
      </c>
      <c r="I332" s="57" t="s">
        <v>948</v>
      </c>
      <c r="J332" s="58" t="s">
        <v>683</v>
      </c>
      <c r="K332" s="58"/>
    </row>
    <row r="333" spans="1:11">
      <c r="A333" s="57">
        <f t="shared" si="5"/>
        <v>331</v>
      </c>
      <c r="B333" s="57" t="s">
        <v>945</v>
      </c>
      <c r="C333" s="57" t="s">
        <v>773</v>
      </c>
      <c r="D333" s="58" t="s">
        <v>1183</v>
      </c>
      <c r="E333" s="59" t="s">
        <v>1184</v>
      </c>
      <c r="F333" s="57"/>
      <c r="G333" s="60" t="s">
        <v>394</v>
      </c>
      <c r="H333" s="61">
        <v>1</v>
      </c>
      <c r="I333" s="57" t="s">
        <v>948</v>
      </c>
      <c r="J333" s="58" t="s">
        <v>470</v>
      </c>
      <c r="K333" s="58"/>
    </row>
    <row r="334" spans="1:11">
      <c r="A334" s="57">
        <f t="shared" si="5"/>
        <v>332</v>
      </c>
      <c r="B334" s="57" t="s">
        <v>945</v>
      </c>
      <c r="C334" s="57" t="s">
        <v>773</v>
      </c>
      <c r="D334" s="58" t="s">
        <v>1185</v>
      </c>
      <c r="E334" s="59" t="s">
        <v>1186</v>
      </c>
      <c r="F334" s="57"/>
      <c r="G334" s="60" t="s">
        <v>394</v>
      </c>
      <c r="H334" s="61">
        <v>1</v>
      </c>
      <c r="I334" s="57" t="s">
        <v>948</v>
      </c>
      <c r="J334" s="58" t="s">
        <v>683</v>
      </c>
      <c r="K334" s="58"/>
    </row>
    <row r="335" spans="1:11">
      <c r="A335" s="57">
        <f t="shared" si="5"/>
        <v>333</v>
      </c>
      <c r="B335" s="57" t="s">
        <v>945</v>
      </c>
      <c r="C335" s="57" t="s">
        <v>773</v>
      </c>
      <c r="D335" s="58" t="s">
        <v>1187</v>
      </c>
      <c r="E335" s="59" t="s">
        <v>1188</v>
      </c>
      <c r="F335" s="57"/>
      <c r="G335" s="60" t="s">
        <v>394</v>
      </c>
      <c r="H335" s="61">
        <v>1</v>
      </c>
      <c r="I335" s="57" t="s">
        <v>948</v>
      </c>
      <c r="J335" s="58" t="s">
        <v>683</v>
      </c>
      <c r="K335" s="58"/>
    </row>
    <row r="336" spans="1:11">
      <c r="A336" s="57">
        <f t="shared" si="5"/>
        <v>334</v>
      </c>
      <c r="B336" s="57" t="s">
        <v>945</v>
      </c>
      <c r="C336" s="57" t="s">
        <v>773</v>
      </c>
      <c r="D336" s="58" t="s">
        <v>1189</v>
      </c>
      <c r="E336" s="59" t="s">
        <v>836</v>
      </c>
      <c r="F336" s="57"/>
      <c r="G336" s="60" t="s">
        <v>394</v>
      </c>
      <c r="H336" s="61">
        <v>1</v>
      </c>
      <c r="I336" s="57" t="s">
        <v>948</v>
      </c>
      <c r="J336" s="58" t="s">
        <v>683</v>
      </c>
      <c r="K336" s="58"/>
    </row>
    <row r="337" spans="1:11">
      <c r="A337" s="57">
        <f t="shared" si="5"/>
        <v>335</v>
      </c>
      <c r="B337" s="57" t="s">
        <v>945</v>
      </c>
      <c r="C337" s="57" t="s">
        <v>773</v>
      </c>
      <c r="D337" s="58" t="s">
        <v>1190</v>
      </c>
      <c r="E337" s="59" t="s">
        <v>1191</v>
      </c>
      <c r="F337" s="57"/>
      <c r="G337" s="60" t="s">
        <v>394</v>
      </c>
      <c r="H337" s="61">
        <v>1</v>
      </c>
      <c r="I337" s="57" t="s">
        <v>948</v>
      </c>
      <c r="J337" s="58" t="s">
        <v>683</v>
      </c>
      <c r="K337" s="58"/>
    </row>
    <row r="338" spans="1:11">
      <c r="A338" s="57">
        <f t="shared" si="5"/>
        <v>336</v>
      </c>
      <c r="B338" s="57" t="s">
        <v>945</v>
      </c>
      <c r="C338" s="57" t="s">
        <v>773</v>
      </c>
      <c r="D338" s="58" t="s">
        <v>1192</v>
      </c>
      <c r="E338" s="59" t="s">
        <v>842</v>
      </c>
      <c r="F338" s="57"/>
      <c r="G338" s="60" t="s">
        <v>394</v>
      </c>
      <c r="H338" s="61">
        <v>1</v>
      </c>
      <c r="I338" s="57" t="s">
        <v>948</v>
      </c>
      <c r="J338" s="58" t="s">
        <v>683</v>
      </c>
      <c r="K338" s="58"/>
    </row>
    <row r="339" spans="1:11">
      <c r="A339" s="57">
        <f t="shared" si="5"/>
        <v>337</v>
      </c>
      <c r="B339" s="57" t="s">
        <v>945</v>
      </c>
      <c r="C339" s="57" t="s">
        <v>773</v>
      </c>
      <c r="D339" s="58" t="s">
        <v>1193</v>
      </c>
      <c r="E339" s="59" t="s">
        <v>845</v>
      </c>
      <c r="F339" s="57"/>
      <c r="G339" s="60" t="s">
        <v>394</v>
      </c>
      <c r="H339" s="61">
        <v>1</v>
      </c>
      <c r="I339" s="57" t="s">
        <v>948</v>
      </c>
      <c r="J339" s="58" t="s">
        <v>683</v>
      </c>
      <c r="K339" s="58"/>
    </row>
    <row r="340" spans="1:11">
      <c r="A340" s="57">
        <f t="shared" si="5"/>
        <v>338</v>
      </c>
      <c r="B340" s="57" t="s">
        <v>945</v>
      </c>
      <c r="C340" s="57" t="s">
        <v>773</v>
      </c>
      <c r="D340" s="58" t="s">
        <v>1194</v>
      </c>
      <c r="E340" s="59" t="s">
        <v>1195</v>
      </c>
      <c r="F340" s="57"/>
      <c r="G340" s="60" t="s">
        <v>394</v>
      </c>
      <c r="H340" s="61">
        <v>1</v>
      </c>
      <c r="I340" s="57" t="s">
        <v>948</v>
      </c>
      <c r="J340" s="58" t="s">
        <v>683</v>
      </c>
      <c r="K340" s="58"/>
    </row>
    <row r="341" spans="1:11">
      <c r="A341" s="57">
        <f t="shared" si="5"/>
        <v>339</v>
      </c>
      <c r="B341" s="57" t="s">
        <v>945</v>
      </c>
      <c r="C341" s="57" t="s">
        <v>773</v>
      </c>
      <c r="D341" s="58" t="s">
        <v>1196</v>
      </c>
      <c r="E341" s="59" t="s">
        <v>847</v>
      </c>
      <c r="F341" s="57"/>
      <c r="G341" s="60" t="s">
        <v>394</v>
      </c>
      <c r="H341" s="61">
        <v>1</v>
      </c>
      <c r="I341" s="57" t="s">
        <v>948</v>
      </c>
      <c r="J341" s="58" t="s">
        <v>683</v>
      </c>
      <c r="K341" s="58"/>
    </row>
    <row r="342" spans="1:11">
      <c r="A342" s="57">
        <f t="shared" si="5"/>
        <v>340</v>
      </c>
      <c r="B342" s="57" t="s">
        <v>945</v>
      </c>
      <c r="C342" s="57" t="s">
        <v>773</v>
      </c>
      <c r="D342" s="58" t="s">
        <v>1197</v>
      </c>
      <c r="E342" s="59" t="s">
        <v>850</v>
      </c>
      <c r="F342" s="57"/>
      <c r="G342" s="60" t="s">
        <v>394</v>
      </c>
      <c r="H342" s="61">
        <v>1</v>
      </c>
      <c r="I342" s="57" t="s">
        <v>948</v>
      </c>
      <c r="J342" s="58" t="s">
        <v>683</v>
      </c>
      <c r="K342" s="58"/>
    </row>
    <row r="343" spans="1:11">
      <c r="A343" s="57">
        <f t="shared" si="5"/>
        <v>341</v>
      </c>
      <c r="B343" s="57" t="s">
        <v>945</v>
      </c>
      <c r="C343" s="57" t="s">
        <v>773</v>
      </c>
      <c r="D343" s="58" t="s">
        <v>1198</v>
      </c>
      <c r="E343" s="59" t="s">
        <v>1199</v>
      </c>
      <c r="F343" s="57"/>
      <c r="G343" s="60" t="s">
        <v>394</v>
      </c>
      <c r="H343" s="61">
        <v>1</v>
      </c>
      <c r="I343" s="57" t="s">
        <v>948</v>
      </c>
      <c r="J343" s="58" t="s">
        <v>683</v>
      </c>
      <c r="K343" s="58"/>
    </row>
    <row r="344" spans="1:11">
      <c r="A344" s="57">
        <f t="shared" si="5"/>
        <v>342</v>
      </c>
      <c r="B344" s="57" t="s">
        <v>945</v>
      </c>
      <c r="C344" s="57" t="s">
        <v>773</v>
      </c>
      <c r="D344" s="58" t="s">
        <v>1200</v>
      </c>
      <c r="E344" s="59" t="s">
        <v>1201</v>
      </c>
      <c r="F344" s="57"/>
      <c r="G344" s="60" t="s">
        <v>394</v>
      </c>
      <c r="H344" s="61">
        <v>1</v>
      </c>
      <c r="I344" s="57" t="s">
        <v>948</v>
      </c>
      <c r="J344" s="58" t="s">
        <v>683</v>
      </c>
      <c r="K344" s="58"/>
    </row>
    <row r="345" spans="1:11">
      <c r="A345" s="57">
        <f t="shared" si="5"/>
        <v>343</v>
      </c>
      <c r="B345" s="57" t="s">
        <v>945</v>
      </c>
      <c r="C345" s="57" t="s">
        <v>538</v>
      </c>
      <c r="D345" s="58" t="s">
        <v>1202</v>
      </c>
      <c r="E345" s="59" t="s">
        <v>1203</v>
      </c>
      <c r="F345" s="57"/>
      <c r="G345" s="60" t="s">
        <v>394</v>
      </c>
      <c r="H345" s="61">
        <v>1</v>
      </c>
      <c r="I345" s="57" t="s">
        <v>948</v>
      </c>
      <c r="J345" s="58" t="s">
        <v>470</v>
      </c>
      <c r="K345" s="58"/>
    </row>
    <row r="346" spans="1:11">
      <c r="A346" s="57">
        <f t="shared" si="5"/>
        <v>344</v>
      </c>
      <c r="B346" s="57" t="s">
        <v>945</v>
      </c>
      <c r="C346" s="57" t="s">
        <v>538</v>
      </c>
      <c r="D346" s="58" t="s">
        <v>1204</v>
      </c>
      <c r="E346" s="59" t="s">
        <v>1205</v>
      </c>
      <c r="F346" s="57"/>
      <c r="G346" s="60" t="s">
        <v>394</v>
      </c>
      <c r="H346" s="61">
        <v>1</v>
      </c>
      <c r="I346" s="57" t="s">
        <v>948</v>
      </c>
      <c r="J346" s="58" t="s">
        <v>470</v>
      </c>
      <c r="K346" s="58"/>
    </row>
    <row r="347" spans="1:11">
      <c r="A347" s="57">
        <f t="shared" si="5"/>
        <v>345</v>
      </c>
      <c r="B347" s="57" t="s">
        <v>945</v>
      </c>
      <c r="C347" s="57" t="s">
        <v>455</v>
      </c>
      <c r="D347" s="58" t="s">
        <v>1206</v>
      </c>
      <c r="E347" s="59" t="s">
        <v>1207</v>
      </c>
      <c r="F347" s="57"/>
      <c r="G347" s="60" t="s">
        <v>394</v>
      </c>
      <c r="H347" s="61">
        <v>1</v>
      </c>
      <c r="I347" s="57" t="s">
        <v>948</v>
      </c>
      <c r="J347" s="58" t="s">
        <v>386</v>
      </c>
      <c r="K347" s="58" t="s">
        <v>470</v>
      </c>
    </row>
    <row r="348" spans="1:11">
      <c r="A348" s="57">
        <f t="shared" si="5"/>
        <v>346</v>
      </c>
      <c r="B348" s="57" t="s">
        <v>945</v>
      </c>
      <c r="C348" s="57" t="s">
        <v>455</v>
      </c>
      <c r="D348" s="58" t="s">
        <v>1208</v>
      </c>
      <c r="E348" s="59" t="s">
        <v>1209</v>
      </c>
      <c r="F348" s="57"/>
      <c r="G348" s="60" t="s">
        <v>394</v>
      </c>
      <c r="H348" s="61">
        <v>1</v>
      </c>
      <c r="I348" s="57" t="s">
        <v>948</v>
      </c>
      <c r="J348" s="58" t="s">
        <v>386</v>
      </c>
      <c r="K348" s="58" t="s">
        <v>470</v>
      </c>
    </row>
    <row r="349" spans="1:11">
      <c r="A349" s="8">
        <f t="shared" si="5"/>
        <v>347</v>
      </c>
      <c r="B349" s="8" t="s">
        <v>1210</v>
      </c>
      <c r="C349" s="8" t="s">
        <v>382</v>
      </c>
      <c r="D349" s="16" t="s">
        <v>383</v>
      </c>
      <c r="E349" s="53" t="s">
        <v>1211</v>
      </c>
      <c r="F349" s="8"/>
      <c r="G349" s="70">
        <v>46476</v>
      </c>
      <c r="H349" s="69">
        <v>1</v>
      </c>
      <c r="I349" s="12" t="s">
        <v>3414</v>
      </c>
      <c r="J349" s="16" t="s">
        <v>409</v>
      </c>
      <c r="K349" s="16"/>
    </row>
    <row r="350" spans="1:11">
      <c r="A350" s="57">
        <f t="shared" si="5"/>
        <v>348</v>
      </c>
      <c r="B350" s="57" t="s">
        <v>1210</v>
      </c>
      <c r="C350" s="57" t="s">
        <v>382</v>
      </c>
      <c r="D350" s="58" t="s">
        <v>388</v>
      </c>
      <c r="E350" s="91" t="s">
        <v>1212</v>
      </c>
      <c r="F350" s="57"/>
      <c r="G350" s="60" t="s">
        <v>394</v>
      </c>
      <c r="H350" s="61">
        <v>1</v>
      </c>
      <c r="I350" s="88" t="s">
        <v>948</v>
      </c>
      <c r="J350" s="58" t="s">
        <v>409</v>
      </c>
      <c r="K350" s="58"/>
    </row>
    <row r="351" spans="1:11">
      <c r="A351" s="57">
        <f t="shared" si="5"/>
        <v>349</v>
      </c>
      <c r="B351" s="57" t="s">
        <v>1210</v>
      </c>
      <c r="C351" s="57" t="s">
        <v>382</v>
      </c>
      <c r="D351" s="58" t="s">
        <v>391</v>
      </c>
      <c r="E351" s="91" t="s">
        <v>1213</v>
      </c>
      <c r="F351" s="57"/>
      <c r="G351" s="60" t="s">
        <v>394</v>
      </c>
      <c r="H351" s="61">
        <v>1</v>
      </c>
      <c r="I351" s="88" t="s">
        <v>948</v>
      </c>
      <c r="J351" s="58" t="s">
        <v>409</v>
      </c>
      <c r="K351" s="58"/>
    </row>
    <row r="352" spans="1:11">
      <c r="A352" s="57">
        <f t="shared" si="5"/>
        <v>350</v>
      </c>
      <c r="B352" s="57" t="s">
        <v>1210</v>
      </c>
      <c r="C352" s="57" t="s">
        <v>382</v>
      </c>
      <c r="D352" s="58" t="s">
        <v>395</v>
      </c>
      <c r="E352" s="91" t="s">
        <v>1214</v>
      </c>
      <c r="F352" s="57"/>
      <c r="G352" s="60" t="s">
        <v>394</v>
      </c>
      <c r="H352" s="61">
        <v>1</v>
      </c>
      <c r="I352" s="57" t="s">
        <v>948</v>
      </c>
      <c r="J352" s="58" t="s">
        <v>409</v>
      </c>
      <c r="K352" s="58"/>
    </row>
    <row r="353" spans="1:11">
      <c r="A353" s="57">
        <f t="shared" si="5"/>
        <v>351</v>
      </c>
      <c r="B353" s="57" t="s">
        <v>1210</v>
      </c>
      <c r="C353" s="57" t="s">
        <v>382</v>
      </c>
      <c r="D353" s="58" t="s">
        <v>399</v>
      </c>
      <c r="E353" s="91" t="s">
        <v>973</v>
      </c>
      <c r="F353" s="57"/>
      <c r="G353" s="60" t="s">
        <v>394</v>
      </c>
      <c r="H353" s="61">
        <v>1</v>
      </c>
      <c r="I353" s="57" t="s">
        <v>948</v>
      </c>
      <c r="J353" s="58" t="s">
        <v>409</v>
      </c>
      <c r="K353" s="58"/>
    </row>
    <row r="354" spans="1:11">
      <c r="A354" s="57">
        <f t="shared" si="5"/>
        <v>352</v>
      </c>
      <c r="B354" s="57" t="s">
        <v>1210</v>
      </c>
      <c r="C354" s="57" t="s">
        <v>382</v>
      </c>
      <c r="D354" s="58" t="s">
        <v>402</v>
      </c>
      <c r="E354" s="91" t="s">
        <v>1215</v>
      </c>
      <c r="F354" s="57"/>
      <c r="G354" s="60" t="s">
        <v>394</v>
      </c>
      <c r="H354" s="61">
        <v>1</v>
      </c>
      <c r="I354" s="57" t="s">
        <v>948</v>
      </c>
      <c r="J354" s="58" t="s">
        <v>409</v>
      </c>
      <c r="K354" s="58"/>
    </row>
    <row r="355" spans="1:11">
      <c r="A355" s="57">
        <f t="shared" si="5"/>
        <v>353</v>
      </c>
      <c r="B355" s="57" t="s">
        <v>1210</v>
      </c>
      <c r="C355" s="57" t="s">
        <v>382</v>
      </c>
      <c r="D355" s="58" t="s">
        <v>404</v>
      </c>
      <c r="E355" s="91" t="s">
        <v>428</v>
      </c>
      <c r="F355" s="57"/>
      <c r="G355" s="60" t="s">
        <v>394</v>
      </c>
      <c r="H355" s="61">
        <v>1</v>
      </c>
      <c r="I355" s="57" t="s">
        <v>948</v>
      </c>
      <c r="J355" s="58" t="s">
        <v>409</v>
      </c>
      <c r="K355" s="58"/>
    </row>
    <row r="356" spans="1:11">
      <c r="A356" s="8">
        <f t="shared" si="5"/>
        <v>354</v>
      </c>
      <c r="B356" s="8" t="s">
        <v>1210</v>
      </c>
      <c r="C356" s="8" t="s">
        <v>382</v>
      </c>
      <c r="D356" s="16" t="s">
        <v>406</v>
      </c>
      <c r="E356" s="53" t="s">
        <v>1216</v>
      </c>
      <c r="F356" s="8"/>
      <c r="G356" s="70">
        <v>46476</v>
      </c>
      <c r="H356" s="69">
        <v>1</v>
      </c>
      <c r="I356" s="12" t="s">
        <v>3414</v>
      </c>
      <c r="J356" s="16" t="s">
        <v>409</v>
      </c>
      <c r="K356" s="16"/>
    </row>
    <row r="357" spans="1:11" ht="60">
      <c r="A357" s="57">
        <f t="shared" si="5"/>
        <v>355</v>
      </c>
      <c r="B357" s="57" t="s">
        <v>1210</v>
      </c>
      <c r="C357" s="57" t="s">
        <v>382</v>
      </c>
      <c r="D357" s="58" t="s">
        <v>963</v>
      </c>
      <c r="E357" s="91" t="s">
        <v>1217</v>
      </c>
      <c r="F357" s="88" t="s">
        <v>1218</v>
      </c>
      <c r="G357" s="60" t="s">
        <v>394</v>
      </c>
      <c r="H357" s="61">
        <v>1</v>
      </c>
      <c r="I357" s="88" t="s">
        <v>1219</v>
      </c>
      <c r="J357" s="58" t="s">
        <v>409</v>
      </c>
      <c r="K357" s="58" t="s">
        <v>387</v>
      </c>
    </row>
    <row r="358" spans="1:11" ht="60">
      <c r="A358" s="8">
        <f t="shared" si="5"/>
        <v>356</v>
      </c>
      <c r="B358" s="8" t="s">
        <v>1210</v>
      </c>
      <c r="C358" s="8" t="s">
        <v>382</v>
      </c>
      <c r="D358" s="16" t="s">
        <v>1220</v>
      </c>
      <c r="E358" s="53" t="s">
        <v>447</v>
      </c>
      <c r="F358" s="12" t="s">
        <v>1221</v>
      </c>
      <c r="G358" s="54">
        <v>46201</v>
      </c>
      <c r="H358" s="67">
        <v>0.99</v>
      </c>
      <c r="I358" s="46" t="s">
        <v>1222</v>
      </c>
      <c r="J358" s="16" t="s">
        <v>409</v>
      </c>
      <c r="K358" s="16" t="s">
        <v>387</v>
      </c>
    </row>
    <row r="359" spans="1:11">
      <c r="A359" s="57">
        <f t="shared" si="5"/>
        <v>357</v>
      </c>
      <c r="B359" s="57" t="s">
        <v>1210</v>
      </c>
      <c r="C359" s="57" t="s">
        <v>382</v>
      </c>
      <c r="D359" s="58" t="s">
        <v>964</v>
      </c>
      <c r="E359" s="91" t="s">
        <v>1223</v>
      </c>
      <c r="F359" s="57"/>
      <c r="G359" s="60" t="s">
        <v>394</v>
      </c>
      <c r="H359" s="61">
        <v>1</v>
      </c>
      <c r="I359" s="57" t="s">
        <v>948</v>
      </c>
      <c r="J359" s="58" t="s">
        <v>409</v>
      </c>
      <c r="K359" s="58"/>
    </row>
    <row r="360" spans="1:11">
      <c r="A360" s="57">
        <f t="shared" si="5"/>
        <v>358</v>
      </c>
      <c r="B360" s="57" t="s">
        <v>1210</v>
      </c>
      <c r="C360" s="57" t="s">
        <v>382</v>
      </c>
      <c r="D360" s="58" t="s">
        <v>965</v>
      </c>
      <c r="E360" s="91" t="s">
        <v>417</v>
      </c>
      <c r="F360" s="57"/>
      <c r="G360" s="60" t="s">
        <v>394</v>
      </c>
      <c r="H360" s="61">
        <v>1</v>
      </c>
      <c r="I360" s="57" t="s">
        <v>948</v>
      </c>
      <c r="J360" s="58" t="s">
        <v>409</v>
      </c>
      <c r="K360" s="58"/>
    </row>
    <row r="361" spans="1:11">
      <c r="A361" s="8">
        <f t="shared" si="5"/>
        <v>359</v>
      </c>
      <c r="B361" s="8" t="s">
        <v>1210</v>
      </c>
      <c r="C361" s="8" t="s">
        <v>382</v>
      </c>
      <c r="D361" s="16" t="s">
        <v>418</v>
      </c>
      <c r="E361" s="53" t="s">
        <v>1224</v>
      </c>
      <c r="F361" s="8"/>
      <c r="G361" s="70">
        <v>46386</v>
      </c>
      <c r="H361" s="69">
        <v>1</v>
      </c>
      <c r="I361" s="12" t="s">
        <v>3414</v>
      </c>
      <c r="J361" s="16" t="s">
        <v>470</v>
      </c>
      <c r="K361" s="16" t="s">
        <v>944</v>
      </c>
    </row>
    <row r="362" spans="1:11">
      <c r="A362" s="57">
        <f t="shared" si="5"/>
        <v>360</v>
      </c>
      <c r="B362" s="57" t="s">
        <v>1210</v>
      </c>
      <c r="C362" s="57" t="s">
        <v>382</v>
      </c>
      <c r="D362" s="58" t="s">
        <v>421</v>
      </c>
      <c r="E362" s="91" t="s">
        <v>1225</v>
      </c>
      <c r="F362" s="57"/>
      <c r="G362" s="60" t="s">
        <v>394</v>
      </c>
      <c r="H362" s="61">
        <v>1</v>
      </c>
      <c r="I362" s="86"/>
      <c r="J362" s="58" t="s">
        <v>868</v>
      </c>
      <c r="K362" s="58" t="s">
        <v>409</v>
      </c>
    </row>
    <row r="363" spans="1:11">
      <c r="A363" s="57">
        <f t="shared" si="5"/>
        <v>361</v>
      </c>
      <c r="B363" s="57" t="s">
        <v>1210</v>
      </c>
      <c r="C363" s="57" t="s">
        <v>382</v>
      </c>
      <c r="D363" s="58" t="s">
        <v>427</v>
      </c>
      <c r="E363" s="91" t="s">
        <v>1226</v>
      </c>
      <c r="F363" s="57"/>
      <c r="G363" s="60" t="s">
        <v>394</v>
      </c>
      <c r="H363" s="61">
        <v>1</v>
      </c>
      <c r="I363" s="57" t="s">
        <v>948</v>
      </c>
      <c r="J363" s="58" t="s">
        <v>409</v>
      </c>
      <c r="K363" s="58"/>
    </row>
    <row r="364" spans="1:11">
      <c r="A364" s="57">
        <f t="shared" si="5"/>
        <v>362</v>
      </c>
      <c r="B364" s="57" t="s">
        <v>1210</v>
      </c>
      <c r="C364" s="57" t="s">
        <v>382</v>
      </c>
      <c r="D364" s="58" t="s">
        <v>431</v>
      </c>
      <c r="E364" s="91" t="s">
        <v>1227</v>
      </c>
      <c r="F364" s="57"/>
      <c r="G364" s="60" t="s">
        <v>394</v>
      </c>
      <c r="H364" s="61">
        <v>1</v>
      </c>
      <c r="I364" s="57" t="s">
        <v>948</v>
      </c>
      <c r="J364" s="58" t="s">
        <v>409</v>
      </c>
      <c r="K364" s="58"/>
    </row>
    <row r="365" spans="1:11">
      <c r="A365" s="57">
        <f t="shared" si="5"/>
        <v>363</v>
      </c>
      <c r="B365" s="57" t="s">
        <v>1210</v>
      </c>
      <c r="C365" s="57" t="s">
        <v>382</v>
      </c>
      <c r="D365" s="58" t="s">
        <v>437</v>
      </c>
      <c r="E365" s="91" t="s">
        <v>997</v>
      </c>
      <c r="F365" s="57"/>
      <c r="G365" s="60" t="s">
        <v>394</v>
      </c>
      <c r="H365" s="61">
        <v>1</v>
      </c>
      <c r="I365" s="57" t="s">
        <v>948</v>
      </c>
      <c r="J365" s="58" t="s">
        <v>409</v>
      </c>
      <c r="K365" s="58"/>
    </row>
    <row r="366" spans="1:11">
      <c r="A366" s="57">
        <f t="shared" si="5"/>
        <v>364</v>
      </c>
      <c r="B366" s="57" t="s">
        <v>1210</v>
      </c>
      <c r="C366" s="57" t="s">
        <v>463</v>
      </c>
      <c r="D366" s="58" t="s">
        <v>942</v>
      </c>
      <c r="E366" s="91" t="s">
        <v>1228</v>
      </c>
      <c r="F366" s="57"/>
      <c r="G366" s="60" t="s">
        <v>394</v>
      </c>
      <c r="H366" s="61">
        <v>1</v>
      </c>
      <c r="I366" s="57" t="s">
        <v>948</v>
      </c>
      <c r="J366" s="58" t="s">
        <v>944</v>
      </c>
      <c r="K366" s="58"/>
    </row>
    <row r="367" spans="1:11">
      <c r="A367" s="57">
        <f t="shared" si="5"/>
        <v>365</v>
      </c>
      <c r="B367" s="57" t="s">
        <v>1210</v>
      </c>
      <c r="C367" s="57" t="s">
        <v>463</v>
      </c>
      <c r="D367" s="58" t="s">
        <v>1229</v>
      </c>
      <c r="E367" s="91" t="s">
        <v>1230</v>
      </c>
      <c r="F367" s="57"/>
      <c r="G367" s="60" t="s">
        <v>394</v>
      </c>
      <c r="H367" s="61">
        <v>1</v>
      </c>
      <c r="I367" s="57" t="s">
        <v>948</v>
      </c>
      <c r="J367" s="58" t="s">
        <v>944</v>
      </c>
      <c r="K367" s="58"/>
    </row>
    <row r="368" spans="1:11">
      <c r="A368" s="57">
        <f t="shared" si="5"/>
        <v>366</v>
      </c>
      <c r="B368" s="57" t="s">
        <v>1210</v>
      </c>
      <c r="C368" s="57" t="s">
        <v>463</v>
      </c>
      <c r="D368" s="58" t="s">
        <v>1231</v>
      </c>
      <c r="E368" s="91" t="s">
        <v>1232</v>
      </c>
      <c r="F368" s="57"/>
      <c r="G368" s="60" t="s">
        <v>394</v>
      </c>
      <c r="H368" s="61">
        <v>1</v>
      </c>
      <c r="I368" s="57" t="s">
        <v>948</v>
      </c>
      <c r="J368" s="58" t="s">
        <v>944</v>
      </c>
      <c r="K368" s="58"/>
    </row>
    <row r="369" spans="1:11">
      <c r="A369" s="57">
        <f t="shared" si="5"/>
        <v>367</v>
      </c>
      <c r="B369" s="57" t="s">
        <v>1210</v>
      </c>
      <c r="C369" s="57" t="s">
        <v>463</v>
      </c>
      <c r="D369" s="58" t="s">
        <v>1233</v>
      </c>
      <c r="E369" s="91" t="s">
        <v>1234</v>
      </c>
      <c r="F369" s="57"/>
      <c r="G369" s="60" t="s">
        <v>394</v>
      </c>
      <c r="H369" s="61">
        <v>1</v>
      </c>
      <c r="I369" s="57" t="s">
        <v>948</v>
      </c>
      <c r="J369" s="58" t="s">
        <v>944</v>
      </c>
      <c r="K369" s="58"/>
    </row>
    <row r="370" spans="1:11">
      <c r="A370" s="57">
        <f t="shared" si="5"/>
        <v>368</v>
      </c>
      <c r="B370" s="57" t="s">
        <v>1210</v>
      </c>
      <c r="C370" s="57" t="s">
        <v>463</v>
      </c>
      <c r="D370" s="58" t="s">
        <v>1235</v>
      </c>
      <c r="E370" s="91" t="s">
        <v>1236</v>
      </c>
      <c r="F370" s="57"/>
      <c r="G370" s="60" t="s">
        <v>394</v>
      </c>
      <c r="H370" s="61">
        <v>1</v>
      </c>
      <c r="I370" s="57" t="s">
        <v>948</v>
      </c>
      <c r="J370" s="58" t="s">
        <v>944</v>
      </c>
      <c r="K370" s="58"/>
    </row>
    <row r="371" spans="1:11">
      <c r="A371" s="57">
        <f t="shared" si="5"/>
        <v>369</v>
      </c>
      <c r="B371" s="57" t="s">
        <v>1210</v>
      </c>
      <c r="C371" s="57" t="s">
        <v>463</v>
      </c>
      <c r="D371" s="58" t="s">
        <v>1237</v>
      </c>
      <c r="E371" s="91" t="s">
        <v>996</v>
      </c>
      <c r="F371" s="57"/>
      <c r="G371" s="60" t="s">
        <v>394</v>
      </c>
      <c r="H371" s="61">
        <v>1</v>
      </c>
      <c r="I371" s="57" t="s">
        <v>948</v>
      </c>
      <c r="J371" s="58" t="s">
        <v>944</v>
      </c>
      <c r="K371" s="58"/>
    </row>
    <row r="372" spans="1:11">
      <c r="A372" s="57">
        <f t="shared" si="5"/>
        <v>370</v>
      </c>
      <c r="B372" s="57" t="s">
        <v>1210</v>
      </c>
      <c r="C372" s="57" t="s">
        <v>463</v>
      </c>
      <c r="D372" s="58" t="s">
        <v>1238</v>
      </c>
      <c r="E372" s="91" t="s">
        <v>1239</v>
      </c>
      <c r="F372" s="57"/>
      <c r="G372" s="60" t="s">
        <v>394</v>
      </c>
      <c r="H372" s="61">
        <v>1</v>
      </c>
      <c r="I372" s="57" t="s">
        <v>948</v>
      </c>
      <c r="J372" s="58" t="s">
        <v>944</v>
      </c>
      <c r="K372" s="58"/>
    </row>
    <row r="373" spans="1:11">
      <c r="A373" s="57">
        <f t="shared" si="5"/>
        <v>371</v>
      </c>
      <c r="B373" s="57" t="s">
        <v>1210</v>
      </c>
      <c r="C373" s="57" t="s">
        <v>463</v>
      </c>
      <c r="D373" s="58" t="s">
        <v>1240</v>
      </c>
      <c r="E373" s="91" t="s">
        <v>1241</v>
      </c>
      <c r="F373" s="57"/>
      <c r="G373" s="60" t="s">
        <v>394</v>
      </c>
      <c r="H373" s="61">
        <v>1</v>
      </c>
      <c r="I373" s="57" t="s">
        <v>948</v>
      </c>
      <c r="J373" s="58" t="s">
        <v>944</v>
      </c>
      <c r="K373" s="58"/>
    </row>
    <row r="374" spans="1:11">
      <c r="A374" s="57">
        <f t="shared" si="5"/>
        <v>372</v>
      </c>
      <c r="B374" s="57" t="s">
        <v>1210</v>
      </c>
      <c r="C374" s="57" t="s">
        <v>463</v>
      </c>
      <c r="D374" s="58" t="s">
        <v>1242</v>
      </c>
      <c r="E374" s="91" t="s">
        <v>520</v>
      </c>
      <c r="F374" s="57"/>
      <c r="G374" s="60" t="s">
        <v>394</v>
      </c>
      <c r="H374" s="61">
        <v>1</v>
      </c>
      <c r="I374" s="57"/>
      <c r="J374" s="58" t="s">
        <v>944</v>
      </c>
      <c r="K374" s="58"/>
    </row>
    <row r="375" spans="1:11">
      <c r="A375" s="57">
        <f t="shared" si="5"/>
        <v>373</v>
      </c>
      <c r="B375" s="57" t="s">
        <v>1210</v>
      </c>
      <c r="C375" s="57" t="s">
        <v>463</v>
      </c>
      <c r="D375" s="58" t="s">
        <v>1243</v>
      </c>
      <c r="E375" s="91" t="s">
        <v>516</v>
      </c>
      <c r="F375" s="57"/>
      <c r="G375" s="60" t="s">
        <v>394</v>
      </c>
      <c r="H375" s="61">
        <v>1</v>
      </c>
      <c r="I375" s="57" t="s">
        <v>948</v>
      </c>
      <c r="J375" s="58" t="s">
        <v>944</v>
      </c>
      <c r="K375" s="58"/>
    </row>
    <row r="376" spans="1:11">
      <c r="A376" s="57">
        <f t="shared" si="5"/>
        <v>374</v>
      </c>
      <c r="B376" s="57" t="s">
        <v>1210</v>
      </c>
      <c r="C376" s="57" t="s">
        <v>463</v>
      </c>
      <c r="D376" s="58" t="s">
        <v>1244</v>
      </c>
      <c r="E376" s="91" t="s">
        <v>1245</v>
      </c>
      <c r="F376" s="57"/>
      <c r="G376" s="60" t="s">
        <v>394</v>
      </c>
      <c r="H376" s="61">
        <v>1</v>
      </c>
      <c r="I376" s="57" t="s">
        <v>948</v>
      </c>
      <c r="J376" s="58" t="s">
        <v>944</v>
      </c>
      <c r="K376" s="58"/>
    </row>
    <row r="377" spans="1:11">
      <c r="A377" s="57">
        <f t="shared" si="5"/>
        <v>375</v>
      </c>
      <c r="B377" s="57" t="s">
        <v>1210</v>
      </c>
      <c r="C377" s="57" t="s">
        <v>463</v>
      </c>
      <c r="D377" s="58" t="s">
        <v>1246</v>
      </c>
      <c r="E377" s="91" t="s">
        <v>1247</v>
      </c>
      <c r="F377" s="57"/>
      <c r="G377" s="60" t="s">
        <v>394</v>
      </c>
      <c r="H377" s="61">
        <v>1</v>
      </c>
      <c r="I377" s="57"/>
      <c r="J377" s="58" t="s">
        <v>944</v>
      </c>
      <c r="K377" s="58" t="s">
        <v>944</v>
      </c>
    </row>
    <row r="378" spans="1:11">
      <c r="A378" s="57">
        <f t="shared" si="5"/>
        <v>376</v>
      </c>
      <c r="B378" s="57" t="s">
        <v>1210</v>
      </c>
      <c r="C378" s="57" t="s">
        <v>463</v>
      </c>
      <c r="D378" s="58" t="s">
        <v>1248</v>
      </c>
      <c r="E378" s="91" t="s">
        <v>1249</v>
      </c>
      <c r="F378" s="57"/>
      <c r="G378" s="60" t="s">
        <v>394</v>
      </c>
      <c r="H378" s="61">
        <v>1</v>
      </c>
      <c r="I378" s="57" t="s">
        <v>948</v>
      </c>
      <c r="J378" s="58" t="s">
        <v>944</v>
      </c>
      <c r="K378" s="58"/>
    </row>
    <row r="379" spans="1:11">
      <c r="A379" s="57">
        <f t="shared" si="5"/>
        <v>377</v>
      </c>
      <c r="B379" s="57" t="s">
        <v>1210</v>
      </c>
      <c r="C379" s="57" t="s">
        <v>463</v>
      </c>
      <c r="D379" s="58" t="s">
        <v>1250</v>
      </c>
      <c r="E379" s="91" t="s">
        <v>509</v>
      </c>
      <c r="F379" s="57"/>
      <c r="G379" s="60" t="s">
        <v>394</v>
      </c>
      <c r="H379" s="61">
        <v>1</v>
      </c>
      <c r="I379" s="57"/>
      <c r="J379" s="58" t="s">
        <v>944</v>
      </c>
      <c r="K379" s="58"/>
    </row>
    <row r="380" spans="1:11">
      <c r="A380" s="57">
        <f t="shared" si="5"/>
        <v>378</v>
      </c>
      <c r="B380" s="57" t="s">
        <v>1210</v>
      </c>
      <c r="C380" s="57" t="s">
        <v>463</v>
      </c>
      <c r="D380" s="58" t="s">
        <v>1251</v>
      </c>
      <c r="E380" s="91" t="s">
        <v>1252</v>
      </c>
      <c r="F380" s="57"/>
      <c r="G380" s="60" t="s">
        <v>394</v>
      </c>
      <c r="H380" s="61">
        <v>1</v>
      </c>
      <c r="I380" s="57"/>
      <c r="J380" s="58" t="s">
        <v>944</v>
      </c>
      <c r="K380" s="58"/>
    </row>
    <row r="381" spans="1:11">
      <c r="A381" s="57">
        <f t="shared" si="5"/>
        <v>379</v>
      </c>
      <c r="B381" s="57" t="s">
        <v>1210</v>
      </c>
      <c r="C381" s="57" t="s">
        <v>463</v>
      </c>
      <c r="D381" s="58" t="s">
        <v>1253</v>
      </c>
      <c r="E381" s="91" t="s">
        <v>1005</v>
      </c>
      <c r="F381" s="57"/>
      <c r="G381" s="60" t="s">
        <v>394</v>
      </c>
      <c r="H381" s="61">
        <v>1</v>
      </c>
      <c r="I381" s="57" t="s">
        <v>948</v>
      </c>
      <c r="J381" s="58" t="s">
        <v>944</v>
      </c>
      <c r="K381" s="58"/>
    </row>
    <row r="382" spans="1:11">
      <c r="A382" s="57">
        <f t="shared" si="5"/>
        <v>380</v>
      </c>
      <c r="B382" s="57" t="s">
        <v>1210</v>
      </c>
      <c r="C382" s="57" t="s">
        <v>463</v>
      </c>
      <c r="D382" s="58" t="s">
        <v>1254</v>
      </c>
      <c r="E382" s="91" t="s">
        <v>1255</v>
      </c>
      <c r="F382" s="57"/>
      <c r="G382" s="60" t="s">
        <v>394</v>
      </c>
      <c r="H382" s="61">
        <v>1</v>
      </c>
      <c r="I382" s="57" t="s">
        <v>948</v>
      </c>
      <c r="J382" s="58" t="s">
        <v>944</v>
      </c>
      <c r="K382" s="58"/>
    </row>
    <row r="383" spans="1:11">
      <c r="A383" s="57">
        <f t="shared" si="5"/>
        <v>381</v>
      </c>
      <c r="B383" s="57" t="s">
        <v>1210</v>
      </c>
      <c r="C383" s="57" t="s">
        <v>463</v>
      </c>
      <c r="D383" s="58" t="s">
        <v>1256</v>
      </c>
      <c r="E383" s="91" t="s">
        <v>1257</v>
      </c>
      <c r="F383" s="57"/>
      <c r="G383" s="60" t="s">
        <v>394</v>
      </c>
      <c r="H383" s="61">
        <v>1</v>
      </c>
      <c r="I383" s="57"/>
      <c r="J383" s="58" t="s">
        <v>944</v>
      </c>
      <c r="K383" s="58"/>
    </row>
    <row r="384" spans="1:11">
      <c r="A384" s="57">
        <f t="shared" si="5"/>
        <v>382</v>
      </c>
      <c r="B384" s="57" t="s">
        <v>1210</v>
      </c>
      <c r="C384" s="57" t="s">
        <v>463</v>
      </c>
      <c r="D384" s="58" t="s">
        <v>1258</v>
      </c>
      <c r="E384" s="91" t="s">
        <v>1259</v>
      </c>
      <c r="F384" s="57"/>
      <c r="G384" s="60" t="s">
        <v>394</v>
      </c>
      <c r="H384" s="61">
        <v>1</v>
      </c>
      <c r="I384" s="57" t="s">
        <v>948</v>
      </c>
      <c r="J384" s="58" t="s">
        <v>944</v>
      </c>
      <c r="K384" s="58"/>
    </row>
    <row r="385" spans="1:11">
      <c r="A385" s="57">
        <f t="shared" si="5"/>
        <v>383</v>
      </c>
      <c r="B385" s="57" t="s">
        <v>1210</v>
      </c>
      <c r="C385" s="57" t="s">
        <v>463</v>
      </c>
      <c r="D385" s="58" t="s">
        <v>1260</v>
      </c>
      <c r="E385" s="91" t="s">
        <v>1261</v>
      </c>
      <c r="F385" s="57"/>
      <c r="G385" s="60" t="s">
        <v>394</v>
      </c>
      <c r="H385" s="61">
        <v>1</v>
      </c>
      <c r="I385" s="57" t="s">
        <v>948</v>
      </c>
      <c r="J385" s="58" t="s">
        <v>944</v>
      </c>
      <c r="K385" s="58"/>
    </row>
    <row r="386" spans="1:11">
      <c r="A386" s="8">
        <f t="shared" si="5"/>
        <v>384</v>
      </c>
      <c r="B386" s="8" t="s">
        <v>1210</v>
      </c>
      <c r="C386" s="8" t="s">
        <v>546</v>
      </c>
      <c r="D386" s="16" t="s">
        <v>547</v>
      </c>
      <c r="E386" s="53" t="s">
        <v>1262</v>
      </c>
      <c r="F386" s="8"/>
      <c r="G386" s="70">
        <v>46417</v>
      </c>
      <c r="H386" s="69">
        <v>1</v>
      </c>
      <c r="I386" s="12" t="s">
        <v>3414</v>
      </c>
      <c r="J386" s="16" t="s">
        <v>470</v>
      </c>
      <c r="K386" s="16"/>
    </row>
    <row r="387" spans="1:11">
      <c r="A387" s="57">
        <f t="shared" si="5"/>
        <v>385</v>
      </c>
      <c r="B387" s="57" t="s">
        <v>1210</v>
      </c>
      <c r="C387" s="57" t="s">
        <v>546</v>
      </c>
      <c r="D387" s="58" t="s">
        <v>1263</v>
      </c>
      <c r="E387" s="91" t="s">
        <v>1264</v>
      </c>
      <c r="F387" s="57"/>
      <c r="G387" s="60" t="s">
        <v>394</v>
      </c>
      <c r="H387" s="61">
        <v>1</v>
      </c>
      <c r="I387" s="57" t="s">
        <v>948</v>
      </c>
      <c r="J387" s="58" t="s">
        <v>470</v>
      </c>
      <c r="K387" s="58"/>
    </row>
    <row r="388" spans="1:11">
      <c r="A388" s="8">
        <f t="shared" si="5"/>
        <v>386</v>
      </c>
      <c r="B388" s="8" t="s">
        <v>1210</v>
      </c>
      <c r="C388" s="8" t="s">
        <v>546</v>
      </c>
      <c r="D388" s="16" t="s">
        <v>1265</v>
      </c>
      <c r="E388" s="53" t="s">
        <v>1266</v>
      </c>
      <c r="F388" s="8"/>
      <c r="G388" s="70">
        <v>46417</v>
      </c>
      <c r="H388" s="69">
        <v>1</v>
      </c>
      <c r="I388" s="12" t="s">
        <v>3414</v>
      </c>
      <c r="J388" s="16" t="s">
        <v>470</v>
      </c>
      <c r="K388" s="16"/>
    </row>
    <row r="389" spans="1:11">
      <c r="A389" s="8">
        <f t="shared" si="5"/>
        <v>387</v>
      </c>
      <c r="B389" s="8" t="s">
        <v>1210</v>
      </c>
      <c r="C389" s="8" t="s">
        <v>546</v>
      </c>
      <c r="D389" s="16" t="s">
        <v>1267</v>
      </c>
      <c r="E389" s="53" t="s">
        <v>1268</v>
      </c>
      <c r="F389" s="8"/>
      <c r="G389" s="70">
        <v>46417</v>
      </c>
      <c r="H389" s="69">
        <v>1</v>
      </c>
      <c r="I389" s="12" t="s">
        <v>3414</v>
      </c>
      <c r="J389" s="16" t="s">
        <v>470</v>
      </c>
      <c r="K389" s="16"/>
    </row>
    <row r="390" spans="1:11">
      <c r="A390" s="8">
        <f t="shared" si="5"/>
        <v>388</v>
      </c>
      <c r="B390" s="8" t="s">
        <v>1210</v>
      </c>
      <c r="C390" s="8" t="s">
        <v>546</v>
      </c>
      <c r="D390" s="16" t="s">
        <v>1269</v>
      </c>
      <c r="E390" s="53" t="s">
        <v>644</v>
      </c>
      <c r="F390" s="8" t="s">
        <v>1270</v>
      </c>
      <c r="G390" s="70">
        <v>46537</v>
      </c>
      <c r="H390" s="69">
        <v>1.091</v>
      </c>
      <c r="I390" s="12" t="s">
        <v>3414</v>
      </c>
      <c r="J390" s="16" t="s">
        <v>470</v>
      </c>
      <c r="K390" s="16" t="s">
        <v>944</v>
      </c>
    </row>
    <row r="391" spans="1:11">
      <c r="A391" s="57">
        <f t="shared" si="5"/>
        <v>389</v>
      </c>
      <c r="B391" s="57" t="s">
        <v>1210</v>
      </c>
      <c r="C391" s="57" t="s">
        <v>546</v>
      </c>
      <c r="D391" s="58" t="s">
        <v>571</v>
      </c>
      <c r="E391" s="91" t="s">
        <v>1030</v>
      </c>
      <c r="F391" s="57"/>
      <c r="G391" s="60" t="s">
        <v>394</v>
      </c>
      <c r="H391" s="61">
        <v>1</v>
      </c>
      <c r="I391" s="57" t="s">
        <v>1271</v>
      </c>
      <c r="J391" s="58" t="s">
        <v>470</v>
      </c>
      <c r="K391" s="58" t="s">
        <v>944</v>
      </c>
    </row>
    <row r="392" spans="1:11">
      <c r="A392" s="8">
        <f t="shared" si="5"/>
        <v>390</v>
      </c>
      <c r="B392" s="8" t="s">
        <v>1210</v>
      </c>
      <c r="C392" s="8" t="s">
        <v>546</v>
      </c>
      <c r="D392" s="16" t="s">
        <v>574</v>
      </c>
      <c r="E392" s="53" t="s">
        <v>1032</v>
      </c>
      <c r="F392" s="8"/>
      <c r="G392" s="70">
        <v>46356</v>
      </c>
      <c r="H392" s="69">
        <v>1</v>
      </c>
      <c r="I392" s="12" t="s">
        <v>3414</v>
      </c>
      <c r="J392" s="16" t="s">
        <v>470</v>
      </c>
      <c r="K392" s="16"/>
    </row>
    <row r="393" spans="1:11">
      <c r="A393" s="57">
        <f t="shared" si="5"/>
        <v>391</v>
      </c>
      <c r="B393" s="57" t="s">
        <v>1210</v>
      </c>
      <c r="C393" s="57" t="s">
        <v>546</v>
      </c>
      <c r="D393" s="58" t="s">
        <v>577</v>
      </c>
      <c r="E393" s="91" t="s">
        <v>548</v>
      </c>
      <c r="F393" s="57"/>
      <c r="G393" s="60" t="s">
        <v>394</v>
      </c>
      <c r="H393" s="61">
        <v>1</v>
      </c>
      <c r="I393" s="57" t="s">
        <v>948</v>
      </c>
      <c r="J393" s="58" t="s">
        <v>470</v>
      </c>
      <c r="K393" s="58"/>
    </row>
    <row r="394" spans="1:11">
      <c r="A394" s="57">
        <f t="shared" ref="A394:A457" si="6">ROW()-2</f>
        <v>392</v>
      </c>
      <c r="B394" s="57" t="s">
        <v>1210</v>
      </c>
      <c r="C394" s="57" t="s">
        <v>546</v>
      </c>
      <c r="D394" s="58" t="s">
        <v>1034</v>
      </c>
      <c r="E394" s="91" t="s">
        <v>1033</v>
      </c>
      <c r="F394" s="57"/>
      <c r="G394" s="60" t="s">
        <v>394</v>
      </c>
      <c r="H394" s="61">
        <v>1</v>
      </c>
      <c r="I394" s="57" t="s">
        <v>948</v>
      </c>
      <c r="J394" s="58" t="s">
        <v>470</v>
      </c>
      <c r="K394" s="58"/>
    </row>
    <row r="395" spans="1:11">
      <c r="A395" s="57">
        <f t="shared" si="6"/>
        <v>393</v>
      </c>
      <c r="B395" s="57" t="s">
        <v>1210</v>
      </c>
      <c r="C395" s="57" t="s">
        <v>546</v>
      </c>
      <c r="D395" s="58" t="s">
        <v>1272</v>
      </c>
      <c r="E395" s="91" t="s">
        <v>1273</v>
      </c>
      <c r="F395" s="57"/>
      <c r="G395" s="60" t="s">
        <v>394</v>
      </c>
      <c r="H395" s="61">
        <v>1</v>
      </c>
      <c r="I395" s="57"/>
      <c r="J395" s="58" t="s">
        <v>470</v>
      </c>
      <c r="K395" s="58" t="s">
        <v>944</v>
      </c>
    </row>
    <row r="396" spans="1:11">
      <c r="A396" s="8">
        <f t="shared" si="6"/>
        <v>394</v>
      </c>
      <c r="B396" s="8" t="s">
        <v>1210</v>
      </c>
      <c r="C396" s="8" t="s">
        <v>546</v>
      </c>
      <c r="D396" s="16" t="s">
        <v>598</v>
      </c>
      <c r="E396" s="53" t="s">
        <v>575</v>
      </c>
      <c r="F396" s="8"/>
      <c r="G396" s="70">
        <v>46417</v>
      </c>
      <c r="H396" s="69">
        <v>1</v>
      </c>
      <c r="I396" s="12" t="s">
        <v>3414</v>
      </c>
      <c r="J396" s="16" t="s">
        <v>470</v>
      </c>
      <c r="K396" s="16" t="s">
        <v>944</v>
      </c>
    </row>
    <row r="397" spans="1:11">
      <c r="A397" s="8">
        <f t="shared" si="6"/>
        <v>395</v>
      </c>
      <c r="B397" s="8" t="s">
        <v>1210</v>
      </c>
      <c r="C397" s="8" t="s">
        <v>546</v>
      </c>
      <c r="D397" s="16" t="s">
        <v>1274</v>
      </c>
      <c r="E397" s="53" t="s">
        <v>578</v>
      </c>
      <c r="F397" s="8"/>
      <c r="G397" s="70">
        <v>46537</v>
      </c>
      <c r="H397" s="69">
        <v>1</v>
      </c>
      <c r="I397" s="12" t="s">
        <v>3414</v>
      </c>
      <c r="J397" s="16" t="s">
        <v>470</v>
      </c>
      <c r="K397" s="16" t="s">
        <v>944</v>
      </c>
    </row>
    <row r="398" spans="1:11">
      <c r="A398" s="8">
        <f t="shared" si="6"/>
        <v>396</v>
      </c>
      <c r="B398" s="8" t="s">
        <v>1210</v>
      </c>
      <c r="C398" s="8" t="s">
        <v>546</v>
      </c>
      <c r="D398" s="16" t="s">
        <v>1276</v>
      </c>
      <c r="E398" s="53" t="s">
        <v>585</v>
      </c>
      <c r="F398" s="8"/>
      <c r="G398" s="70">
        <v>46474</v>
      </c>
      <c r="H398" s="69">
        <v>1</v>
      </c>
      <c r="I398" s="12" t="s">
        <v>3414</v>
      </c>
      <c r="J398" s="16" t="s">
        <v>470</v>
      </c>
      <c r="K398" s="16" t="s">
        <v>944</v>
      </c>
    </row>
    <row r="399" spans="1:11">
      <c r="A399" s="8">
        <f t="shared" si="6"/>
        <v>397</v>
      </c>
      <c r="B399" s="8" t="s">
        <v>1210</v>
      </c>
      <c r="C399" s="8" t="s">
        <v>546</v>
      </c>
      <c r="D399" s="16" t="s">
        <v>610</v>
      </c>
      <c r="E399" s="53" t="s">
        <v>1277</v>
      </c>
      <c r="F399" s="8"/>
      <c r="G399" s="70">
        <v>46325</v>
      </c>
      <c r="H399" s="69">
        <v>1</v>
      </c>
      <c r="I399" s="12" t="s">
        <v>3414</v>
      </c>
      <c r="J399" s="16" t="s">
        <v>470</v>
      </c>
      <c r="K399" s="16" t="s">
        <v>944</v>
      </c>
    </row>
    <row r="400" spans="1:11">
      <c r="A400" s="57">
        <f t="shared" si="6"/>
        <v>398</v>
      </c>
      <c r="B400" s="57" t="s">
        <v>1210</v>
      </c>
      <c r="C400" s="57" t="s">
        <v>546</v>
      </c>
      <c r="D400" s="58" t="s">
        <v>1278</v>
      </c>
      <c r="E400" s="91" t="s">
        <v>1048</v>
      </c>
      <c r="F400" s="57"/>
      <c r="G400" s="60" t="s">
        <v>394</v>
      </c>
      <c r="H400" s="61">
        <v>1</v>
      </c>
      <c r="I400" s="57" t="s">
        <v>1279</v>
      </c>
      <c r="J400" s="58" t="s">
        <v>470</v>
      </c>
      <c r="K400" s="58" t="s">
        <v>944</v>
      </c>
    </row>
    <row r="401" spans="1:11">
      <c r="A401" s="57">
        <f t="shared" si="6"/>
        <v>399</v>
      </c>
      <c r="B401" s="57" t="s">
        <v>1210</v>
      </c>
      <c r="C401" s="57" t="s">
        <v>546</v>
      </c>
      <c r="D401" s="58" t="s">
        <v>619</v>
      </c>
      <c r="E401" s="91" t="s">
        <v>1038</v>
      </c>
      <c r="F401" s="57"/>
      <c r="G401" s="60" t="s">
        <v>394</v>
      </c>
      <c r="H401" s="61">
        <v>1</v>
      </c>
      <c r="I401" s="61">
        <v>1</v>
      </c>
      <c r="J401" s="58" t="s">
        <v>470</v>
      </c>
      <c r="K401" s="58"/>
    </row>
    <row r="402" spans="1:11">
      <c r="A402" s="62">
        <f t="shared" si="6"/>
        <v>400</v>
      </c>
      <c r="B402" s="62" t="s">
        <v>1210</v>
      </c>
      <c r="C402" s="62" t="s">
        <v>546</v>
      </c>
      <c r="D402" s="63" t="s">
        <v>621</v>
      </c>
      <c r="E402" s="92" t="s">
        <v>1040</v>
      </c>
      <c r="F402" s="62"/>
      <c r="G402" s="89" t="s">
        <v>394</v>
      </c>
      <c r="H402" s="66">
        <v>1</v>
      </c>
      <c r="I402" s="62" t="s">
        <v>948</v>
      </c>
      <c r="J402" s="63" t="s">
        <v>470</v>
      </c>
      <c r="K402" s="63"/>
    </row>
    <row r="403" spans="1:11">
      <c r="A403" s="8">
        <f t="shared" si="6"/>
        <v>401</v>
      </c>
      <c r="B403" s="8" t="s">
        <v>1210</v>
      </c>
      <c r="C403" s="8" t="s">
        <v>546</v>
      </c>
      <c r="D403" s="16" t="s">
        <v>1280</v>
      </c>
      <c r="E403" s="53" t="s">
        <v>593</v>
      </c>
      <c r="F403" s="8"/>
      <c r="G403" s="70">
        <v>46474</v>
      </c>
      <c r="H403" s="69">
        <v>1</v>
      </c>
      <c r="I403" s="12" t="s">
        <v>3414</v>
      </c>
      <c r="J403" s="16" t="s">
        <v>470</v>
      </c>
      <c r="K403" s="16" t="s">
        <v>944</v>
      </c>
    </row>
    <row r="404" spans="1:11">
      <c r="A404" s="8">
        <f t="shared" si="6"/>
        <v>402</v>
      </c>
      <c r="B404" s="8" t="s">
        <v>1210</v>
      </c>
      <c r="C404" s="8" t="s">
        <v>546</v>
      </c>
      <c r="D404" s="16" t="s">
        <v>643</v>
      </c>
      <c r="E404" s="53" t="s">
        <v>599</v>
      </c>
      <c r="F404" s="8"/>
      <c r="G404" s="70">
        <v>46446</v>
      </c>
      <c r="H404" s="69">
        <v>1</v>
      </c>
      <c r="I404" s="12" t="s">
        <v>3414</v>
      </c>
      <c r="J404" s="16" t="s">
        <v>470</v>
      </c>
      <c r="K404" s="16" t="s">
        <v>944</v>
      </c>
    </row>
    <row r="405" spans="1:11">
      <c r="A405" s="8">
        <f t="shared" si="6"/>
        <v>403</v>
      </c>
      <c r="B405" s="8" t="s">
        <v>1210</v>
      </c>
      <c r="C405" s="8" t="s">
        <v>546</v>
      </c>
      <c r="D405" s="16" t="s">
        <v>645</v>
      </c>
      <c r="E405" s="53" t="s">
        <v>608</v>
      </c>
      <c r="F405" s="8"/>
      <c r="G405" s="70">
        <v>46537</v>
      </c>
      <c r="H405" s="69">
        <v>1</v>
      </c>
      <c r="I405" s="12" t="s">
        <v>3414</v>
      </c>
      <c r="J405" s="16" t="s">
        <v>470</v>
      </c>
      <c r="K405" s="16" t="s">
        <v>944</v>
      </c>
    </row>
    <row r="406" spans="1:11">
      <c r="A406" s="57">
        <f t="shared" si="6"/>
        <v>404</v>
      </c>
      <c r="B406" s="57" t="s">
        <v>1210</v>
      </c>
      <c r="C406" s="57" t="s">
        <v>546</v>
      </c>
      <c r="D406" s="58" t="s">
        <v>647</v>
      </c>
      <c r="E406" s="91" t="s">
        <v>605</v>
      </c>
      <c r="F406" s="57"/>
      <c r="G406" s="60" t="s">
        <v>394</v>
      </c>
      <c r="H406" s="61">
        <v>1</v>
      </c>
      <c r="I406" s="57" t="s">
        <v>1281</v>
      </c>
      <c r="J406" s="58" t="s">
        <v>470</v>
      </c>
      <c r="K406" s="58" t="s">
        <v>944</v>
      </c>
    </row>
    <row r="407" spans="1:11">
      <c r="A407" s="57">
        <f t="shared" si="6"/>
        <v>405</v>
      </c>
      <c r="B407" s="57" t="s">
        <v>1210</v>
      </c>
      <c r="C407" s="57" t="s">
        <v>546</v>
      </c>
      <c r="D407" s="58" t="s">
        <v>1282</v>
      </c>
      <c r="E407" s="91" t="s">
        <v>611</v>
      </c>
      <c r="F407" s="57"/>
      <c r="G407" s="60" t="s">
        <v>394</v>
      </c>
      <c r="H407" s="61">
        <v>1</v>
      </c>
      <c r="I407" s="57" t="s">
        <v>948</v>
      </c>
      <c r="J407" s="58" t="s">
        <v>470</v>
      </c>
      <c r="K407" s="58"/>
    </row>
    <row r="408" spans="1:11">
      <c r="A408" s="57">
        <f t="shared" si="6"/>
        <v>406</v>
      </c>
      <c r="B408" s="57" t="s">
        <v>1210</v>
      </c>
      <c r="C408" s="57" t="s">
        <v>546</v>
      </c>
      <c r="D408" s="58" t="s">
        <v>650</v>
      </c>
      <c r="E408" s="91" t="s">
        <v>1283</v>
      </c>
      <c r="F408" s="57"/>
      <c r="G408" s="60" t="s">
        <v>394</v>
      </c>
      <c r="H408" s="61">
        <v>1</v>
      </c>
      <c r="I408" s="57" t="s">
        <v>948</v>
      </c>
      <c r="J408" s="58" t="s">
        <v>470</v>
      </c>
      <c r="K408" s="58"/>
    </row>
    <row r="409" spans="1:11">
      <c r="A409" s="57">
        <f t="shared" si="6"/>
        <v>407</v>
      </c>
      <c r="B409" s="57" t="s">
        <v>1210</v>
      </c>
      <c r="C409" s="57" t="s">
        <v>546</v>
      </c>
      <c r="D409" s="58" t="s">
        <v>653</v>
      </c>
      <c r="E409" s="91" t="s">
        <v>1284</v>
      </c>
      <c r="F409" s="57"/>
      <c r="G409" s="60" t="s">
        <v>394</v>
      </c>
      <c r="H409" s="61">
        <v>1</v>
      </c>
      <c r="I409" s="57" t="s">
        <v>948</v>
      </c>
      <c r="J409" s="58" t="s">
        <v>470</v>
      </c>
      <c r="K409" s="58"/>
    </row>
    <row r="410" spans="1:11">
      <c r="A410" s="8">
        <f t="shared" si="6"/>
        <v>408</v>
      </c>
      <c r="B410" s="8" t="s">
        <v>1210</v>
      </c>
      <c r="C410" s="8" t="s">
        <v>546</v>
      </c>
      <c r="D410" s="16" t="s">
        <v>656</v>
      </c>
      <c r="E410" s="53" t="s">
        <v>617</v>
      </c>
      <c r="F410" s="8"/>
      <c r="G410" s="70">
        <v>46386</v>
      </c>
      <c r="H410" s="69">
        <v>1</v>
      </c>
      <c r="I410" s="12" t="s">
        <v>3414</v>
      </c>
      <c r="J410" s="16" t="s">
        <v>470</v>
      </c>
      <c r="K410" s="16" t="s">
        <v>944</v>
      </c>
    </row>
    <row r="411" spans="1:11">
      <c r="A411" s="8">
        <f t="shared" si="6"/>
        <v>409</v>
      </c>
      <c r="B411" s="8" t="s">
        <v>1210</v>
      </c>
      <c r="C411" s="8" t="s">
        <v>546</v>
      </c>
      <c r="D411" s="16" t="s">
        <v>659</v>
      </c>
      <c r="E411" s="53" t="s">
        <v>602</v>
      </c>
      <c r="F411" s="8"/>
      <c r="G411" s="70">
        <v>46356</v>
      </c>
      <c r="H411" s="69">
        <v>1</v>
      </c>
      <c r="I411" s="12" t="s">
        <v>3414</v>
      </c>
      <c r="J411" s="16" t="s">
        <v>470</v>
      </c>
      <c r="K411" s="16"/>
    </row>
    <row r="412" spans="1:11" ht="36">
      <c r="A412" s="57">
        <f t="shared" si="6"/>
        <v>410</v>
      </c>
      <c r="B412" s="57" t="s">
        <v>1210</v>
      </c>
      <c r="C412" s="57" t="s">
        <v>546</v>
      </c>
      <c r="D412" s="58" t="s">
        <v>662</v>
      </c>
      <c r="E412" s="91" t="s">
        <v>614</v>
      </c>
      <c r="F412" s="57"/>
      <c r="G412" s="60" t="s">
        <v>394</v>
      </c>
      <c r="H412" s="61">
        <v>1</v>
      </c>
      <c r="I412" s="88" t="s">
        <v>1285</v>
      </c>
      <c r="J412" s="58" t="s">
        <v>470</v>
      </c>
      <c r="K412" s="58" t="s">
        <v>944</v>
      </c>
    </row>
    <row r="413" spans="1:11">
      <c r="A413" s="57">
        <f t="shared" si="6"/>
        <v>411</v>
      </c>
      <c r="B413" s="57" t="s">
        <v>1210</v>
      </c>
      <c r="C413" s="57" t="s">
        <v>546</v>
      </c>
      <c r="D413" s="58" t="s">
        <v>1059</v>
      </c>
      <c r="E413" s="91" t="s">
        <v>1286</v>
      </c>
      <c r="F413" s="57"/>
      <c r="G413" s="60" t="s">
        <v>394</v>
      </c>
      <c r="H413" s="61">
        <v>1</v>
      </c>
      <c r="I413" s="57" t="s">
        <v>948</v>
      </c>
      <c r="J413" s="58" t="s">
        <v>470</v>
      </c>
      <c r="K413" s="58"/>
    </row>
    <row r="414" spans="1:11">
      <c r="A414" s="57">
        <f t="shared" si="6"/>
        <v>412</v>
      </c>
      <c r="B414" s="57" t="s">
        <v>1210</v>
      </c>
      <c r="C414" s="57" t="s">
        <v>546</v>
      </c>
      <c r="D414" s="58" t="s">
        <v>1287</v>
      </c>
      <c r="E414" s="91" t="s">
        <v>632</v>
      </c>
      <c r="F414" s="57"/>
      <c r="G414" s="60" t="s">
        <v>394</v>
      </c>
      <c r="H414" s="61">
        <v>1</v>
      </c>
      <c r="I414" s="57" t="s">
        <v>948</v>
      </c>
      <c r="J414" s="58" t="s">
        <v>470</v>
      </c>
      <c r="K414" s="58"/>
    </row>
    <row r="415" spans="1:11">
      <c r="A415" s="62">
        <f t="shared" si="6"/>
        <v>413</v>
      </c>
      <c r="B415" s="62" t="s">
        <v>1210</v>
      </c>
      <c r="C415" s="62" t="s">
        <v>546</v>
      </c>
      <c r="D415" s="63" t="s">
        <v>1288</v>
      </c>
      <c r="E415" s="92" t="s">
        <v>1289</v>
      </c>
      <c r="F415" s="62"/>
      <c r="G415" s="89" t="s">
        <v>451</v>
      </c>
      <c r="H415" s="66">
        <v>1</v>
      </c>
      <c r="I415" s="62" t="s">
        <v>1279</v>
      </c>
      <c r="J415" s="63" t="s">
        <v>470</v>
      </c>
      <c r="K415" s="63"/>
    </row>
    <row r="416" spans="1:11">
      <c r="A416" s="57">
        <f t="shared" si="6"/>
        <v>414</v>
      </c>
      <c r="B416" s="57" t="s">
        <v>1210</v>
      </c>
      <c r="C416" s="57" t="s">
        <v>546</v>
      </c>
      <c r="D416" s="58" t="s">
        <v>1290</v>
      </c>
      <c r="E416" s="91" t="s">
        <v>638</v>
      </c>
      <c r="F416" s="57"/>
      <c r="G416" s="60" t="s">
        <v>394</v>
      </c>
      <c r="H416" s="61">
        <v>1</v>
      </c>
      <c r="I416" s="57" t="s">
        <v>948</v>
      </c>
      <c r="J416" s="58" t="s">
        <v>470</v>
      </c>
      <c r="K416" s="58"/>
    </row>
    <row r="417" spans="1:11">
      <c r="A417" s="57">
        <f t="shared" si="6"/>
        <v>415</v>
      </c>
      <c r="B417" s="57" t="s">
        <v>1210</v>
      </c>
      <c r="C417" s="57" t="s">
        <v>546</v>
      </c>
      <c r="D417" s="58" t="s">
        <v>1291</v>
      </c>
      <c r="E417" s="91" t="s">
        <v>1292</v>
      </c>
      <c r="F417" s="57"/>
      <c r="G417" s="60" t="s">
        <v>394</v>
      </c>
      <c r="H417" s="61">
        <v>1</v>
      </c>
      <c r="I417" s="57" t="s">
        <v>948</v>
      </c>
      <c r="J417" s="58" t="s">
        <v>470</v>
      </c>
      <c r="K417" s="58"/>
    </row>
    <row r="418" spans="1:11">
      <c r="A418" s="57">
        <f t="shared" si="6"/>
        <v>416</v>
      </c>
      <c r="B418" s="57" t="s">
        <v>1210</v>
      </c>
      <c r="C418" s="57" t="s">
        <v>546</v>
      </c>
      <c r="D418" s="58" t="s">
        <v>1293</v>
      </c>
      <c r="E418" s="91" t="s">
        <v>1087</v>
      </c>
      <c r="F418" s="57"/>
      <c r="G418" s="60" t="s">
        <v>394</v>
      </c>
      <c r="H418" s="61">
        <v>1</v>
      </c>
      <c r="I418" s="57" t="s">
        <v>948</v>
      </c>
      <c r="J418" s="58" t="s">
        <v>470</v>
      </c>
      <c r="K418" s="58"/>
    </row>
    <row r="419" spans="1:11">
      <c r="A419" s="57">
        <f t="shared" si="6"/>
        <v>417</v>
      </c>
      <c r="B419" s="57" t="s">
        <v>1210</v>
      </c>
      <c r="C419" s="57" t="s">
        <v>546</v>
      </c>
      <c r="D419" s="58" t="s">
        <v>1074</v>
      </c>
      <c r="E419" s="91" t="s">
        <v>1294</v>
      </c>
      <c r="F419" s="57"/>
      <c r="G419" s="60" t="s">
        <v>394</v>
      </c>
      <c r="H419" s="61">
        <v>1</v>
      </c>
      <c r="I419" s="57" t="s">
        <v>948</v>
      </c>
      <c r="J419" s="58" t="s">
        <v>470</v>
      </c>
      <c r="K419" s="58"/>
    </row>
    <row r="420" spans="1:11">
      <c r="A420" s="57">
        <f t="shared" si="6"/>
        <v>418</v>
      </c>
      <c r="B420" s="57" t="s">
        <v>1210</v>
      </c>
      <c r="C420" s="57" t="s">
        <v>546</v>
      </c>
      <c r="D420" s="58" t="s">
        <v>1078</v>
      </c>
      <c r="E420" s="91" t="s">
        <v>1075</v>
      </c>
      <c r="F420" s="57"/>
      <c r="G420" s="60" t="s">
        <v>394</v>
      </c>
      <c r="H420" s="61">
        <v>1</v>
      </c>
      <c r="I420" s="57" t="s">
        <v>948</v>
      </c>
      <c r="J420" s="58" t="s">
        <v>470</v>
      </c>
      <c r="K420" s="58"/>
    </row>
    <row r="421" spans="1:11">
      <c r="A421" s="57">
        <f t="shared" si="6"/>
        <v>419</v>
      </c>
      <c r="B421" s="57" t="s">
        <v>1210</v>
      </c>
      <c r="C421" s="57" t="s">
        <v>546</v>
      </c>
      <c r="D421" s="58" t="s">
        <v>1082</v>
      </c>
      <c r="E421" s="91" t="s">
        <v>1295</v>
      </c>
      <c r="F421" s="57"/>
      <c r="G421" s="60" t="s">
        <v>394</v>
      </c>
      <c r="H421" s="61">
        <v>1</v>
      </c>
      <c r="I421" s="57" t="s">
        <v>948</v>
      </c>
      <c r="J421" s="58" t="s">
        <v>470</v>
      </c>
      <c r="K421" s="58"/>
    </row>
    <row r="422" spans="1:11">
      <c r="A422" s="57">
        <f t="shared" si="6"/>
        <v>420</v>
      </c>
      <c r="B422" s="57" t="s">
        <v>1210</v>
      </c>
      <c r="C422" s="57" t="s">
        <v>546</v>
      </c>
      <c r="D422" s="58" t="s">
        <v>1084</v>
      </c>
      <c r="E422" s="91" t="s">
        <v>1077</v>
      </c>
      <c r="F422" s="57"/>
      <c r="G422" s="60" t="s">
        <v>394</v>
      </c>
      <c r="H422" s="61">
        <v>1</v>
      </c>
      <c r="I422" s="57" t="s">
        <v>948</v>
      </c>
      <c r="J422" s="58" t="s">
        <v>470</v>
      </c>
      <c r="K422" s="58"/>
    </row>
    <row r="423" spans="1:11">
      <c r="A423" s="57">
        <f t="shared" si="6"/>
        <v>421</v>
      </c>
      <c r="B423" s="57" t="s">
        <v>1210</v>
      </c>
      <c r="C423" s="57" t="s">
        <v>546</v>
      </c>
      <c r="D423" s="58" t="s">
        <v>1086</v>
      </c>
      <c r="E423" s="91" t="s">
        <v>1296</v>
      </c>
      <c r="F423" s="57"/>
      <c r="G423" s="60" t="s">
        <v>394</v>
      </c>
      <c r="H423" s="61">
        <v>1</v>
      </c>
      <c r="I423" s="57" t="s">
        <v>948</v>
      </c>
      <c r="J423" s="58" t="s">
        <v>470</v>
      </c>
      <c r="K423" s="58"/>
    </row>
    <row r="424" spans="1:11">
      <c r="A424" s="8">
        <f t="shared" si="6"/>
        <v>422</v>
      </c>
      <c r="B424" s="8" t="s">
        <v>1210</v>
      </c>
      <c r="C424" s="8" t="s">
        <v>546</v>
      </c>
      <c r="D424" s="16" t="s">
        <v>1297</v>
      </c>
      <c r="E424" s="53" t="s">
        <v>1298</v>
      </c>
      <c r="F424" s="8"/>
      <c r="G424" s="70">
        <v>46356</v>
      </c>
      <c r="H424" s="69">
        <v>1</v>
      </c>
      <c r="I424" s="12" t="s">
        <v>3414</v>
      </c>
      <c r="J424" s="16" t="s">
        <v>470</v>
      </c>
      <c r="K424" s="16" t="s">
        <v>944</v>
      </c>
    </row>
    <row r="425" spans="1:11">
      <c r="A425" s="8">
        <f t="shared" si="6"/>
        <v>423</v>
      </c>
      <c r="B425" s="8" t="s">
        <v>1210</v>
      </c>
      <c r="C425" s="8" t="s">
        <v>546</v>
      </c>
      <c r="D425" s="16" t="s">
        <v>1299</v>
      </c>
      <c r="E425" s="53" t="s">
        <v>1300</v>
      </c>
      <c r="F425" s="8"/>
      <c r="G425" s="70">
        <v>46417</v>
      </c>
      <c r="H425" s="69">
        <v>1</v>
      </c>
      <c r="I425" s="12" t="s">
        <v>3414</v>
      </c>
      <c r="J425" s="16" t="s">
        <v>470</v>
      </c>
      <c r="K425" s="16"/>
    </row>
    <row r="426" spans="1:11">
      <c r="A426" s="57">
        <f t="shared" si="6"/>
        <v>424</v>
      </c>
      <c r="B426" s="57" t="s">
        <v>1210</v>
      </c>
      <c r="C426" s="57" t="s">
        <v>546</v>
      </c>
      <c r="D426" s="58" t="s">
        <v>1301</v>
      </c>
      <c r="E426" s="91" t="s">
        <v>608</v>
      </c>
      <c r="F426" s="57"/>
      <c r="G426" s="60" t="s">
        <v>394</v>
      </c>
      <c r="H426" s="61">
        <v>1</v>
      </c>
      <c r="I426" s="57" t="s">
        <v>948</v>
      </c>
      <c r="J426" s="58" t="s">
        <v>470</v>
      </c>
      <c r="K426" s="58"/>
    </row>
    <row r="427" spans="1:11">
      <c r="A427" s="57">
        <f t="shared" si="6"/>
        <v>425</v>
      </c>
      <c r="B427" s="57" t="s">
        <v>1210</v>
      </c>
      <c r="C427" s="57" t="s">
        <v>546</v>
      </c>
      <c r="D427" s="58" t="s">
        <v>1302</v>
      </c>
      <c r="E427" s="91" t="s">
        <v>1303</v>
      </c>
      <c r="F427" s="57"/>
      <c r="G427" s="60" t="s">
        <v>394</v>
      </c>
      <c r="H427" s="61">
        <v>1</v>
      </c>
      <c r="I427" s="57"/>
      <c r="J427" s="58" t="s">
        <v>470</v>
      </c>
      <c r="K427" s="58" t="s">
        <v>944</v>
      </c>
    </row>
    <row r="428" spans="1:11">
      <c r="A428" s="57">
        <f t="shared" si="6"/>
        <v>426</v>
      </c>
      <c r="B428" s="57" t="s">
        <v>1210</v>
      </c>
      <c r="C428" s="57" t="s">
        <v>546</v>
      </c>
      <c r="D428" s="58" t="s">
        <v>1304</v>
      </c>
      <c r="E428" s="91" t="s">
        <v>1305</v>
      </c>
      <c r="F428" s="57"/>
      <c r="G428" s="60" t="s">
        <v>394</v>
      </c>
      <c r="H428" s="61">
        <v>1</v>
      </c>
      <c r="I428" s="57" t="s">
        <v>948</v>
      </c>
      <c r="J428" s="58" t="s">
        <v>470</v>
      </c>
      <c r="K428" s="58"/>
    </row>
    <row r="429" spans="1:11">
      <c r="A429" s="57">
        <f t="shared" si="6"/>
        <v>427</v>
      </c>
      <c r="B429" s="57" t="s">
        <v>1210</v>
      </c>
      <c r="C429" s="57" t="s">
        <v>665</v>
      </c>
      <c r="D429" s="58" t="s">
        <v>666</v>
      </c>
      <c r="E429" s="91" t="s">
        <v>1306</v>
      </c>
      <c r="F429" s="57" t="s">
        <v>1307</v>
      </c>
      <c r="G429" s="60" t="s">
        <v>394</v>
      </c>
      <c r="H429" s="61">
        <v>1</v>
      </c>
      <c r="I429" s="57" t="s">
        <v>948</v>
      </c>
      <c r="J429" s="58" t="s">
        <v>670</v>
      </c>
      <c r="K429" s="58"/>
    </row>
    <row r="430" spans="1:11">
      <c r="A430" s="57">
        <f t="shared" si="6"/>
        <v>428</v>
      </c>
      <c r="B430" s="57" t="s">
        <v>1210</v>
      </c>
      <c r="C430" s="57" t="s">
        <v>665</v>
      </c>
      <c r="D430" s="58" t="s">
        <v>1308</v>
      </c>
      <c r="E430" s="91" t="s">
        <v>1309</v>
      </c>
      <c r="F430" s="57" t="s">
        <v>1310</v>
      </c>
      <c r="G430" s="60" t="s">
        <v>394</v>
      </c>
      <c r="H430" s="61">
        <v>1</v>
      </c>
      <c r="I430" s="57" t="s">
        <v>948</v>
      </c>
      <c r="J430" s="58" t="s">
        <v>670</v>
      </c>
      <c r="K430" s="58"/>
    </row>
    <row r="431" spans="1:11">
      <c r="A431" s="57">
        <f t="shared" si="6"/>
        <v>429</v>
      </c>
      <c r="B431" s="57" t="s">
        <v>1210</v>
      </c>
      <c r="C431" s="57" t="s">
        <v>665</v>
      </c>
      <c r="D431" s="58" t="s">
        <v>676</v>
      </c>
      <c r="E431" s="91" t="s">
        <v>1311</v>
      </c>
      <c r="F431" s="57" t="s">
        <v>1312</v>
      </c>
      <c r="G431" s="60" t="s">
        <v>394</v>
      </c>
      <c r="H431" s="61">
        <v>1</v>
      </c>
      <c r="I431" s="57" t="s">
        <v>948</v>
      </c>
      <c r="J431" s="58" t="s">
        <v>670</v>
      </c>
      <c r="K431" s="58"/>
    </row>
    <row r="432" spans="1:11">
      <c r="A432" s="57">
        <f t="shared" si="6"/>
        <v>430</v>
      </c>
      <c r="B432" s="57" t="s">
        <v>1210</v>
      </c>
      <c r="C432" s="57" t="s">
        <v>665</v>
      </c>
      <c r="D432" s="58" t="s">
        <v>679</v>
      </c>
      <c r="E432" s="91" t="s">
        <v>1313</v>
      </c>
      <c r="F432" s="57" t="s">
        <v>1314</v>
      </c>
      <c r="G432" s="60" t="s">
        <v>394</v>
      </c>
      <c r="H432" s="61">
        <v>1</v>
      </c>
      <c r="I432" s="57" t="s">
        <v>948</v>
      </c>
      <c r="J432" s="58" t="s">
        <v>670</v>
      </c>
      <c r="K432" s="58"/>
    </row>
    <row r="433" spans="1:11">
      <c r="A433" s="57">
        <f t="shared" si="6"/>
        <v>431</v>
      </c>
      <c r="B433" s="57" t="s">
        <v>1210</v>
      </c>
      <c r="C433" s="57" t="s">
        <v>665</v>
      </c>
      <c r="D433" s="58" t="s">
        <v>684</v>
      </c>
      <c r="E433" s="91" t="s">
        <v>1114</v>
      </c>
      <c r="F433" s="57" t="s">
        <v>1315</v>
      </c>
      <c r="G433" s="60" t="s">
        <v>394</v>
      </c>
      <c r="H433" s="61">
        <v>1</v>
      </c>
      <c r="I433" s="57" t="s">
        <v>948</v>
      </c>
      <c r="J433" s="58" t="s">
        <v>670</v>
      </c>
      <c r="K433" s="58"/>
    </row>
    <row r="434" spans="1:11">
      <c r="A434" s="57">
        <f t="shared" si="6"/>
        <v>432</v>
      </c>
      <c r="B434" s="57" t="s">
        <v>1210</v>
      </c>
      <c r="C434" s="57" t="s">
        <v>665</v>
      </c>
      <c r="D434" s="58" t="s">
        <v>687</v>
      </c>
      <c r="E434" s="91" t="s">
        <v>707</v>
      </c>
      <c r="F434" s="57" t="s">
        <v>700</v>
      </c>
      <c r="G434" s="60" t="s">
        <v>394</v>
      </c>
      <c r="H434" s="61">
        <v>1</v>
      </c>
      <c r="I434" s="57" t="s">
        <v>948</v>
      </c>
      <c r="J434" s="58" t="s">
        <v>670</v>
      </c>
      <c r="K434" s="58"/>
    </row>
    <row r="435" spans="1:11">
      <c r="A435" s="57">
        <f t="shared" si="6"/>
        <v>433</v>
      </c>
      <c r="B435" s="57" t="s">
        <v>1210</v>
      </c>
      <c r="C435" s="57" t="s">
        <v>665</v>
      </c>
      <c r="D435" s="58" t="s">
        <v>691</v>
      </c>
      <c r="E435" s="91" t="s">
        <v>702</v>
      </c>
      <c r="F435" s="57" t="s">
        <v>1316</v>
      </c>
      <c r="G435" s="60" t="s">
        <v>394</v>
      </c>
      <c r="H435" s="61">
        <v>1</v>
      </c>
      <c r="I435" s="57" t="s">
        <v>948</v>
      </c>
      <c r="J435" s="58" t="s">
        <v>670</v>
      </c>
      <c r="K435" s="58"/>
    </row>
    <row r="436" spans="1:11">
      <c r="A436" s="57">
        <f t="shared" si="6"/>
        <v>434</v>
      </c>
      <c r="B436" s="57" t="s">
        <v>1210</v>
      </c>
      <c r="C436" s="57" t="s">
        <v>665</v>
      </c>
      <c r="D436" s="58" t="s">
        <v>695</v>
      </c>
      <c r="E436" s="91" t="s">
        <v>742</v>
      </c>
      <c r="F436" s="57" t="s">
        <v>534</v>
      </c>
      <c r="G436" s="60" t="s">
        <v>394</v>
      </c>
      <c r="H436" s="61">
        <v>1</v>
      </c>
      <c r="I436" s="57" t="s">
        <v>1279</v>
      </c>
      <c r="J436" s="58" t="s">
        <v>705</v>
      </c>
      <c r="K436" s="58"/>
    </row>
    <row r="437" spans="1:11">
      <c r="A437" s="57">
        <f t="shared" si="6"/>
        <v>435</v>
      </c>
      <c r="B437" s="57" t="s">
        <v>1210</v>
      </c>
      <c r="C437" s="57" t="s">
        <v>665</v>
      </c>
      <c r="D437" s="58" t="s">
        <v>698</v>
      </c>
      <c r="E437" s="91" t="s">
        <v>719</v>
      </c>
      <c r="F437" s="57" t="s">
        <v>534</v>
      </c>
      <c r="G437" s="60" t="s">
        <v>394</v>
      </c>
      <c r="H437" s="61">
        <v>1</v>
      </c>
      <c r="I437" s="57" t="s">
        <v>1279</v>
      </c>
      <c r="J437" s="58" t="s">
        <v>705</v>
      </c>
      <c r="K437" s="58"/>
    </row>
    <row r="438" spans="1:11">
      <c r="A438" s="57">
        <f t="shared" si="6"/>
        <v>436</v>
      </c>
      <c r="B438" s="57" t="s">
        <v>1210</v>
      </c>
      <c r="C438" s="57" t="s">
        <v>665</v>
      </c>
      <c r="D438" s="58" t="s">
        <v>701</v>
      </c>
      <c r="E438" s="91" t="s">
        <v>1317</v>
      </c>
      <c r="F438" s="57" t="s">
        <v>534</v>
      </c>
      <c r="G438" s="60" t="s">
        <v>394</v>
      </c>
      <c r="H438" s="61">
        <v>1</v>
      </c>
      <c r="I438" s="57" t="s">
        <v>1279</v>
      </c>
      <c r="J438" s="58" t="s">
        <v>705</v>
      </c>
      <c r="K438" s="58"/>
    </row>
    <row r="439" spans="1:11">
      <c r="A439" s="57">
        <f t="shared" si="6"/>
        <v>437</v>
      </c>
      <c r="B439" s="57" t="s">
        <v>1210</v>
      </c>
      <c r="C439" s="57" t="s">
        <v>665</v>
      </c>
      <c r="D439" s="58" t="s">
        <v>706</v>
      </c>
      <c r="E439" s="91" t="s">
        <v>1318</v>
      </c>
      <c r="F439" s="57" t="s">
        <v>534</v>
      </c>
      <c r="G439" s="60" t="s">
        <v>394</v>
      </c>
      <c r="H439" s="61">
        <v>1</v>
      </c>
      <c r="I439" s="57" t="s">
        <v>1279</v>
      </c>
      <c r="J439" s="58" t="s">
        <v>705</v>
      </c>
      <c r="K439" s="58"/>
    </row>
    <row r="440" spans="1:11">
      <c r="A440" s="57">
        <f t="shared" si="6"/>
        <v>438</v>
      </c>
      <c r="B440" s="57" t="s">
        <v>1210</v>
      </c>
      <c r="C440" s="57" t="s">
        <v>665</v>
      </c>
      <c r="D440" s="58" t="s">
        <v>709</v>
      </c>
      <c r="E440" s="91" t="s">
        <v>716</v>
      </c>
      <c r="F440" s="57" t="s">
        <v>534</v>
      </c>
      <c r="G440" s="60" t="s">
        <v>394</v>
      </c>
      <c r="H440" s="61">
        <v>1</v>
      </c>
      <c r="I440" s="57" t="s">
        <v>948</v>
      </c>
      <c r="J440" s="58" t="s">
        <v>705</v>
      </c>
      <c r="K440" s="58"/>
    </row>
    <row r="441" spans="1:11">
      <c r="A441" s="57">
        <f t="shared" si="6"/>
        <v>439</v>
      </c>
      <c r="B441" s="57" t="s">
        <v>1210</v>
      </c>
      <c r="C441" s="57" t="s">
        <v>665</v>
      </c>
      <c r="D441" s="58" t="s">
        <v>715</v>
      </c>
      <c r="E441" s="91" t="s">
        <v>1319</v>
      </c>
      <c r="F441" s="57" t="s">
        <v>534</v>
      </c>
      <c r="G441" s="60" t="s">
        <v>394</v>
      </c>
      <c r="H441" s="61">
        <v>1</v>
      </c>
      <c r="I441" s="57" t="s">
        <v>1279</v>
      </c>
      <c r="J441" s="58" t="s">
        <v>705</v>
      </c>
      <c r="K441" s="58"/>
    </row>
    <row r="442" spans="1:11">
      <c r="A442" s="57">
        <f t="shared" si="6"/>
        <v>440</v>
      </c>
      <c r="B442" s="57" t="s">
        <v>1210</v>
      </c>
      <c r="C442" s="57" t="s">
        <v>665</v>
      </c>
      <c r="D442" s="58" t="s">
        <v>718</v>
      </c>
      <c r="E442" s="91" t="s">
        <v>729</v>
      </c>
      <c r="F442" s="57" t="s">
        <v>534</v>
      </c>
      <c r="G442" s="60" t="s">
        <v>394</v>
      </c>
      <c r="H442" s="61">
        <v>1</v>
      </c>
      <c r="I442" s="57" t="s">
        <v>1279</v>
      </c>
      <c r="J442" s="58" t="s">
        <v>705</v>
      </c>
      <c r="K442" s="58"/>
    </row>
    <row r="443" spans="1:11">
      <c r="A443" s="57">
        <f t="shared" si="6"/>
        <v>441</v>
      </c>
      <c r="B443" s="57" t="s">
        <v>1210</v>
      </c>
      <c r="C443" s="57" t="s">
        <v>665</v>
      </c>
      <c r="D443" s="58" t="s">
        <v>720</v>
      </c>
      <c r="E443" s="91" t="s">
        <v>753</v>
      </c>
      <c r="F443" s="57" t="s">
        <v>534</v>
      </c>
      <c r="G443" s="60" t="s">
        <v>394</v>
      </c>
      <c r="H443" s="61">
        <v>1</v>
      </c>
      <c r="I443" s="57" t="s">
        <v>1279</v>
      </c>
      <c r="J443" s="58" t="s">
        <v>705</v>
      </c>
      <c r="K443" s="58"/>
    </row>
    <row r="444" spans="1:11">
      <c r="A444" s="57">
        <f t="shared" si="6"/>
        <v>442</v>
      </c>
      <c r="B444" s="57" t="s">
        <v>1210</v>
      </c>
      <c r="C444" s="57" t="s">
        <v>665</v>
      </c>
      <c r="D444" s="58" t="s">
        <v>724</v>
      </c>
      <c r="E444" s="91" t="s">
        <v>749</v>
      </c>
      <c r="F444" s="57" t="s">
        <v>534</v>
      </c>
      <c r="G444" s="60" t="s">
        <v>394</v>
      </c>
      <c r="H444" s="61">
        <v>1</v>
      </c>
      <c r="I444" s="57" t="s">
        <v>1279</v>
      </c>
      <c r="J444" s="58" t="s">
        <v>705</v>
      </c>
      <c r="K444" s="58"/>
    </row>
    <row r="445" spans="1:11">
      <c r="A445" s="57">
        <f t="shared" si="6"/>
        <v>443</v>
      </c>
      <c r="B445" s="57" t="s">
        <v>1210</v>
      </c>
      <c r="C445" s="57" t="s">
        <v>665</v>
      </c>
      <c r="D445" s="58" t="s">
        <v>728</v>
      </c>
      <c r="E445" s="91" t="s">
        <v>751</v>
      </c>
      <c r="F445" s="57" t="s">
        <v>534</v>
      </c>
      <c r="G445" s="60" t="s">
        <v>394</v>
      </c>
      <c r="H445" s="61">
        <v>1</v>
      </c>
      <c r="I445" s="57" t="s">
        <v>1279</v>
      </c>
      <c r="J445" s="58" t="s">
        <v>705</v>
      </c>
      <c r="K445" s="58"/>
    </row>
    <row r="446" spans="1:11">
      <c r="A446" s="57">
        <f t="shared" si="6"/>
        <v>444</v>
      </c>
      <c r="B446" s="57" t="s">
        <v>1210</v>
      </c>
      <c r="C446" s="57" t="s">
        <v>665</v>
      </c>
      <c r="D446" s="58" t="s">
        <v>732</v>
      </c>
      <c r="E446" s="91" t="s">
        <v>1320</v>
      </c>
      <c r="F446" s="57" t="s">
        <v>534</v>
      </c>
      <c r="G446" s="60" t="s">
        <v>394</v>
      </c>
      <c r="H446" s="61">
        <v>1</v>
      </c>
      <c r="I446" s="57" t="s">
        <v>1279</v>
      </c>
      <c r="J446" s="58" t="s">
        <v>705</v>
      </c>
      <c r="K446" s="58"/>
    </row>
    <row r="447" spans="1:11">
      <c r="A447" s="8">
        <f t="shared" si="6"/>
        <v>445</v>
      </c>
      <c r="B447" s="8" t="s">
        <v>1210</v>
      </c>
      <c r="C447" s="8" t="s">
        <v>665</v>
      </c>
      <c r="D447" s="16" t="s">
        <v>1321</v>
      </c>
      <c r="E447" s="53" t="s">
        <v>725</v>
      </c>
      <c r="F447" s="8" t="s">
        <v>534</v>
      </c>
      <c r="G447" s="70">
        <v>46386</v>
      </c>
      <c r="H447" s="69">
        <v>1</v>
      </c>
      <c r="I447" s="93" t="s">
        <v>3414</v>
      </c>
      <c r="J447" s="16" t="s">
        <v>670</v>
      </c>
      <c r="K447" s="16"/>
    </row>
    <row r="448" spans="1:11">
      <c r="A448" s="57">
        <f t="shared" si="6"/>
        <v>446</v>
      </c>
      <c r="B448" s="57" t="s">
        <v>1210</v>
      </c>
      <c r="C448" s="57" t="s">
        <v>770</v>
      </c>
      <c r="D448" s="58" t="s">
        <v>771</v>
      </c>
      <c r="E448" s="91" t="s">
        <v>1322</v>
      </c>
      <c r="F448" s="57"/>
      <c r="G448" s="60" t="s">
        <v>394</v>
      </c>
      <c r="H448" s="61">
        <v>1</v>
      </c>
      <c r="I448" s="57" t="s">
        <v>948</v>
      </c>
      <c r="J448" s="58" t="s">
        <v>670</v>
      </c>
      <c r="K448" s="58"/>
    </row>
    <row r="449" spans="1:11">
      <c r="A449" s="57">
        <f t="shared" si="6"/>
        <v>447</v>
      </c>
      <c r="B449" s="57" t="s">
        <v>1210</v>
      </c>
      <c r="C449" s="57" t="s">
        <v>770</v>
      </c>
      <c r="D449" s="58" t="s">
        <v>1323</v>
      </c>
      <c r="E449" s="91" t="s">
        <v>1324</v>
      </c>
      <c r="F449" s="57"/>
      <c r="G449" s="60" t="s">
        <v>394</v>
      </c>
      <c r="H449" s="61">
        <v>1</v>
      </c>
      <c r="I449" s="57" t="s">
        <v>948</v>
      </c>
      <c r="J449" s="58" t="s">
        <v>670</v>
      </c>
      <c r="K449" s="58"/>
    </row>
    <row r="450" spans="1:11">
      <c r="A450" s="57">
        <f t="shared" si="6"/>
        <v>448</v>
      </c>
      <c r="B450" s="57" t="s">
        <v>1210</v>
      </c>
      <c r="C450" s="57" t="s">
        <v>770</v>
      </c>
      <c r="D450" s="58" t="s">
        <v>1325</v>
      </c>
      <c r="E450" s="91" t="s">
        <v>1326</v>
      </c>
      <c r="F450" s="57"/>
      <c r="G450" s="60" t="s">
        <v>394</v>
      </c>
      <c r="H450" s="61">
        <v>1</v>
      </c>
      <c r="I450" s="57" t="s">
        <v>948</v>
      </c>
      <c r="J450" s="58" t="s">
        <v>670</v>
      </c>
      <c r="K450" s="58"/>
    </row>
    <row r="451" spans="1:11">
      <c r="A451" s="57">
        <f t="shared" si="6"/>
        <v>449</v>
      </c>
      <c r="B451" s="57" t="s">
        <v>1210</v>
      </c>
      <c r="C451" s="57" t="s">
        <v>770</v>
      </c>
      <c r="D451" s="58" t="s">
        <v>1327</v>
      </c>
      <c r="E451" s="91" t="s">
        <v>1328</v>
      </c>
      <c r="F451" s="57"/>
      <c r="G451" s="60" t="s">
        <v>394</v>
      </c>
      <c r="H451" s="61">
        <v>1</v>
      </c>
      <c r="I451" s="57" t="s">
        <v>948</v>
      </c>
      <c r="J451" s="58" t="s">
        <v>670</v>
      </c>
      <c r="K451" s="58"/>
    </row>
    <row r="452" spans="1:11">
      <c r="A452" s="57">
        <f t="shared" si="6"/>
        <v>450</v>
      </c>
      <c r="B452" s="57" t="s">
        <v>1210</v>
      </c>
      <c r="C452" s="57" t="s">
        <v>770</v>
      </c>
      <c r="D452" s="58" t="s">
        <v>1329</v>
      </c>
      <c r="E452" s="91" t="s">
        <v>1330</v>
      </c>
      <c r="F452" s="57"/>
      <c r="G452" s="60" t="s">
        <v>394</v>
      </c>
      <c r="H452" s="61">
        <v>1</v>
      </c>
      <c r="I452" s="57" t="s">
        <v>948</v>
      </c>
      <c r="J452" s="58" t="s">
        <v>670</v>
      </c>
      <c r="K452" s="58"/>
    </row>
    <row r="453" spans="1:11">
      <c r="A453" s="57">
        <f t="shared" si="6"/>
        <v>451</v>
      </c>
      <c r="B453" s="57" t="s">
        <v>1210</v>
      </c>
      <c r="C453" s="57" t="s">
        <v>770</v>
      </c>
      <c r="D453" s="58" t="s">
        <v>1331</v>
      </c>
      <c r="E453" s="91" t="s">
        <v>1332</v>
      </c>
      <c r="F453" s="57"/>
      <c r="G453" s="60" t="s">
        <v>394</v>
      </c>
      <c r="H453" s="61">
        <v>1</v>
      </c>
      <c r="I453" s="57" t="s">
        <v>948</v>
      </c>
      <c r="J453" s="58" t="s">
        <v>670</v>
      </c>
      <c r="K453" s="58"/>
    </row>
    <row r="454" spans="1:11">
      <c r="A454" s="57">
        <f t="shared" si="6"/>
        <v>452</v>
      </c>
      <c r="B454" s="57" t="s">
        <v>1210</v>
      </c>
      <c r="C454" s="57" t="s">
        <v>665</v>
      </c>
      <c r="D454" s="58" t="s">
        <v>1333</v>
      </c>
      <c r="E454" s="91" t="s">
        <v>1334</v>
      </c>
      <c r="F454" s="57" t="s">
        <v>1335</v>
      </c>
      <c r="G454" s="60" t="s">
        <v>394</v>
      </c>
      <c r="H454" s="61">
        <v>1</v>
      </c>
      <c r="I454" s="57" t="s">
        <v>948</v>
      </c>
      <c r="J454" s="58" t="s">
        <v>670</v>
      </c>
      <c r="K454" s="58"/>
    </row>
    <row r="455" spans="1:11">
      <c r="A455" s="57">
        <f t="shared" si="6"/>
        <v>453</v>
      </c>
      <c r="B455" s="57" t="s">
        <v>1210</v>
      </c>
      <c r="C455" s="57" t="s">
        <v>665</v>
      </c>
      <c r="D455" s="58" t="s">
        <v>1336</v>
      </c>
      <c r="E455" s="91" t="s">
        <v>677</v>
      </c>
      <c r="F455" s="57" t="s">
        <v>1337</v>
      </c>
      <c r="G455" s="60" t="s">
        <v>394</v>
      </c>
      <c r="H455" s="61">
        <v>1</v>
      </c>
      <c r="I455" s="57" t="s">
        <v>948</v>
      </c>
      <c r="J455" s="58" t="s">
        <v>670</v>
      </c>
      <c r="K455" s="58"/>
    </row>
    <row r="456" spans="1:11">
      <c r="A456" s="57">
        <f t="shared" si="6"/>
        <v>454</v>
      </c>
      <c r="B456" s="57" t="s">
        <v>1210</v>
      </c>
      <c r="C456" s="57" t="s">
        <v>665</v>
      </c>
      <c r="D456" s="58" t="s">
        <v>1338</v>
      </c>
      <c r="E456" s="91" t="s">
        <v>1339</v>
      </c>
      <c r="F456" s="57" t="s">
        <v>1340</v>
      </c>
      <c r="G456" s="60" t="s">
        <v>394</v>
      </c>
      <c r="H456" s="61">
        <v>1</v>
      </c>
      <c r="I456" s="57" t="s">
        <v>948</v>
      </c>
      <c r="J456" s="58" t="s">
        <v>670</v>
      </c>
      <c r="K456" s="58"/>
    </row>
    <row r="457" spans="1:11">
      <c r="A457" s="57">
        <f t="shared" si="6"/>
        <v>455</v>
      </c>
      <c r="B457" s="57" t="s">
        <v>1210</v>
      </c>
      <c r="C457" s="57" t="s">
        <v>773</v>
      </c>
      <c r="D457" s="58" t="s">
        <v>1341</v>
      </c>
      <c r="E457" s="91" t="s">
        <v>1342</v>
      </c>
      <c r="F457" s="57" t="s">
        <v>1343</v>
      </c>
      <c r="G457" s="60" t="s">
        <v>394</v>
      </c>
      <c r="H457" s="61">
        <v>1</v>
      </c>
      <c r="I457" s="57" t="s">
        <v>948</v>
      </c>
      <c r="J457" s="58" t="s">
        <v>670</v>
      </c>
      <c r="K457" s="58"/>
    </row>
    <row r="458" spans="1:11">
      <c r="A458" s="57">
        <f t="shared" ref="A458:A521" si="7">ROW()-2</f>
        <v>456</v>
      </c>
      <c r="B458" s="57" t="s">
        <v>1210</v>
      </c>
      <c r="C458" s="57" t="s">
        <v>773</v>
      </c>
      <c r="D458" s="58" t="s">
        <v>1344</v>
      </c>
      <c r="E458" s="91" t="s">
        <v>1345</v>
      </c>
      <c r="F458" s="57" t="s">
        <v>1346</v>
      </c>
      <c r="G458" s="60" t="s">
        <v>394</v>
      </c>
      <c r="H458" s="61">
        <v>1</v>
      </c>
      <c r="I458" s="57" t="s">
        <v>1347</v>
      </c>
      <c r="J458" s="58" t="s">
        <v>670</v>
      </c>
      <c r="K458" s="58" t="s">
        <v>683</v>
      </c>
    </row>
    <row r="459" spans="1:11">
      <c r="A459" s="57">
        <f t="shared" si="7"/>
        <v>457</v>
      </c>
      <c r="B459" s="57" t="s">
        <v>1210</v>
      </c>
      <c r="C459" s="57" t="s">
        <v>773</v>
      </c>
      <c r="D459" s="58" t="s">
        <v>1142</v>
      </c>
      <c r="E459" s="91" t="s">
        <v>1348</v>
      </c>
      <c r="F459" s="57" t="s">
        <v>534</v>
      </c>
      <c r="G459" s="60" t="s">
        <v>394</v>
      </c>
      <c r="H459" s="61">
        <v>1</v>
      </c>
      <c r="I459" s="57" t="s">
        <v>1279</v>
      </c>
      <c r="J459" s="58" t="s">
        <v>705</v>
      </c>
      <c r="K459" s="58"/>
    </row>
    <row r="460" spans="1:11">
      <c r="A460" s="57">
        <f t="shared" si="7"/>
        <v>458</v>
      </c>
      <c r="B460" s="57" t="s">
        <v>1210</v>
      </c>
      <c r="C460" s="57" t="s">
        <v>773</v>
      </c>
      <c r="D460" s="58" t="s">
        <v>1349</v>
      </c>
      <c r="E460" s="91" t="s">
        <v>1350</v>
      </c>
      <c r="F460" s="57" t="s">
        <v>534</v>
      </c>
      <c r="G460" s="60" t="s">
        <v>394</v>
      </c>
      <c r="H460" s="61">
        <v>1</v>
      </c>
      <c r="I460" s="57" t="s">
        <v>1279</v>
      </c>
      <c r="J460" s="58" t="s">
        <v>705</v>
      </c>
      <c r="K460" s="58"/>
    </row>
    <row r="461" spans="1:11" ht="48">
      <c r="A461" s="57">
        <f t="shared" si="7"/>
        <v>459</v>
      </c>
      <c r="B461" s="57" t="s">
        <v>1210</v>
      </c>
      <c r="C461" s="57" t="s">
        <v>773</v>
      </c>
      <c r="D461" s="58" t="s">
        <v>1144</v>
      </c>
      <c r="E461" s="91" t="s">
        <v>1351</v>
      </c>
      <c r="F461" s="57"/>
      <c r="G461" s="60" t="s">
        <v>394</v>
      </c>
      <c r="H461" s="61">
        <v>1</v>
      </c>
      <c r="I461" s="88" t="s">
        <v>1352</v>
      </c>
      <c r="J461" s="58" t="s">
        <v>470</v>
      </c>
      <c r="K461" s="58" t="s">
        <v>944</v>
      </c>
    </row>
    <row r="462" spans="1:11">
      <c r="A462" s="57">
        <f t="shared" si="7"/>
        <v>460</v>
      </c>
      <c r="B462" s="57" t="s">
        <v>1210</v>
      </c>
      <c r="C462" s="57" t="s">
        <v>773</v>
      </c>
      <c r="D462" s="58" t="s">
        <v>1353</v>
      </c>
      <c r="E462" s="91" t="s">
        <v>1354</v>
      </c>
      <c r="F462" s="57"/>
      <c r="G462" s="60" t="s">
        <v>394</v>
      </c>
      <c r="H462" s="61">
        <v>1</v>
      </c>
      <c r="I462" s="57" t="s">
        <v>948</v>
      </c>
      <c r="J462" s="58" t="s">
        <v>470</v>
      </c>
      <c r="K462" s="58"/>
    </row>
    <row r="463" spans="1:11">
      <c r="A463" s="57">
        <f t="shared" si="7"/>
        <v>461</v>
      </c>
      <c r="B463" s="57" t="s">
        <v>1210</v>
      </c>
      <c r="C463" s="57" t="s">
        <v>773</v>
      </c>
      <c r="D463" s="58" t="s">
        <v>1355</v>
      </c>
      <c r="E463" s="91" t="s">
        <v>1356</v>
      </c>
      <c r="F463" s="57"/>
      <c r="G463" s="60" t="s">
        <v>451</v>
      </c>
      <c r="H463" s="61">
        <v>1</v>
      </c>
      <c r="I463" s="57" t="s">
        <v>948</v>
      </c>
      <c r="J463" s="58" t="s">
        <v>470</v>
      </c>
      <c r="K463" s="58" t="s">
        <v>944</v>
      </c>
    </row>
    <row r="464" spans="1:11">
      <c r="A464" s="8">
        <f t="shared" si="7"/>
        <v>462</v>
      </c>
      <c r="B464" s="8" t="s">
        <v>1210</v>
      </c>
      <c r="C464" s="8" t="s">
        <v>773</v>
      </c>
      <c r="D464" s="16" t="s">
        <v>1148</v>
      </c>
      <c r="E464" s="53" t="s">
        <v>1357</v>
      </c>
      <c r="F464" s="8"/>
      <c r="G464" s="70">
        <v>46474</v>
      </c>
      <c r="H464" s="69">
        <v>1</v>
      </c>
      <c r="I464" s="93" t="s">
        <v>3414</v>
      </c>
      <c r="J464" s="16" t="s">
        <v>470</v>
      </c>
      <c r="K464" s="16"/>
    </row>
    <row r="465" spans="1:11">
      <c r="A465" s="57">
        <f t="shared" si="7"/>
        <v>463</v>
      </c>
      <c r="B465" s="57" t="s">
        <v>1210</v>
      </c>
      <c r="C465" s="57" t="s">
        <v>773</v>
      </c>
      <c r="D465" s="58" t="s">
        <v>1150</v>
      </c>
      <c r="E465" s="91" t="s">
        <v>1358</v>
      </c>
      <c r="F465" s="57"/>
      <c r="G465" s="60" t="s">
        <v>394</v>
      </c>
      <c r="H465" s="61">
        <v>1</v>
      </c>
      <c r="I465" s="57" t="s">
        <v>948</v>
      </c>
      <c r="J465" s="58" t="s">
        <v>470</v>
      </c>
      <c r="K465" s="58"/>
    </row>
    <row r="466" spans="1:11">
      <c r="A466" s="57">
        <f t="shared" si="7"/>
        <v>464</v>
      </c>
      <c r="B466" s="57" t="s">
        <v>1210</v>
      </c>
      <c r="C466" s="57" t="s">
        <v>773</v>
      </c>
      <c r="D466" s="58" t="s">
        <v>1359</v>
      </c>
      <c r="E466" s="91" t="s">
        <v>1360</v>
      </c>
      <c r="F466" s="57" t="s">
        <v>385</v>
      </c>
      <c r="G466" s="60" t="s">
        <v>394</v>
      </c>
      <c r="H466" s="61">
        <v>1</v>
      </c>
      <c r="I466" s="57" t="s">
        <v>948</v>
      </c>
      <c r="J466" s="58" t="s">
        <v>670</v>
      </c>
      <c r="K466" s="58"/>
    </row>
    <row r="467" spans="1:11">
      <c r="A467" s="57">
        <f t="shared" si="7"/>
        <v>465</v>
      </c>
      <c r="B467" s="57" t="s">
        <v>1210</v>
      </c>
      <c r="C467" s="57" t="s">
        <v>773</v>
      </c>
      <c r="D467" s="58" t="s">
        <v>1154</v>
      </c>
      <c r="E467" s="91" t="s">
        <v>1361</v>
      </c>
      <c r="F467" s="57" t="s">
        <v>1362</v>
      </c>
      <c r="G467" s="60" t="s">
        <v>394</v>
      </c>
      <c r="H467" s="61">
        <v>1</v>
      </c>
      <c r="I467" s="57" t="s">
        <v>948</v>
      </c>
      <c r="J467" s="58" t="s">
        <v>670</v>
      </c>
      <c r="K467" s="58"/>
    </row>
    <row r="468" spans="1:11">
      <c r="A468" s="57">
        <f t="shared" si="7"/>
        <v>466</v>
      </c>
      <c r="B468" s="57" t="s">
        <v>1210</v>
      </c>
      <c r="C468" s="57" t="s">
        <v>773</v>
      </c>
      <c r="D468" s="58" t="s">
        <v>1363</v>
      </c>
      <c r="E468" s="91" t="s">
        <v>1364</v>
      </c>
      <c r="F468" s="57" t="s">
        <v>1365</v>
      </c>
      <c r="G468" s="60" t="s">
        <v>394</v>
      </c>
      <c r="H468" s="61">
        <v>1</v>
      </c>
      <c r="I468" s="57" t="s">
        <v>948</v>
      </c>
      <c r="J468" s="58" t="s">
        <v>670</v>
      </c>
      <c r="K468" s="58" t="s">
        <v>683</v>
      </c>
    </row>
    <row r="469" spans="1:11">
      <c r="A469" s="57">
        <f t="shared" si="7"/>
        <v>467</v>
      </c>
      <c r="B469" s="57" t="s">
        <v>1210</v>
      </c>
      <c r="C469" s="57" t="s">
        <v>773</v>
      </c>
      <c r="D469" s="58" t="s">
        <v>1366</v>
      </c>
      <c r="E469" s="91" t="s">
        <v>1367</v>
      </c>
      <c r="F469" s="57" t="s">
        <v>1368</v>
      </c>
      <c r="G469" s="60" t="s">
        <v>394</v>
      </c>
      <c r="H469" s="61">
        <v>1</v>
      </c>
      <c r="I469" s="57" t="s">
        <v>948</v>
      </c>
      <c r="J469" s="58" t="s">
        <v>670</v>
      </c>
      <c r="K469" s="58"/>
    </row>
    <row r="470" spans="1:11">
      <c r="A470" s="8">
        <f t="shared" si="7"/>
        <v>468</v>
      </c>
      <c r="B470" s="8" t="s">
        <v>1210</v>
      </c>
      <c r="C470" s="8" t="s">
        <v>773</v>
      </c>
      <c r="D470" s="16" t="s">
        <v>1175</v>
      </c>
      <c r="E470" s="53" t="s">
        <v>1369</v>
      </c>
      <c r="F470" s="8" t="s">
        <v>1370</v>
      </c>
      <c r="G470" s="70">
        <v>46446</v>
      </c>
      <c r="H470" s="69">
        <v>1</v>
      </c>
      <c r="I470" s="93" t="s">
        <v>3414</v>
      </c>
      <c r="J470" s="16" t="s">
        <v>670</v>
      </c>
      <c r="K470" s="16" t="s">
        <v>683</v>
      </c>
    </row>
    <row r="471" spans="1:11">
      <c r="A471" s="57">
        <f t="shared" si="7"/>
        <v>469</v>
      </c>
      <c r="B471" s="57" t="s">
        <v>1210</v>
      </c>
      <c r="C471" s="57" t="s">
        <v>773</v>
      </c>
      <c r="D471" s="58" t="s">
        <v>1371</v>
      </c>
      <c r="E471" s="91" t="s">
        <v>1372</v>
      </c>
      <c r="F471" s="57" t="s">
        <v>1373</v>
      </c>
      <c r="G471" s="60" t="s">
        <v>394</v>
      </c>
      <c r="H471" s="61">
        <v>1</v>
      </c>
      <c r="I471" s="57" t="s">
        <v>948</v>
      </c>
      <c r="J471" s="58" t="s">
        <v>670</v>
      </c>
      <c r="K471" s="58" t="s">
        <v>683</v>
      </c>
    </row>
    <row r="472" spans="1:11">
      <c r="A472" s="8">
        <f t="shared" si="7"/>
        <v>470</v>
      </c>
      <c r="B472" s="8" t="s">
        <v>1210</v>
      </c>
      <c r="C472" s="8" t="s">
        <v>773</v>
      </c>
      <c r="D472" s="16" t="s">
        <v>1178</v>
      </c>
      <c r="E472" s="53" t="s">
        <v>1374</v>
      </c>
      <c r="F472" s="8" t="s">
        <v>1375</v>
      </c>
      <c r="G472" s="70">
        <v>46507</v>
      </c>
      <c r="H472" s="69">
        <v>1</v>
      </c>
      <c r="I472" s="93" t="s">
        <v>3414</v>
      </c>
      <c r="J472" s="16" t="s">
        <v>670</v>
      </c>
      <c r="K472" s="16"/>
    </row>
    <row r="473" spans="1:11">
      <c r="A473" s="8">
        <f t="shared" si="7"/>
        <v>471</v>
      </c>
      <c r="B473" s="8" t="s">
        <v>1210</v>
      </c>
      <c r="C473" s="8" t="s">
        <v>773</v>
      </c>
      <c r="D473" s="16" t="s">
        <v>1180</v>
      </c>
      <c r="E473" s="53" t="s">
        <v>1376</v>
      </c>
      <c r="F473" s="8" t="s">
        <v>1377</v>
      </c>
      <c r="G473" s="70">
        <v>46325</v>
      </c>
      <c r="H473" s="69">
        <v>1</v>
      </c>
      <c r="I473" s="93" t="s">
        <v>3414</v>
      </c>
      <c r="J473" s="16" t="s">
        <v>705</v>
      </c>
      <c r="K473" s="16"/>
    </row>
    <row r="474" spans="1:11">
      <c r="A474" s="57">
        <f t="shared" si="7"/>
        <v>472</v>
      </c>
      <c r="B474" s="57" t="s">
        <v>1210</v>
      </c>
      <c r="C474" s="57" t="s">
        <v>773</v>
      </c>
      <c r="D474" s="58" t="s">
        <v>1378</v>
      </c>
      <c r="E474" s="91" t="s">
        <v>1379</v>
      </c>
      <c r="F474" s="57" t="s">
        <v>534</v>
      </c>
      <c r="G474" s="60" t="s">
        <v>394</v>
      </c>
      <c r="H474" s="61">
        <v>1</v>
      </c>
      <c r="I474" s="57" t="s">
        <v>948</v>
      </c>
      <c r="J474" s="58" t="s">
        <v>705</v>
      </c>
      <c r="K474" s="58"/>
    </row>
    <row r="475" spans="1:11">
      <c r="A475" s="57">
        <f t="shared" si="7"/>
        <v>473</v>
      </c>
      <c r="B475" s="57" t="s">
        <v>1210</v>
      </c>
      <c r="C475" s="57" t="s">
        <v>773</v>
      </c>
      <c r="D475" s="58" t="s">
        <v>1380</v>
      </c>
      <c r="E475" s="91" t="s">
        <v>1381</v>
      </c>
      <c r="F475" s="57" t="s">
        <v>700</v>
      </c>
      <c r="G475" s="60" t="s">
        <v>394</v>
      </c>
      <c r="H475" s="61">
        <v>1</v>
      </c>
      <c r="I475" s="57" t="s">
        <v>948</v>
      </c>
      <c r="J475" s="58" t="s">
        <v>670</v>
      </c>
      <c r="K475" s="58"/>
    </row>
    <row r="476" spans="1:11">
      <c r="A476" s="57">
        <f t="shared" si="7"/>
        <v>474</v>
      </c>
      <c r="B476" s="57" t="s">
        <v>1210</v>
      </c>
      <c r="C476" s="57" t="s">
        <v>773</v>
      </c>
      <c r="D476" s="58" t="s">
        <v>1382</v>
      </c>
      <c r="E476" s="91" t="s">
        <v>836</v>
      </c>
      <c r="F476" s="57" t="s">
        <v>534</v>
      </c>
      <c r="G476" s="60" t="s">
        <v>394</v>
      </c>
      <c r="H476" s="61">
        <v>1</v>
      </c>
      <c r="I476" s="57" t="s">
        <v>948</v>
      </c>
      <c r="J476" s="58" t="s">
        <v>705</v>
      </c>
      <c r="K476" s="58"/>
    </row>
    <row r="477" spans="1:11">
      <c r="A477" s="57">
        <f t="shared" si="7"/>
        <v>475</v>
      </c>
      <c r="B477" s="57" t="s">
        <v>1210</v>
      </c>
      <c r="C477" s="57" t="s">
        <v>773</v>
      </c>
      <c r="D477" s="58" t="s">
        <v>1383</v>
      </c>
      <c r="E477" s="91" t="s">
        <v>840</v>
      </c>
      <c r="F477" s="57" t="s">
        <v>534</v>
      </c>
      <c r="G477" s="60" t="s">
        <v>394</v>
      </c>
      <c r="H477" s="61">
        <v>1</v>
      </c>
      <c r="I477" s="57" t="s">
        <v>948</v>
      </c>
      <c r="J477" s="58" t="s">
        <v>705</v>
      </c>
      <c r="K477" s="58"/>
    </row>
    <row r="478" spans="1:11">
      <c r="A478" s="57">
        <f t="shared" si="7"/>
        <v>476</v>
      </c>
      <c r="B478" s="57" t="s">
        <v>1210</v>
      </c>
      <c r="C478" s="57" t="s">
        <v>773</v>
      </c>
      <c r="D478" s="58" t="s">
        <v>1384</v>
      </c>
      <c r="E478" s="91" t="s">
        <v>1385</v>
      </c>
      <c r="F478" s="57" t="s">
        <v>534</v>
      </c>
      <c r="G478" s="60" t="s">
        <v>394</v>
      </c>
      <c r="H478" s="61">
        <v>1</v>
      </c>
      <c r="I478" s="57" t="s">
        <v>948</v>
      </c>
      <c r="J478" s="58" t="s">
        <v>705</v>
      </c>
      <c r="K478" s="58"/>
    </row>
    <row r="479" spans="1:11">
      <c r="A479" s="57">
        <f t="shared" si="7"/>
        <v>477</v>
      </c>
      <c r="B479" s="57" t="s">
        <v>1210</v>
      </c>
      <c r="C479" s="57" t="s">
        <v>773</v>
      </c>
      <c r="D479" s="58" t="s">
        <v>1386</v>
      </c>
      <c r="E479" s="91" t="s">
        <v>845</v>
      </c>
      <c r="F479" s="57" t="s">
        <v>534</v>
      </c>
      <c r="G479" s="60" t="s">
        <v>394</v>
      </c>
      <c r="H479" s="61">
        <v>1</v>
      </c>
      <c r="I479" s="57" t="s">
        <v>948</v>
      </c>
      <c r="J479" s="58" t="s">
        <v>705</v>
      </c>
      <c r="K479" s="58"/>
    </row>
    <row r="480" spans="1:11">
      <c r="A480" s="57">
        <f t="shared" si="7"/>
        <v>478</v>
      </c>
      <c r="B480" s="57" t="s">
        <v>1210</v>
      </c>
      <c r="C480" s="57" t="s">
        <v>773</v>
      </c>
      <c r="D480" s="58" t="s">
        <v>1387</v>
      </c>
      <c r="E480" s="91" t="s">
        <v>847</v>
      </c>
      <c r="F480" s="57" t="s">
        <v>534</v>
      </c>
      <c r="G480" s="60" t="s">
        <v>394</v>
      </c>
      <c r="H480" s="61">
        <v>1</v>
      </c>
      <c r="I480" s="57" t="s">
        <v>948</v>
      </c>
      <c r="J480" s="58" t="s">
        <v>705</v>
      </c>
      <c r="K480" s="58"/>
    </row>
    <row r="481" spans="1:11">
      <c r="A481" s="57">
        <f t="shared" si="7"/>
        <v>479</v>
      </c>
      <c r="B481" s="57" t="s">
        <v>1210</v>
      </c>
      <c r="C481" s="57" t="s">
        <v>773</v>
      </c>
      <c r="D481" s="58" t="s">
        <v>1388</v>
      </c>
      <c r="E481" s="91" t="s">
        <v>1389</v>
      </c>
      <c r="F481" s="57" t="s">
        <v>534</v>
      </c>
      <c r="G481" s="60" t="s">
        <v>394</v>
      </c>
      <c r="H481" s="61">
        <v>1</v>
      </c>
      <c r="I481" s="57" t="s">
        <v>948</v>
      </c>
      <c r="J481" s="58" t="s">
        <v>705</v>
      </c>
      <c r="K481" s="58"/>
    </row>
    <row r="482" spans="1:11">
      <c r="A482" s="8">
        <f t="shared" si="7"/>
        <v>480</v>
      </c>
      <c r="B482" s="8" t="s">
        <v>1210</v>
      </c>
      <c r="C482" s="8" t="s">
        <v>773</v>
      </c>
      <c r="D482" s="16" t="s">
        <v>1390</v>
      </c>
      <c r="E482" s="53" t="s">
        <v>861</v>
      </c>
      <c r="F482" s="8" t="s">
        <v>1391</v>
      </c>
      <c r="G482" s="54">
        <v>46142</v>
      </c>
      <c r="H482" s="67">
        <v>0.85709999999999997</v>
      </c>
      <c r="I482" s="94" t="s">
        <v>1392</v>
      </c>
      <c r="J482" s="16" t="s">
        <v>470</v>
      </c>
      <c r="K482" s="16" t="s">
        <v>944</v>
      </c>
    </row>
    <row r="483" spans="1:11">
      <c r="A483" s="57">
        <f t="shared" si="7"/>
        <v>481</v>
      </c>
      <c r="B483" s="57" t="s">
        <v>1210</v>
      </c>
      <c r="C483" s="57" t="s">
        <v>773</v>
      </c>
      <c r="D483" s="58" t="s">
        <v>1393</v>
      </c>
      <c r="E483" s="91" t="s">
        <v>1394</v>
      </c>
      <c r="F483" s="57" t="s">
        <v>1395</v>
      </c>
      <c r="G483" s="60" t="s">
        <v>394</v>
      </c>
      <c r="H483" s="61">
        <v>1</v>
      </c>
      <c r="I483" s="57" t="s">
        <v>948</v>
      </c>
      <c r="J483" s="58" t="s">
        <v>670</v>
      </c>
      <c r="K483" s="58"/>
    </row>
    <row r="484" spans="1:11">
      <c r="A484" s="57">
        <f t="shared" si="7"/>
        <v>482</v>
      </c>
      <c r="B484" s="57" t="s">
        <v>1210</v>
      </c>
      <c r="C484" s="57" t="s">
        <v>773</v>
      </c>
      <c r="D484" s="58" t="s">
        <v>1396</v>
      </c>
      <c r="E484" s="91" t="s">
        <v>1397</v>
      </c>
      <c r="F484" s="57"/>
      <c r="G484" s="60" t="s">
        <v>394</v>
      </c>
      <c r="H484" s="61">
        <v>1</v>
      </c>
      <c r="I484" s="57" t="s">
        <v>948</v>
      </c>
      <c r="J484" s="58" t="s">
        <v>470</v>
      </c>
      <c r="K484" s="58"/>
    </row>
    <row r="485" spans="1:11">
      <c r="A485" s="57">
        <f t="shared" si="7"/>
        <v>483</v>
      </c>
      <c r="B485" s="57" t="s">
        <v>1210</v>
      </c>
      <c r="C485" s="57" t="s">
        <v>773</v>
      </c>
      <c r="D485" s="58" t="s">
        <v>1398</v>
      </c>
      <c r="E485" s="91" t="s">
        <v>1399</v>
      </c>
      <c r="F485" s="57"/>
      <c r="G485" s="60" t="s">
        <v>394</v>
      </c>
      <c r="H485" s="61">
        <v>1</v>
      </c>
      <c r="I485" s="57" t="s">
        <v>948</v>
      </c>
      <c r="J485" s="58" t="s">
        <v>470</v>
      </c>
      <c r="K485" s="58" t="s">
        <v>944</v>
      </c>
    </row>
    <row r="486" spans="1:11">
      <c r="A486" s="57">
        <f t="shared" si="7"/>
        <v>484</v>
      </c>
      <c r="B486" s="57" t="s">
        <v>1210</v>
      </c>
      <c r="C486" s="57" t="s">
        <v>773</v>
      </c>
      <c r="D486" s="58" t="s">
        <v>1400</v>
      </c>
      <c r="E486" s="91" t="s">
        <v>802</v>
      </c>
      <c r="F486" s="57"/>
      <c r="G486" s="60" t="s">
        <v>394</v>
      </c>
      <c r="H486" s="61">
        <v>1</v>
      </c>
      <c r="I486" s="57" t="s">
        <v>948</v>
      </c>
      <c r="J486" s="58" t="s">
        <v>470</v>
      </c>
      <c r="K486" s="58"/>
    </row>
    <row r="487" spans="1:11">
      <c r="A487" s="57">
        <f t="shared" si="7"/>
        <v>485</v>
      </c>
      <c r="B487" s="57" t="s">
        <v>1210</v>
      </c>
      <c r="C487" s="57" t="s">
        <v>773</v>
      </c>
      <c r="D487" s="58" t="s">
        <v>1401</v>
      </c>
      <c r="E487" s="91" t="s">
        <v>1402</v>
      </c>
      <c r="F487" s="57" t="s">
        <v>530</v>
      </c>
      <c r="G487" s="60" t="s">
        <v>394</v>
      </c>
      <c r="H487" s="61">
        <v>1</v>
      </c>
      <c r="I487" s="57" t="s">
        <v>948</v>
      </c>
      <c r="J487" s="58" t="s">
        <v>670</v>
      </c>
      <c r="K487" s="58"/>
    </row>
    <row r="488" spans="1:11">
      <c r="A488" s="57">
        <f t="shared" si="7"/>
        <v>486</v>
      </c>
      <c r="B488" s="57" t="s">
        <v>1210</v>
      </c>
      <c r="C488" s="57" t="s">
        <v>773</v>
      </c>
      <c r="D488" s="58" t="s">
        <v>1403</v>
      </c>
      <c r="E488" s="91" t="s">
        <v>1404</v>
      </c>
      <c r="F488" s="57"/>
      <c r="G488" s="60" t="s">
        <v>394</v>
      </c>
      <c r="H488" s="61">
        <v>1</v>
      </c>
      <c r="I488" s="57" t="s">
        <v>948</v>
      </c>
      <c r="J488" s="58" t="s">
        <v>470</v>
      </c>
      <c r="K488" s="58"/>
    </row>
    <row r="489" spans="1:11">
      <c r="A489" s="57">
        <f t="shared" si="7"/>
        <v>487</v>
      </c>
      <c r="B489" s="57" t="s">
        <v>1210</v>
      </c>
      <c r="C489" s="57" t="s">
        <v>773</v>
      </c>
      <c r="D489" s="58" t="s">
        <v>1405</v>
      </c>
      <c r="E489" s="91" t="s">
        <v>1406</v>
      </c>
      <c r="F489" s="57"/>
      <c r="G489" s="60" t="s">
        <v>394</v>
      </c>
      <c r="H489" s="61">
        <v>1</v>
      </c>
      <c r="I489" s="57" t="s">
        <v>948</v>
      </c>
      <c r="J489" s="58" t="s">
        <v>470</v>
      </c>
      <c r="K489" s="58" t="s">
        <v>944</v>
      </c>
    </row>
    <row r="490" spans="1:11">
      <c r="A490" s="57">
        <f t="shared" si="7"/>
        <v>488</v>
      </c>
      <c r="B490" s="57" t="s">
        <v>1210</v>
      </c>
      <c r="C490" s="57" t="s">
        <v>541</v>
      </c>
      <c r="D490" s="58" t="s">
        <v>542</v>
      </c>
      <c r="E490" s="91" t="s">
        <v>543</v>
      </c>
      <c r="F490" s="57"/>
      <c r="G490" s="60" t="s">
        <v>394</v>
      </c>
      <c r="H490" s="61">
        <v>1</v>
      </c>
      <c r="I490" s="57" t="s">
        <v>948</v>
      </c>
      <c r="J490" s="58" t="s">
        <v>409</v>
      </c>
      <c r="K490" s="58"/>
    </row>
    <row r="491" spans="1:11">
      <c r="A491" s="57">
        <f t="shared" si="7"/>
        <v>489</v>
      </c>
      <c r="B491" s="57" t="s">
        <v>1210</v>
      </c>
      <c r="C491" s="57" t="s">
        <v>541</v>
      </c>
      <c r="D491" s="58" t="s">
        <v>1407</v>
      </c>
      <c r="E491" s="91" t="s">
        <v>938</v>
      </c>
      <c r="F491" s="57"/>
      <c r="G491" s="60" t="s">
        <v>394</v>
      </c>
      <c r="H491" s="61">
        <v>1</v>
      </c>
      <c r="I491" s="57" t="s">
        <v>948</v>
      </c>
      <c r="J491" s="58" t="s">
        <v>409</v>
      </c>
      <c r="K491" s="58"/>
    </row>
    <row r="492" spans="1:11">
      <c r="A492" s="62">
        <f t="shared" si="7"/>
        <v>490</v>
      </c>
      <c r="B492" s="62" t="s">
        <v>1210</v>
      </c>
      <c r="C492" s="62" t="s">
        <v>531</v>
      </c>
      <c r="D492" s="63" t="s">
        <v>532</v>
      </c>
      <c r="E492" s="92" t="s">
        <v>1007</v>
      </c>
      <c r="F492" s="62"/>
      <c r="G492" s="89" t="s">
        <v>451</v>
      </c>
      <c r="H492" s="66">
        <v>1</v>
      </c>
      <c r="I492" s="57" t="s">
        <v>948</v>
      </c>
      <c r="J492" s="63" t="s">
        <v>470</v>
      </c>
      <c r="K492" s="63"/>
    </row>
    <row r="493" spans="1:11">
      <c r="A493" s="57">
        <f t="shared" si="7"/>
        <v>491</v>
      </c>
      <c r="B493" s="57" t="s">
        <v>1210</v>
      </c>
      <c r="C493" s="57" t="s">
        <v>538</v>
      </c>
      <c r="D493" s="58" t="s">
        <v>539</v>
      </c>
      <c r="E493" s="91" t="s">
        <v>1203</v>
      </c>
      <c r="F493" s="57"/>
      <c r="G493" s="60" t="s">
        <v>394</v>
      </c>
      <c r="H493" s="61" t="s">
        <v>948</v>
      </c>
      <c r="I493" s="57" t="s">
        <v>948</v>
      </c>
      <c r="J493" s="58" t="s">
        <v>470</v>
      </c>
      <c r="K493" s="58"/>
    </row>
    <row r="494" spans="1:11">
      <c r="A494" s="8">
        <f t="shared" si="7"/>
        <v>492</v>
      </c>
      <c r="B494" s="8" t="s">
        <v>1210</v>
      </c>
      <c r="C494" s="8" t="s">
        <v>455</v>
      </c>
      <c r="D494" s="16" t="s">
        <v>1408</v>
      </c>
      <c r="E494" s="53" t="s">
        <v>1409</v>
      </c>
      <c r="F494" s="8"/>
      <c r="G494" s="70">
        <v>46386</v>
      </c>
      <c r="H494" s="69">
        <v>1</v>
      </c>
      <c r="I494" s="12" t="s">
        <v>3414</v>
      </c>
      <c r="J494" s="16" t="s">
        <v>441</v>
      </c>
      <c r="K494" s="16" t="s">
        <v>470</v>
      </c>
    </row>
    <row r="495" spans="1:11">
      <c r="A495" s="57">
        <f t="shared" si="7"/>
        <v>493</v>
      </c>
      <c r="B495" s="57" t="s">
        <v>1210</v>
      </c>
      <c r="C495" s="57" t="s">
        <v>455</v>
      </c>
      <c r="D495" s="58" t="s">
        <v>460</v>
      </c>
      <c r="E495" s="91" t="s">
        <v>1410</v>
      </c>
      <c r="F495" s="57"/>
      <c r="G495" s="60" t="s">
        <v>394</v>
      </c>
      <c r="H495" s="61">
        <v>1</v>
      </c>
      <c r="I495" s="57" t="s">
        <v>948</v>
      </c>
      <c r="J495" s="58" t="s">
        <v>441</v>
      </c>
      <c r="K495" s="58" t="s">
        <v>944</v>
      </c>
    </row>
    <row r="496" spans="1:11">
      <c r="A496" s="8">
        <f t="shared" si="7"/>
        <v>494</v>
      </c>
      <c r="B496" s="8" t="s">
        <v>1411</v>
      </c>
      <c r="C496" s="8" t="s">
        <v>773</v>
      </c>
      <c r="D496" s="16" t="s">
        <v>1412</v>
      </c>
      <c r="E496" s="53" t="s">
        <v>1413</v>
      </c>
      <c r="F496" s="46" t="s">
        <v>1414</v>
      </c>
      <c r="G496" s="70">
        <v>46233</v>
      </c>
      <c r="H496" s="73">
        <v>0.52300000000000002</v>
      </c>
      <c r="I496" s="12"/>
      <c r="J496" s="16" t="s">
        <v>838</v>
      </c>
      <c r="K496" s="16" t="s">
        <v>736</v>
      </c>
    </row>
    <row r="497" spans="1:11" ht="24">
      <c r="A497" s="8">
        <f t="shared" si="7"/>
        <v>495</v>
      </c>
      <c r="B497" s="8" t="s">
        <v>1411</v>
      </c>
      <c r="C497" s="8" t="s">
        <v>773</v>
      </c>
      <c r="D497" s="16" t="s">
        <v>1415</v>
      </c>
      <c r="E497" s="53" t="s">
        <v>1416</v>
      </c>
      <c r="F497" s="12" t="s">
        <v>1417</v>
      </c>
      <c r="G497" s="70">
        <v>46233</v>
      </c>
      <c r="H497" s="69">
        <v>0</v>
      </c>
      <c r="I497" s="48" t="s">
        <v>1418</v>
      </c>
      <c r="J497" s="16" t="s">
        <v>838</v>
      </c>
      <c r="K497" s="16" t="s">
        <v>736</v>
      </c>
    </row>
    <row r="498" spans="1:11">
      <c r="A498" s="8">
        <f t="shared" si="7"/>
        <v>496</v>
      </c>
      <c r="B498" s="8" t="s">
        <v>1411</v>
      </c>
      <c r="C498" s="8" t="s">
        <v>773</v>
      </c>
      <c r="D498" s="16" t="s">
        <v>1419</v>
      </c>
      <c r="E498" s="53" t="s">
        <v>1420</v>
      </c>
      <c r="F498" s="8" t="s">
        <v>1421</v>
      </c>
      <c r="G498" s="70">
        <v>46173</v>
      </c>
      <c r="H498" s="73">
        <v>1</v>
      </c>
      <c r="I498" s="46" t="s">
        <v>1422</v>
      </c>
      <c r="J498" s="16" t="s">
        <v>838</v>
      </c>
      <c r="K498" s="16" t="s">
        <v>736</v>
      </c>
    </row>
    <row r="499" spans="1:11" ht="24">
      <c r="A499" s="8">
        <f t="shared" si="7"/>
        <v>497</v>
      </c>
      <c r="B499" s="8" t="s">
        <v>1411</v>
      </c>
      <c r="C499" s="8" t="s">
        <v>773</v>
      </c>
      <c r="D499" s="16" t="s">
        <v>1423</v>
      </c>
      <c r="E499" s="53" t="s">
        <v>1424</v>
      </c>
      <c r="F499" s="12" t="s">
        <v>1425</v>
      </c>
      <c r="G499" s="54" t="s">
        <v>722</v>
      </c>
      <c r="H499" s="67" t="s">
        <v>423</v>
      </c>
      <c r="I499" s="8" t="s">
        <v>424</v>
      </c>
      <c r="J499" s="16" t="s">
        <v>838</v>
      </c>
      <c r="K499" s="16" t="s">
        <v>736</v>
      </c>
    </row>
    <row r="500" spans="1:11" ht="24">
      <c r="A500" s="8">
        <f t="shared" si="7"/>
        <v>498</v>
      </c>
      <c r="B500" s="8" t="s">
        <v>1411</v>
      </c>
      <c r="C500" s="8" t="s">
        <v>773</v>
      </c>
      <c r="D500" s="16" t="s">
        <v>1426</v>
      </c>
      <c r="E500" s="53" t="s">
        <v>1427</v>
      </c>
      <c r="F500" s="12" t="s">
        <v>1428</v>
      </c>
      <c r="G500" s="54" t="s">
        <v>722</v>
      </c>
      <c r="H500" s="67" t="s">
        <v>423</v>
      </c>
      <c r="I500" s="8" t="s">
        <v>424</v>
      </c>
      <c r="J500" s="16" t="s">
        <v>838</v>
      </c>
      <c r="K500" s="16" t="s">
        <v>736</v>
      </c>
    </row>
    <row r="501" spans="1:11" ht="60">
      <c r="A501" s="8">
        <f t="shared" si="7"/>
        <v>499</v>
      </c>
      <c r="B501" s="8" t="s">
        <v>1411</v>
      </c>
      <c r="C501" s="8" t="s">
        <v>773</v>
      </c>
      <c r="D501" s="16" t="s">
        <v>1429</v>
      </c>
      <c r="E501" s="53" t="s">
        <v>3543</v>
      </c>
      <c r="F501" s="33" t="s">
        <v>1430</v>
      </c>
      <c r="G501" s="54">
        <v>46325</v>
      </c>
      <c r="H501" s="69">
        <v>0.219</v>
      </c>
      <c r="I501" s="8"/>
      <c r="J501" s="16" t="s">
        <v>838</v>
      </c>
      <c r="K501" s="16" t="s">
        <v>736</v>
      </c>
    </row>
    <row r="502" spans="1:11">
      <c r="A502" s="8">
        <f t="shared" si="7"/>
        <v>500</v>
      </c>
      <c r="B502" s="8" t="s">
        <v>1411</v>
      </c>
      <c r="C502" s="8" t="s">
        <v>773</v>
      </c>
      <c r="D502" s="16" t="s">
        <v>1431</v>
      </c>
      <c r="E502" s="53" t="s">
        <v>785</v>
      </c>
      <c r="F502" s="8" t="s">
        <v>1432</v>
      </c>
      <c r="G502" s="70">
        <v>46345</v>
      </c>
      <c r="H502" s="55">
        <v>0.20799999999999999</v>
      </c>
      <c r="I502" s="8"/>
      <c r="J502" s="16" t="s">
        <v>1433</v>
      </c>
      <c r="K502" s="16" t="s">
        <v>1434</v>
      </c>
    </row>
    <row r="503" spans="1:11">
      <c r="A503" s="8">
        <f t="shared" si="7"/>
        <v>501</v>
      </c>
      <c r="B503" s="8" t="s">
        <v>1411</v>
      </c>
      <c r="C503" s="8" t="s">
        <v>773</v>
      </c>
      <c r="D503" s="16" t="s">
        <v>1435</v>
      </c>
      <c r="E503" s="53" t="s">
        <v>1436</v>
      </c>
      <c r="F503" s="8" t="s">
        <v>1437</v>
      </c>
      <c r="G503" s="54">
        <v>46216</v>
      </c>
      <c r="H503" s="55">
        <v>0.316</v>
      </c>
      <c r="I503" s="8" t="s">
        <v>1438</v>
      </c>
      <c r="J503" s="16" t="s">
        <v>1433</v>
      </c>
      <c r="K503" s="16" t="s">
        <v>1434</v>
      </c>
    </row>
    <row r="504" spans="1:11">
      <c r="A504" s="8">
        <f t="shared" si="7"/>
        <v>502</v>
      </c>
      <c r="B504" s="8" t="s">
        <v>1411</v>
      </c>
      <c r="C504" s="8" t="s">
        <v>773</v>
      </c>
      <c r="D504" s="16" t="s">
        <v>1439</v>
      </c>
      <c r="E504" s="53" t="s">
        <v>1440</v>
      </c>
      <c r="F504" s="8" t="s">
        <v>1441</v>
      </c>
      <c r="G504" s="54">
        <v>46208</v>
      </c>
      <c r="H504" s="55">
        <v>0.2</v>
      </c>
      <c r="I504" s="8"/>
      <c r="J504" s="16" t="s">
        <v>1433</v>
      </c>
      <c r="K504" s="16" t="s">
        <v>1434</v>
      </c>
    </row>
    <row r="505" spans="1:11">
      <c r="A505" s="8">
        <f t="shared" si="7"/>
        <v>503</v>
      </c>
      <c r="B505" s="8" t="s">
        <v>1411</v>
      </c>
      <c r="C505" s="8" t="s">
        <v>773</v>
      </c>
      <c r="D505" s="16" t="s">
        <v>1442</v>
      </c>
      <c r="E505" s="53" t="s">
        <v>1443</v>
      </c>
      <c r="F505" s="8" t="s">
        <v>1444</v>
      </c>
      <c r="G505" s="70">
        <v>46327</v>
      </c>
      <c r="H505" s="55">
        <v>0.39700000000000002</v>
      </c>
      <c r="I505" s="8" t="s">
        <v>1445</v>
      </c>
      <c r="J505" s="16" t="s">
        <v>1433</v>
      </c>
      <c r="K505" s="16" t="s">
        <v>1434</v>
      </c>
    </row>
    <row r="506" spans="1:11">
      <c r="A506" s="8">
        <f t="shared" si="7"/>
        <v>504</v>
      </c>
      <c r="B506" s="8" t="s">
        <v>1411</v>
      </c>
      <c r="C506" s="8" t="s">
        <v>773</v>
      </c>
      <c r="D506" s="16" t="s">
        <v>1446</v>
      </c>
      <c r="E506" s="53" t="s">
        <v>1447</v>
      </c>
      <c r="F506" s="8" t="s">
        <v>1448</v>
      </c>
      <c r="G506" s="70">
        <v>46327</v>
      </c>
      <c r="H506" s="55">
        <v>0.53500000000000003</v>
      </c>
      <c r="I506" s="8" t="s">
        <v>1449</v>
      </c>
      <c r="J506" s="16" t="s">
        <v>1433</v>
      </c>
      <c r="K506" s="16" t="s">
        <v>1434</v>
      </c>
    </row>
    <row r="507" spans="1:11">
      <c r="A507" s="8">
        <f t="shared" si="7"/>
        <v>505</v>
      </c>
      <c r="B507" s="8" t="s">
        <v>1411</v>
      </c>
      <c r="C507" s="8" t="s">
        <v>773</v>
      </c>
      <c r="D507" s="16" t="s">
        <v>1450</v>
      </c>
      <c r="E507" s="53" t="s">
        <v>802</v>
      </c>
      <c r="F507" s="8" t="s">
        <v>1451</v>
      </c>
      <c r="G507" s="70">
        <v>46204</v>
      </c>
      <c r="H507" s="55">
        <v>0.85299999999999998</v>
      </c>
      <c r="I507" s="8"/>
      <c r="J507" s="16" t="s">
        <v>1433</v>
      </c>
      <c r="K507" s="16" t="s">
        <v>1434</v>
      </c>
    </row>
    <row r="508" spans="1:11">
      <c r="A508" s="8">
        <f t="shared" si="7"/>
        <v>506</v>
      </c>
      <c r="B508" s="8" t="s">
        <v>1411</v>
      </c>
      <c r="C508" s="8" t="s">
        <v>773</v>
      </c>
      <c r="D508" s="16" t="s">
        <v>1452</v>
      </c>
      <c r="E508" s="53" t="s">
        <v>1453</v>
      </c>
      <c r="F508" s="8" t="s">
        <v>1454</v>
      </c>
      <c r="G508" s="54">
        <v>46173</v>
      </c>
      <c r="H508" s="69">
        <v>1</v>
      </c>
      <c r="I508" s="46" t="s">
        <v>1455</v>
      </c>
      <c r="J508" s="16" t="s">
        <v>838</v>
      </c>
      <c r="K508" s="16" t="s">
        <v>1456</v>
      </c>
    </row>
    <row r="509" spans="1:11">
      <c r="A509" s="8">
        <f t="shared" si="7"/>
        <v>507</v>
      </c>
      <c r="B509" s="8" t="s">
        <v>1411</v>
      </c>
      <c r="C509" s="8" t="s">
        <v>773</v>
      </c>
      <c r="D509" s="16" t="s">
        <v>1457</v>
      </c>
      <c r="E509" s="53" t="s">
        <v>1458</v>
      </c>
      <c r="F509" s="8" t="s">
        <v>1459</v>
      </c>
      <c r="G509" s="70">
        <v>46204</v>
      </c>
      <c r="H509" s="67">
        <v>0.93100000000000005</v>
      </c>
      <c r="I509" s="8"/>
      <c r="J509" s="16" t="s">
        <v>838</v>
      </c>
      <c r="K509" s="16" t="s">
        <v>736</v>
      </c>
    </row>
    <row r="510" spans="1:11">
      <c r="A510" s="8">
        <f t="shared" si="7"/>
        <v>508</v>
      </c>
      <c r="B510" s="8" t="s">
        <v>1411</v>
      </c>
      <c r="C510" s="8" t="s">
        <v>773</v>
      </c>
      <c r="D510" s="16" t="s">
        <v>1460</v>
      </c>
      <c r="E510" s="53" t="s">
        <v>1461</v>
      </c>
      <c r="F510" s="8" t="s">
        <v>1462</v>
      </c>
      <c r="G510" s="70">
        <v>46233</v>
      </c>
      <c r="H510" s="67">
        <v>0</v>
      </c>
      <c r="I510" s="8"/>
      <c r="J510" s="16" t="s">
        <v>838</v>
      </c>
      <c r="K510" s="16" t="s">
        <v>736</v>
      </c>
    </row>
    <row r="511" spans="1:11">
      <c r="A511" s="8">
        <f t="shared" si="7"/>
        <v>509</v>
      </c>
      <c r="B511" s="8" t="s">
        <v>1411</v>
      </c>
      <c r="C511" s="8" t="s">
        <v>773</v>
      </c>
      <c r="D511" s="16" t="s">
        <v>1463</v>
      </c>
      <c r="E511" s="53" t="s">
        <v>807</v>
      </c>
      <c r="F511" s="8" t="s">
        <v>530</v>
      </c>
      <c r="G511" s="54">
        <v>46173</v>
      </c>
      <c r="H511" s="69">
        <v>1</v>
      </c>
      <c r="I511" s="46" t="s">
        <v>1455</v>
      </c>
      <c r="J511" s="16" t="s">
        <v>838</v>
      </c>
      <c r="K511" s="16" t="s">
        <v>736</v>
      </c>
    </row>
    <row r="512" spans="1:11">
      <c r="A512" s="8">
        <f t="shared" si="7"/>
        <v>510</v>
      </c>
      <c r="B512" s="8" t="s">
        <v>1411</v>
      </c>
      <c r="C512" s="8" t="s">
        <v>773</v>
      </c>
      <c r="D512" s="16" t="s">
        <v>1464</v>
      </c>
      <c r="E512" s="53" t="s">
        <v>1465</v>
      </c>
      <c r="F512" s="8" t="s">
        <v>661</v>
      </c>
      <c r="G512" s="70">
        <v>46203</v>
      </c>
      <c r="H512" s="73">
        <v>1</v>
      </c>
      <c r="I512" s="46" t="s">
        <v>1466</v>
      </c>
      <c r="J512" s="16" t="s">
        <v>838</v>
      </c>
      <c r="K512" s="16" t="s">
        <v>736</v>
      </c>
    </row>
    <row r="513" spans="1:11">
      <c r="A513" s="8">
        <f t="shared" si="7"/>
        <v>511</v>
      </c>
      <c r="B513" s="8" t="s">
        <v>1411</v>
      </c>
      <c r="C513" s="8" t="s">
        <v>773</v>
      </c>
      <c r="D513" s="16" t="s">
        <v>1467</v>
      </c>
      <c r="E513" s="53" t="s">
        <v>1468</v>
      </c>
      <c r="F513" s="8" t="s">
        <v>1469</v>
      </c>
      <c r="G513" s="70">
        <v>46203</v>
      </c>
      <c r="H513" s="55">
        <v>1</v>
      </c>
      <c r="I513" s="46" t="s">
        <v>1466</v>
      </c>
      <c r="J513" s="16" t="s">
        <v>838</v>
      </c>
      <c r="K513" s="16" t="s">
        <v>736</v>
      </c>
    </row>
    <row r="514" spans="1:11">
      <c r="A514" s="8">
        <f t="shared" si="7"/>
        <v>512</v>
      </c>
      <c r="B514" s="8" t="s">
        <v>1411</v>
      </c>
      <c r="C514" s="8" t="s">
        <v>773</v>
      </c>
      <c r="D514" s="16" t="s">
        <v>1470</v>
      </c>
      <c r="E514" s="53" t="s">
        <v>832</v>
      </c>
      <c r="F514" s="8" t="s">
        <v>1471</v>
      </c>
      <c r="G514" s="54" t="s">
        <v>722</v>
      </c>
      <c r="H514" s="67" t="s">
        <v>423</v>
      </c>
      <c r="I514" s="8" t="s">
        <v>424</v>
      </c>
      <c r="J514" s="16" t="s">
        <v>838</v>
      </c>
      <c r="K514" s="16" t="s">
        <v>1472</v>
      </c>
    </row>
    <row r="515" spans="1:11" ht="24">
      <c r="A515" s="8">
        <f t="shared" si="7"/>
        <v>513</v>
      </c>
      <c r="B515" s="8" t="s">
        <v>1411</v>
      </c>
      <c r="C515" s="8" t="s">
        <v>773</v>
      </c>
      <c r="D515" s="16" t="s">
        <v>1473</v>
      </c>
      <c r="E515" s="53" t="s">
        <v>1474</v>
      </c>
      <c r="F515" s="12" t="s">
        <v>1475</v>
      </c>
      <c r="G515" s="54">
        <v>46233</v>
      </c>
      <c r="H515" s="67">
        <v>0.94099999999999995</v>
      </c>
      <c r="I515" s="32" t="s">
        <v>3544</v>
      </c>
      <c r="J515" s="16" t="s">
        <v>838</v>
      </c>
      <c r="K515" s="16" t="s">
        <v>736</v>
      </c>
    </row>
    <row r="516" spans="1:11">
      <c r="A516" s="8">
        <f t="shared" si="7"/>
        <v>514</v>
      </c>
      <c r="B516" s="8" t="s">
        <v>1411</v>
      </c>
      <c r="C516" s="8" t="s">
        <v>773</v>
      </c>
      <c r="D516" s="16" t="s">
        <v>1476</v>
      </c>
      <c r="E516" s="53" t="s">
        <v>1176</v>
      </c>
      <c r="F516" s="8" t="s">
        <v>658</v>
      </c>
      <c r="G516" s="54">
        <v>46173</v>
      </c>
      <c r="H516" s="69">
        <v>1</v>
      </c>
      <c r="I516" s="46" t="s">
        <v>3545</v>
      </c>
      <c r="J516" s="16" t="s">
        <v>838</v>
      </c>
      <c r="K516" s="16" t="s">
        <v>736</v>
      </c>
    </row>
    <row r="517" spans="1:11">
      <c r="A517" s="8">
        <f t="shared" si="7"/>
        <v>515</v>
      </c>
      <c r="B517" s="8" t="s">
        <v>1411</v>
      </c>
      <c r="C517" s="8" t="s">
        <v>773</v>
      </c>
      <c r="D517" s="16" t="s">
        <v>1477</v>
      </c>
      <c r="E517" s="53" t="s">
        <v>1170</v>
      </c>
      <c r="F517" s="8" t="s">
        <v>1478</v>
      </c>
      <c r="G517" s="54">
        <v>46264</v>
      </c>
      <c r="H517" s="55">
        <v>0.41749999999999998</v>
      </c>
      <c r="I517" s="8"/>
      <c r="J517" s="16" t="s">
        <v>838</v>
      </c>
      <c r="K517" s="16" t="s">
        <v>1472</v>
      </c>
    </row>
    <row r="518" spans="1:11">
      <c r="A518" s="8">
        <f t="shared" si="7"/>
        <v>516</v>
      </c>
      <c r="B518" s="8" t="s">
        <v>1411</v>
      </c>
      <c r="C518" s="8" t="s">
        <v>773</v>
      </c>
      <c r="D518" s="16" t="s">
        <v>1479</v>
      </c>
      <c r="E518" s="53" t="s">
        <v>1480</v>
      </c>
      <c r="F518" s="8" t="s">
        <v>1481</v>
      </c>
      <c r="G518" s="54">
        <v>46264</v>
      </c>
      <c r="H518" s="55">
        <v>0.66</v>
      </c>
      <c r="I518" s="8"/>
      <c r="J518" s="16" t="s">
        <v>838</v>
      </c>
      <c r="K518" s="16" t="s">
        <v>1472</v>
      </c>
    </row>
    <row r="519" spans="1:11">
      <c r="A519" s="62">
        <f t="shared" si="7"/>
        <v>517</v>
      </c>
      <c r="B519" s="62" t="s">
        <v>1411</v>
      </c>
      <c r="C519" s="62" t="s">
        <v>773</v>
      </c>
      <c r="D519" s="63" t="s">
        <v>1482</v>
      </c>
      <c r="E519" s="92" t="s">
        <v>1483</v>
      </c>
      <c r="F519" s="62" t="s">
        <v>1484</v>
      </c>
      <c r="G519" s="65" t="s">
        <v>394</v>
      </c>
      <c r="H519" s="95">
        <v>1</v>
      </c>
      <c r="I519" s="62"/>
      <c r="J519" s="63" t="s">
        <v>887</v>
      </c>
      <c r="K519" s="63" t="s">
        <v>731</v>
      </c>
    </row>
    <row r="520" spans="1:11">
      <c r="A520" s="8">
        <f t="shared" si="7"/>
        <v>518</v>
      </c>
      <c r="B520" s="8" t="s">
        <v>1411</v>
      </c>
      <c r="C520" s="8" t="s">
        <v>773</v>
      </c>
      <c r="D520" s="16" t="s">
        <v>1485</v>
      </c>
      <c r="E520" s="53" t="s">
        <v>1486</v>
      </c>
      <c r="F520" s="8" t="s">
        <v>1487</v>
      </c>
      <c r="G520" s="54">
        <v>46173</v>
      </c>
      <c r="H520" s="67">
        <v>0</v>
      </c>
      <c r="I520" s="8" t="s">
        <v>1488</v>
      </c>
      <c r="J520" s="16" t="s">
        <v>1433</v>
      </c>
      <c r="K520" s="16" t="s">
        <v>1434</v>
      </c>
    </row>
    <row r="521" spans="1:11" ht="24">
      <c r="A521" s="8">
        <f t="shared" si="7"/>
        <v>519</v>
      </c>
      <c r="B521" s="8" t="s">
        <v>1411</v>
      </c>
      <c r="C521" s="8" t="s">
        <v>773</v>
      </c>
      <c r="D521" s="16" t="s">
        <v>1489</v>
      </c>
      <c r="E521" s="53" t="s">
        <v>836</v>
      </c>
      <c r="F521" s="12" t="s">
        <v>1490</v>
      </c>
      <c r="G521" s="70">
        <v>46327</v>
      </c>
      <c r="H521" s="73">
        <v>0.7</v>
      </c>
      <c r="I521" s="8"/>
      <c r="J521" s="16" t="s">
        <v>838</v>
      </c>
      <c r="K521" s="16" t="s">
        <v>1472</v>
      </c>
    </row>
    <row r="522" spans="1:11">
      <c r="A522" s="8">
        <f t="shared" ref="A522:A585" si="8">ROW()-2</f>
        <v>520</v>
      </c>
      <c r="B522" s="8" t="s">
        <v>1411</v>
      </c>
      <c r="C522" s="8" t="s">
        <v>773</v>
      </c>
      <c r="D522" s="16" t="s">
        <v>1491</v>
      </c>
      <c r="E522" s="53" t="s">
        <v>1492</v>
      </c>
      <c r="F522" s="96" t="s">
        <v>1493</v>
      </c>
      <c r="G522" s="70">
        <v>46233</v>
      </c>
      <c r="H522" s="73">
        <v>0.997</v>
      </c>
      <c r="I522" s="8" t="s">
        <v>1494</v>
      </c>
      <c r="J522" s="16" t="s">
        <v>838</v>
      </c>
      <c r="K522" s="16" t="s">
        <v>1472</v>
      </c>
    </row>
    <row r="523" spans="1:11">
      <c r="A523" s="8">
        <f t="shared" si="8"/>
        <v>521</v>
      </c>
      <c r="B523" s="8" t="s">
        <v>1411</v>
      </c>
      <c r="C523" s="8" t="s">
        <v>773</v>
      </c>
      <c r="D523" s="16" t="s">
        <v>1495</v>
      </c>
      <c r="E523" s="53" t="s">
        <v>842</v>
      </c>
      <c r="F523" s="8" t="s">
        <v>1496</v>
      </c>
      <c r="G523" s="54">
        <v>46172</v>
      </c>
      <c r="H523" s="73">
        <v>1</v>
      </c>
      <c r="I523" s="8"/>
      <c r="J523" s="16" t="s">
        <v>887</v>
      </c>
      <c r="K523" s="16" t="s">
        <v>731</v>
      </c>
    </row>
    <row r="524" spans="1:11">
      <c r="A524" s="8">
        <f t="shared" si="8"/>
        <v>522</v>
      </c>
      <c r="B524" s="8" t="s">
        <v>1411</v>
      </c>
      <c r="C524" s="8" t="s">
        <v>773</v>
      </c>
      <c r="D524" s="16" t="s">
        <v>1497</v>
      </c>
      <c r="E524" s="53" t="s">
        <v>845</v>
      </c>
      <c r="F524" s="8" t="s">
        <v>1498</v>
      </c>
      <c r="G524" s="54" t="s">
        <v>722</v>
      </c>
      <c r="H524" s="69" t="s">
        <v>423</v>
      </c>
      <c r="I524" s="8" t="s">
        <v>424</v>
      </c>
      <c r="J524" s="16" t="s">
        <v>838</v>
      </c>
      <c r="K524" s="16" t="s">
        <v>1472</v>
      </c>
    </row>
    <row r="525" spans="1:11">
      <c r="A525" s="8">
        <f t="shared" si="8"/>
        <v>523</v>
      </c>
      <c r="B525" s="8" t="s">
        <v>1411</v>
      </c>
      <c r="C525" s="8" t="s">
        <v>773</v>
      </c>
      <c r="D525" s="16" t="s">
        <v>1499</v>
      </c>
      <c r="E525" s="53" t="s">
        <v>1500</v>
      </c>
      <c r="F525" s="8" t="s">
        <v>1501</v>
      </c>
      <c r="G525" s="70">
        <v>46233</v>
      </c>
      <c r="H525" s="69">
        <v>0.34200000000000003</v>
      </c>
      <c r="I525" s="8"/>
      <c r="J525" s="16" t="s">
        <v>838</v>
      </c>
      <c r="K525" s="16" t="s">
        <v>1472</v>
      </c>
    </row>
    <row r="526" spans="1:11" ht="24">
      <c r="A526" s="8">
        <f t="shared" si="8"/>
        <v>524</v>
      </c>
      <c r="B526" s="8" t="s">
        <v>1411</v>
      </c>
      <c r="C526" s="8" t="s">
        <v>773</v>
      </c>
      <c r="D526" s="16" t="s">
        <v>1502</v>
      </c>
      <c r="E526" s="53" t="s">
        <v>1195</v>
      </c>
      <c r="F526" s="12" t="s">
        <v>1503</v>
      </c>
      <c r="G526" s="54" t="s">
        <v>722</v>
      </c>
      <c r="H526" s="69" t="s">
        <v>423</v>
      </c>
      <c r="I526" s="8" t="s">
        <v>424</v>
      </c>
      <c r="J526" s="16" t="s">
        <v>838</v>
      </c>
      <c r="K526" s="16" t="s">
        <v>1472</v>
      </c>
    </row>
    <row r="527" spans="1:11">
      <c r="A527" s="8">
        <f t="shared" si="8"/>
        <v>525</v>
      </c>
      <c r="B527" s="8" t="s">
        <v>1411</v>
      </c>
      <c r="C527" s="8" t="s">
        <v>773</v>
      </c>
      <c r="D527" s="16" t="s">
        <v>1504</v>
      </c>
      <c r="E527" s="53" t="s">
        <v>859</v>
      </c>
      <c r="F527" s="46" t="s">
        <v>1505</v>
      </c>
      <c r="G527" s="54">
        <v>46172</v>
      </c>
      <c r="H527" s="69">
        <v>0.9</v>
      </c>
      <c r="I527" s="8"/>
      <c r="J527" s="16" t="s">
        <v>887</v>
      </c>
      <c r="K527" s="16" t="s">
        <v>731</v>
      </c>
    </row>
    <row r="528" spans="1:11">
      <c r="A528" s="8">
        <f t="shared" si="8"/>
        <v>526</v>
      </c>
      <c r="B528" s="8" t="s">
        <v>1411</v>
      </c>
      <c r="C528" s="8" t="s">
        <v>773</v>
      </c>
      <c r="D528" s="16" t="s">
        <v>1506</v>
      </c>
      <c r="E528" s="53" t="s">
        <v>1507</v>
      </c>
      <c r="F528" s="8" t="s">
        <v>1508</v>
      </c>
      <c r="G528" s="54" t="s">
        <v>722</v>
      </c>
      <c r="H528" s="69" t="s">
        <v>423</v>
      </c>
      <c r="I528" s="8" t="s">
        <v>424</v>
      </c>
      <c r="J528" s="16" t="s">
        <v>838</v>
      </c>
      <c r="K528" s="16" t="s">
        <v>1472</v>
      </c>
    </row>
    <row r="529" spans="1:11" ht="24">
      <c r="A529" s="8">
        <f t="shared" si="8"/>
        <v>527</v>
      </c>
      <c r="B529" s="8" t="s">
        <v>1411</v>
      </c>
      <c r="C529" s="8" t="s">
        <v>770</v>
      </c>
      <c r="D529" s="16" t="s">
        <v>1509</v>
      </c>
      <c r="E529" s="53" t="s">
        <v>3546</v>
      </c>
      <c r="F529" s="12" t="s">
        <v>1510</v>
      </c>
      <c r="G529" s="54" t="s">
        <v>722</v>
      </c>
      <c r="H529" s="67" t="s">
        <v>423</v>
      </c>
      <c r="I529" s="8" t="s">
        <v>424</v>
      </c>
      <c r="J529" s="16" t="s">
        <v>838</v>
      </c>
      <c r="K529" s="16" t="s">
        <v>1472</v>
      </c>
    </row>
    <row r="530" spans="1:11" ht="24">
      <c r="A530" s="8">
        <f t="shared" si="8"/>
        <v>528</v>
      </c>
      <c r="B530" s="8" t="s">
        <v>1411</v>
      </c>
      <c r="C530" s="8" t="s">
        <v>770</v>
      </c>
      <c r="D530" s="16" t="s">
        <v>1511</v>
      </c>
      <c r="E530" s="53" t="s">
        <v>3547</v>
      </c>
      <c r="F530" s="12" t="s">
        <v>1512</v>
      </c>
      <c r="G530" s="54" t="s">
        <v>722</v>
      </c>
      <c r="H530" s="67" t="s">
        <v>423</v>
      </c>
      <c r="I530" s="8" t="s">
        <v>424</v>
      </c>
      <c r="J530" s="16" t="s">
        <v>838</v>
      </c>
      <c r="K530" s="16" t="s">
        <v>1472</v>
      </c>
    </row>
    <row r="531" spans="1:11" ht="24">
      <c r="A531" s="8">
        <f t="shared" si="8"/>
        <v>529</v>
      </c>
      <c r="B531" s="8" t="s">
        <v>1411</v>
      </c>
      <c r="C531" s="8" t="s">
        <v>770</v>
      </c>
      <c r="D531" s="16" t="s">
        <v>1513</v>
      </c>
      <c r="E531" s="53" t="s">
        <v>3548</v>
      </c>
      <c r="F531" s="12" t="s">
        <v>1514</v>
      </c>
      <c r="G531" s="54" t="s">
        <v>722</v>
      </c>
      <c r="H531" s="67" t="s">
        <v>423</v>
      </c>
      <c r="I531" s="8" t="s">
        <v>424</v>
      </c>
      <c r="J531" s="16" t="s">
        <v>838</v>
      </c>
      <c r="K531" s="16" t="s">
        <v>1472</v>
      </c>
    </row>
    <row r="532" spans="1:11">
      <c r="A532" s="8">
        <f t="shared" si="8"/>
        <v>530</v>
      </c>
      <c r="B532" s="8" t="s">
        <v>1411</v>
      </c>
      <c r="C532" s="8" t="s">
        <v>546</v>
      </c>
      <c r="D532" s="16" t="s">
        <v>1515</v>
      </c>
      <c r="E532" s="53" t="s">
        <v>1516</v>
      </c>
      <c r="F532" s="97" t="s">
        <v>1517</v>
      </c>
      <c r="G532" s="54">
        <v>46235</v>
      </c>
      <c r="H532" s="67">
        <v>0.999</v>
      </c>
      <c r="I532" s="8" t="s">
        <v>3549</v>
      </c>
      <c r="J532" s="16" t="s">
        <v>1518</v>
      </c>
      <c r="K532" s="16" t="s">
        <v>1433</v>
      </c>
    </row>
    <row r="533" spans="1:11">
      <c r="A533" s="8">
        <f t="shared" si="8"/>
        <v>531</v>
      </c>
      <c r="B533" s="8" t="s">
        <v>1411</v>
      </c>
      <c r="C533" s="8" t="s">
        <v>546</v>
      </c>
      <c r="D533" s="16" t="s">
        <v>1519</v>
      </c>
      <c r="E533" s="53" t="s">
        <v>1520</v>
      </c>
      <c r="F533" s="8" t="s">
        <v>1521</v>
      </c>
      <c r="G533" s="70">
        <v>46235</v>
      </c>
      <c r="H533" s="55">
        <v>0.99299999999999999</v>
      </c>
      <c r="I533" s="8" t="s">
        <v>3550</v>
      </c>
      <c r="J533" s="16" t="s">
        <v>1434</v>
      </c>
      <c r="K533" s="16" t="s">
        <v>1518</v>
      </c>
    </row>
    <row r="534" spans="1:11">
      <c r="A534" s="8">
        <f t="shared" si="8"/>
        <v>532</v>
      </c>
      <c r="B534" s="8" t="s">
        <v>1411</v>
      </c>
      <c r="C534" s="8" t="s">
        <v>546</v>
      </c>
      <c r="D534" s="16" t="s">
        <v>1522</v>
      </c>
      <c r="E534" s="53" t="s">
        <v>1523</v>
      </c>
      <c r="F534" s="46" t="s">
        <v>3551</v>
      </c>
      <c r="G534" s="54">
        <v>46204</v>
      </c>
      <c r="H534" s="67">
        <v>0.999</v>
      </c>
      <c r="I534" s="8" t="s">
        <v>580</v>
      </c>
      <c r="J534" s="16" t="s">
        <v>1518</v>
      </c>
      <c r="K534" s="16" t="s">
        <v>1433</v>
      </c>
    </row>
    <row r="535" spans="1:11">
      <c r="A535" s="8">
        <f t="shared" si="8"/>
        <v>533</v>
      </c>
      <c r="B535" s="8" t="s">
        <v>1411</v>
      </c>
      <c r="C535" s="8" t="s">
        <v>546</v>
      </c>
      <c r="D535" s="16" t="s">
        <v>1524</v>
      </c>
      <c r="E535" s="53" t="s">
        <v>1273</v>
      </c>
      <c r="F535" s="46" t="s">
        <v>3552</v>
      </c>
      <c r="G535" s="54">
        <v>46235</v>
      </c>
      <c r="H535" s="55">
        <v>0.91500000000000004</v>
      </c>
      <c r="I535" s="8" t="s">
        <v>3553</v>
      </c>
      <c r="J535" s="16" t="s">
        <v>1518</v>
      </c>
      <c r="K535" s="16" t="s">
        <v>1433</v>
      </c>
    </row>
    <row r="536" spans="1:11">
      <c r="A536" s="8">
        <f t="shared" si="8"/>
        <v>534</v>
      </c>
      <c r="B536" s="8" t="s">
        <v>1411</v>
      </c>
      <c r="C536" s="8" t="s">
        <v>546</v>
      </c>
      <c r="D536" s="16" t="s">
        <v>1525</v>
      </c>
      <c r="E536" s="53" t="s">
        <v>644</v>
      </c>
      <c r="F536" s="8" t="s">
        <v>1526</v>
      </c>
      <c r="G536" s="54">
        <v>46508</v>
      </c>
      <c r="H536" s="67">
        <v>0.3</v>
      </c>
      <c r="I536" s="8" t="s">
        <v>1275</v>
      </c>
      <c r="J536" s="16" t="s">
        <v>1434</v>
      </c>
      <c r="K536" s="16" t="s">
        <v>1527</v>
      </c>
    </row>
    <row r="537" spans="1:11">
      <c r="A537" s="8">
        <f t="shared" si="8"/>
        <v>535</v>
      </c>
      <c r="B537" s="8" t="s">
        <v>1411</v>
      </c>
      <c r="C537" s="8" t="s">
        <v>546</v>
      </c>
      <c r="D537" s="16" t="s">
        <v>1528</v>
      </c>
      <c r="E537" s="53" t="s">
        <v>548</v>
      </c>
      <c r="F537" s="46" t="s">
        <v>3554</v>
      </c>
      <c r="G537" s="54">
        <v>46235</v>
      </c>
      <c r="H537" s="67">
        <v>0.996</v>
      </c>
      <c r="I537" s="8"/>
      <c r="J537" s="16" t="s">
        <v>1434</v>
      </c>
      <c r="K537" s="16" t="s">
        <v>1527</v>
      </c>
    </row>
    <row r="538" spans="1:11">
      <c r="A538" s="8">
        <f t="shared" si="8"/>
        <v>536</v>
      </c>
      <c r="B538" s="8" t="s">
        <v>1411</v>
      </c>
      <c r="C538" s="8" t="s">
        <v>546</v>
      </c>
      <c r="D538" s="16" t="s">
        <v>1529</v>
      </c>
      <c r="E538" s="53" t="s">
        <v>575</v>
      </c>
      <c r="F538" s="8" t="s">
        <v>1530</v>
      </c>
      <c r="G538" s="70">
        <v>46174</v>
      </c>
      <c r="H538" s="55">
        <v>0.86299999999999999</v>
      </c>
      <c r="I538" s="8"/>
      <c r="J538" s="16" t="s">
        <v>1518</v>
      </c>
      <c r="K538" s="16" t="s">
        <v>1433</v>
      </c>
    </row>
    <row r="539" spans="1:11">
      <c r="A539" s="8">
        <f t="shared" si="8"/>
        <v>537</v>
      </c>
      <c r="B539" s="8" t="s">
        <v>1411</v>
      </c>
      <c r="C539" s="8" t="s">
        <v>546</v>
      </c>
      <c r="D539" s="16" t="s">
        <v>1531</v>
      </c>
      <c r="E539" s="53" t="s">
        <v>578</v>
      </c>
      <c r="F539" s="46" t="s">
        <v>3555</v>
      </c>
      <c r="G539" s="70">
        <v>46143</v>
      </c>
      <c r="H539" s="67">
        <v>0.999</v>
      </c>
      <c r="I539" s="8" t="s">
        <v>3556</v>
      </c>
      <c r="J539" s="16" t="s">
        <v>1434</v>
      </c>
      <c r="K539" s="16" t="s">
        <v>1527</v>
      </c>
    </row>
    <row r="540" spans="1:11">
      <c r="A540" s="8">
        <f t="shared" si="8"/>
        <v>538</v>
      </c>
      <c r="B540" s="8" t="s">
        <v>1411</v>
      </c>
      <c r="C540" s="8" t="s">
        <v>546</v>
      </c>
      <c r="D540" s="16" t="s">
        <v>1532</v>
      </c>
      <c r="E540" s="53" t="s">
        <v>1533</v>
      </c>
      <c r="F540" s="8" t="s">
        <v>3557</v>
      </c>
      <c r="G540" s="54">
        <v>46296</v>
      </c>
      <c r="H540" s="55">
        <v>0.88</v>
      </c>
      <c r="I540" s="8"/>
      <c r="J540" s="16" t="s">
        <v>1434</v>
      </c>
      <c r="K540" s="16" t="s">
        <v>1527</v>
      </c>
    </row>
    <row r="541" spans="1:11">
      <c r="A541" s="8">
        <f t="shared" si="8"/>
        <v>539</v>
      </c>
      <c r="B541" s="8" t="s">
        <v>1411</v>
      </c>
      <c r="C541" s="8" t="s">
        <v>546</v>
      </c>
      <c r="D541" s="16" t="s">
        <v>1534</v>
      </c>
      <c r="E541" s="53" t="s">
        <v>1535</v>
      </c>
      <c r="F541" s="8" t="s">
        <v>1536</v>
      </c>
      <c r="G541" s="54">
        <v>46142</v>
      </c>
      <c r="H541" s="69">
        <v>1</v>
      </c>
      <c r="I541" s="8" t="s">
        <v>1537</v>
      </c>
      <c r="J541" s="16" t="s">
        <v>1518</v>
      </c>
      <c r="K541" s="16" t="s">
        <v>1433</v>
      </c>
    </row>
    <row r="542" spans="1:11">
      <c r="A542" s="8">
        <f t="shared" si="8"/>
        <v>540</v>
      </c>
      <c r="B542" s="8" t="s">
        <v>1411</v>
      </c>
      <c r="C542" s="8" t="s">
        <v>546</v>
      </c>
      <c r="D542" s="16" t="s">
        <v>1538</v>
      </c>
      <c r="E542" s="53" t="s">
        <v>585</v>
      </c>
      <c r="F542" s="8" t="s">
        <v>3558</v>
      </c>
      <c r="G542" s="54">
        <v>46296</v>
      </c>
      <c r="H542" s="55">
        <v>0.99199999999999999</v>
      </c>
      <c r="I542" s="8" t="s">
        <v>1539</v>
      </c>
      <c r="J542" s="16" t="s">
        <v>1518</v>
      </c>
      <c r="K542" s="16" t="s">
        <v>1433</v>
      </c>
    </row>
    <row r="543" spans="1:11">
      <c r="A543" s="8">
        <f t="shared" si="8"/>
        <v>541</v>
      </c>
      <c r="B543" s="8" t="s">
        <v>1411</v>
      </c>
      <c r="C543" s="8" t="s">
        <v>546</v>
      </c>
      <c r="D543" s="16" t="s">
        <v>1540</v>
      </c>
      <c r="E543" s="53" t="s">
        <v>1046</v>
      </c>
      <c r="F543" s="8" t="s">
        <v>3559</v>
      </c>
      <c r="G543" s="54">
        <v>46235</v>
      </c>
      <c r="H543" s="55">
        <v>0.998</v>
      </c>
      <c r="I543" s="8"/>
      <c r="J543" s="16" t="s">
        <v>1434</v>
      </c>
      <c r="K543" s="16" t="s">
        <v>1518</v>
      </c>
    </row>
    <row r="544" spans="1:11">
      <c r="A544" s="8">
        <f t="shared" si="8"/>
        <v>542</v>
      </c>
      <c r="B544" s="8" t="s">
        <v>1411</v>
      </c>
      <c r="C544" s="8" t="s">
        <v>546</v>
      </c>
      <c r="D544" s="16" t="s">
        <v>1541</v>
      </c>
      <c r="E544" s="53" t="s">
        <v>1048</v>
      </c>
      <c r="F544" s="8" t="s">
        <v>1542</v>
      </c>
      <c r="G544" s="54">
        <v>46204</v>
      </c>
      <c r="H544" s="55">
        <v>0.97199999999999998</v>
      </c>
      <c r="I544" s="8"/>
      <c r="J544" s="16" t="s">
        <v>1527</v>
      </c>
      <c r="K544" s="16" t="s">
        <v>1543</v>
      </c>
    </row>
    <row r="545" spans="1:11">
      <c r="A545" s="8">
        <f t="shared" si="8"/>
        <v>543</v>
      </c>
      <c r="B545" s="8" t="s">
        <v>1411</v>
      </c>
      <c r="C545" s="8" t="s">
        <v>546</v>
      </c>
      <c r="D545" s="16" t="s">
        <v>1544</v>
      </c>
      <c r="E545" s="53" t="s">
        <v>1545</v>
      </c>
      <c r="F545" s="97" t="s">
        <v>1546</v>
      </c>
      <c r="G545" s="54" t="s">
        <v>722</v>
      </c>
      <c r="H545" s="69" t="s">
        <v>423</v>
      </c>
      <c r="I545" s="8" t="s">
        <v>424</v>
      </c>
      <c r="J545" s="16" t="s">
        <v>1434</v>
      </c>
      <c r="K545" s="16" t="s">
        <v>1518</v>
      </c>
    </row>
    <row r="546" spans="1:11">
      <c r="A546" s="8">
        <f t="shared" si="8"/>
        <v>544</v>
      </c>
      <c r="B546" s="8" t="s">
        <v>1411</v>
      </c>
      <c r="C546" s="8" t="s">
        <v>546</v>
      </c>
      <c r="D546" s="16" t="s">
        <v>1547</v>
      </c>
      <c r="E546" s="53" t="s">
        <v>1087</v>
      </c>
      <c r="F546" s="8" t="s">
        <v>1548</v>
      </c>
      <c r="G546" s="54" t="s">
        <v>722</v>
      </c>
      <c r="H546" s="67" t="s">
        <v>423</v>
      </c>
      <c r="I546" s="8" t="s">
        <v>424</v>
      </c>
      <c r="J546" s="16" t="s">
        <v>1434</v>
      </c>
      <c r="K546" s="16" t="s">
        <v>1518</v>
      </c>
    </row>
    <row r="547" spans="1:11" ht="52.5">
      <c r="A547" s="8">
        <f t="shared" si="8"/>
        <v>545</v>
      </c>
      <c r="B547" s="8" t="s">
        <v>1411</v>
      </c>
      <c r="C547" s="8" t="s">
        <v>546</v>
      </c>
      <c r="D547" s="16" t="s">
        <v>1549</v>
      </c>
      <c r="E547" s="53" t="s">
        <v>593</v>
      </c>
      <c r="F547" s="8" t="s">
        <v>3560</v>
      </c>
      <c r="G547" s="54">
        <v>46327</v>
      </c>
      <c r="H547" s="55">
        <v>0.8</v>
      </c>
      <c r="I547" s="12" t="s">
        <v>3561</v>
      </c>
      <c r="J547" s="16" t="s">
        <v>1527</v>
      </c>
      <c r="K547" s="16" t="s">
        <v>1543</v>
      </c>
    </row>
    <row r="548" spans="1:11">
      <c r="A548" s="8">
        <f t="shared" si="8"/>
        <v>546</v>
      </c>
      <c r="B548" s="8" t="s">
        <v>1411</v>
      </c>
      <c r="C548" s="8" t="s">
        <v>546</v>
      </c>
      <c r="D548" s="16" t="s">
        <v>1550</v>
      </c>
      <c r="E548" s="53" t="s">
        <v>599</v>
      </c>
      <c r="F548" s="8" t="s">
        <v>1551</v>
      </c>
      <c r="G548" s="54">
        <v>46357</v>
      </c>
      <c r="H548" s="55">
        <v>0.71</v>
      </c>
      <c r="I548" s="8" t="s">
        <v>3562</v>
      </c>
      <c r="J548" s="16" t="s">
        <v>1434</v>
      </c>
      <c r="K548" s="16" t="s">
        <v>1518</v>
      </c>
    </row>
    <row r="549" spans="1:11">
      <c r="A549" s="8">
        <f t="shared" si="8"/>
        <v>547</v>
      </c>
      <c r="B549" s="8" t="s">
        <v>1411</v>
      </c>
      <c r="C549" s="8" t="s">
        <v>546</v>
      </c>
      <c r="D549" s="16" t="s">
        <v>1552</v>
      </c>
      <c r="E549" s="53" t="s">
        <v>608</v>
      </c>
      <c r="F549" s="8" t="s">
        <v>3563</v>
      </c>
      <c r="G549" s="54">
        <v>46357</v>
      </c>
      <c r="H549" s="55">
        <v>0.66500000000000004</v>
      </c>
      <c r="I549" s="8" t="s">
        <v>3564</v>
      </c>
      <c r="J549" s="16" t="s">
        <v>1434</v>
      </c>
      <c r="K549" s="16" t="s">
        <v>1518</v>
      </c>
    </row>
    <row r="550" spans="1:11">
      <c r="A550" s="8">
        <f t="shared" si="8"/>
        <v>548</v>
      </c>
      <c r="B550" s="8" t="s">
        <v>1411</v>
      </c>
      <c r="C550" s="8" t="s">
        <v>546</v>
      </c>
      <c r="D550" s="16" t="s">
        <v>1553</v>
      </c>
      <c r="E550" s="53" t="s">
        <v>605</v>
      </c>
      <c r="F550" s="8" t="s">
        <v>3565</v>
      </c>
      <c r="G550" s="54">
        <v>46296</v>
      </c>
      <c r="H550" s="55">
        <v>0.55700000000000005</v>
      </c>
      <c r="I550" s="8" t="s">
        <v>1554</v>
      </c>
      <c r="J550" s="16" t="s">
        <v>1527</v>
      </c>
      <c r="K550" s="16" t="s">
        <v>1543</v>
      </c>
    </row>
    <row r="551" spans="1:11">
      <c r="A551" s="8">
        <f t="shared" si="8"/>
        <v>549</v>
      </c>
      <c r="B551" s="8" t="s">
        <v>1411</v>
      </c>
      <c r="C551" s="8" t="s">
        <v>546</v>
      </c>
      <c r="D551" s="16" t="s">
        <v>1555</v>
      </c>
      <c r="E551" s="53" t="s">
        <v>611</v>
      </c>
      <c r="F551" s="8" t="s">
        <v>1556</v>
      </c>
      <c r="G551" s="54">
        <v>46266</v>
      </c>
      <c r="H551" s="55">
        <v>0.54</v>
      </c>
      <c r="I551" s="8"/>
      <c r="J551" s="16" t="s">
        <v>1527</v>
      </c>
      <c r="K551" s="16" t="s">
        <v>1543</v>
      </c>
    </row>
    <row r="552" spans="1:11">
      <c r="A552" s="8">
        <f t="shared" si="8"/>
        <v>550</v>
      </c>
      <c r="B552" s="8" t="s">
        <v>1411</v>
      </c>
      <c r="C552" s="8" t="s">
        <v>546</v>
      </c>
      <c r="D552" s="16" t="s">
        <v>1557</v>
      </c>
      <c r="E552" s="53" t="s">
        <v>1055</v>
      </c>
      <c r="F552" s="8" t="s">
        <v>3566</v>
      </c>
      <c r="G552" s="54">
        <v>46266</v>
      </c>
      <c r="H552" s="55">
        <v>0.83</v>
      </c>
      <c r="I552" s="8"/>
      <c r="J552" s="16" t="s">
        <v>1434</v>
      </c>
      <c r="K552" s="16" t="s">
        <v>1518</v>
      </c>
    </row>
    <row r="553" spans="1:11" ht="39">
      <c r="A553" s="8">
        <f t="shared" si="8"/>
        <v>551</v>
      </c>
      <c r="B553" s="8" t="s">
        <v>1411</v>
      </c>
      <c r="C553" s="8" t="s">
        <v>546</v>
      </c>
      <c r="D553" s="16" t="s">
        <v>1558</v>
      </c>
      <c r="E553" s="53" t="s">
        <v>614</v>
      </c>
      <c r="F553" s="8" t="s">
        <v>3567</v>
      </c>
      <c r="G553" s="54">
        <v>46357</v>
      </c>
      <c r="H553" s="55">
        <v>0.55400000000000005</v>
      </c>
      <c r="I553" s="12" t="s">
        <v>3568</v>
      </c>
      <c r="J553" s="16" t="s">
        <v>1434</v>
      </c>
      <c r="K553" s="16" t="s">
        <v>1518</v>
      </c>
    </row>
    <row r="554" spans="1:11">
      <c r="A554" s="8">
        <f t="shared" si="8"/>
        <v>552</v>
      </c>
      <c r="B554" s="8" t="s">
        <v>1411</v>
      </c>
      <c r="C554" s="8" t="s">
        <v>546</v>
      </c>
      <c r="D554" s="16" t="s">
        <v>1559</v>
      </c>
      <c r="E554" s="53" t="s">
        <v>617</v>
      </c>
      <c r="F554" s="8" t="s">
        <v>1560</v>
      </c>
      <c r="G554" s="54">
        <v>46266</v>
      </c>
      <c r="H554" s="55">
        <v>0.64380000000000004</v>
      </c>
      <c r="I554" s="8"/>
      <c r="J554" s="16" t="s">
        <v>1527</v>
      </c>
      <c r="K554" s="16" t="s">
        <v>1543</v>
      </c>
    </row>
    <row r="555" spans="1:11">
      <c r="A555" s="8">
        <f t="shared" si="8"/>
        <v>553</v>
      </c>
      <c r="B555" s="8" t="s">
        <v>1411</v>
      </c>
      <c r="C555" s="8" t="s">
        <v>546</v>
      </c>
      <c r="D555" s="16" t="s">
        <v>1561</v>
      </c>
      <c r="E555" s="53" t="s">
        <v>602</v>
      </c>
      <c r="F555" s="8" t="s">
        <v>1562</v>
      </c>
      <c r="G555" s="54">
        <v>46296</v>
      </c>
      <c r="H555" s="55">
        <v>0.86799999999999999</v>
      </c>
      <c r="I555" s="8" t="s">
        <v>1554</v>
      </c>
      <c r="J555" s="16" t="s">
        <v>1527</v>
      </c>
      <c r="K555" s="16" t="s">
        <v>1543</v>
      </c>
    </row>
    <row r="556" spans="1:11">
      <c r="A556" s="8">
        <f t="shared" si="8"/>
        <v>554</v>
      </c>
      <c r="B556" s="8" t="s">
        <v>1411</v>
      </c>
      <c r="C556" s="8" t="s">
        <v>546</v>
      </c>
      <c r="D556" s="16" t="s">
        <v>1563</v>
      </c>
      <c r="E556" s="53" t="s">
        <v>1284</v>
      </c>
      <c r="F556" s="8" t="s">
        <v>1564</v>
      </c>
      <c r="G556" s="54">
        <v>46172</v>
      </c>
      <c r="H556" s="69">
        <v>1</v>
      </c>
      <c r="I556" s="8" t="s">
        <v>1537</v>
      </c>
      <c r="J556" s="16" t="s">
        <v>1434</v>
      </c>
      <c r="K556" s="16" t="s">
        <v>1518</v>
      </c>
    </row>
    <row r="557" spans="1:11">
      <c r="A557" s="8">
        <f t="shared" si="8"/>
        <v>555</v>
      </c>
      <c r="B557" s="8" t="s">
        <v>1411</v>
      </c>
      <c r="C557" s="8" t="s">
        <v>546</v>
      </c>
      <c r="D557" s="16" t="s">
        <v>1565</v>
      </c>
      <c r="E557" s="53" t="s">
        <v>632</v>
      </c>
      <c r="F557" s="8" t="s">
        <v>1566</v>
      </c>
      <c r="G557" s="54">
        <v>46174</v>
      </c>
      <c r="H557" s="55">
        <v>1</v>
      </c>
      <c r="I557" s="98" t="s">
        <v>1567</v>
      </c>
      <c r="J557" s="16" t="s">
        <v>1434</v>
      </c>
      <c r="K557" s="16" t="s">
        <v>1518</v>
      </c>
    </row>
    <row r="558" spans="1:11">
      <c r="A558" s="8">
        <f t="shared" si="8"/>
        <v>556</v>
      </c>
      <c r="B558" s="8" t="s">
        <v>1411</v>
      </c>
      <c r="C558" s="8" t="s">
        <v>546</v>
      </c>
      <c r="D558" s="16" t="s">
        <v>1568</v>
      </c>
      <c r="E558" s="53" t="s">
        <v>1569</v>
      </c>
      <c r="F558" s="46"/>
      <c r="G558" s="54" t="s">
        <v>722</v>
      </c>
      <c r="H558" s="67" t="s">
        <v>423</v>
      </c>
      <c r="I558" s="8" t="s">
        <v>424</v>
      </c>
      <c r="J558" s="16" t="s">
        <v>1434</v>
      </c>
      <c r="K558" s="16" t="s">
        <v>1518</v>
      </c>
    </row>
    <row r="559" spans="1:11">
      <c r="A559" s="8">
        <f t="shared" si="8"/>
        <v>557</v>
      </c>
      <c r="B559" s="8" t="s">
        <v>1411</v>
      </c>
      <c r="C559" s="8" t="s">
        <v>546</v>
      </c>
      <c r="D559" s="16" t="s">
        <v>1570</v>
      </c>
      <c r="E559" s="53" t="s">
        <v>1571</v>
      </c>
      <c r="F559" s="46"/>
      <c r="G559" s="54" t="s">
        <v>722</v>
      </c>
      <c r="H559" s="67" t="s">
        <v>423</v>
      </c>
      <c r="I559" s="8" t="s">
        <v>424</v>
      </c>
      <c r="J559" s="16" t="s">
        <v>1434</v>
      </c>
      <c r="K559" s="16" t="s">
        <v>1518</v>
      </c>
    </row>
    <row r="560" spans="1:11">
      <c r="A560" s="8">
        <f t="shared" si="8"/>
        <v>558</v>
      </c>
      <c r="B560" s="8" t="s">
        <v>1411</v>
      </c>
      <c r="C560" s="8" t="s">
        <v>546</v>
      </c>
      <c r="D560" s="16" t="s">
        <v>1572</v>
      </c>
      <c r="E560" s="53" t="s">
        <v>1077</v>
      </c>
      <c r="F560" s="46"/>
      <c r="G560" s="54" t="s">
        <v>722</v>
      </c>
      <c r="H560" s="67" t="s">
        <v>423</v>
      </c>
      <c r="I560" s="8" t="s">
        <v>424</v>
      </c>
      <c r="J560" s="16" t="s">
        <v>1434</v>
      </c>
      <c r="K560" s="16" t="s">
        <v>1518</v>
      </c>
    </row>
    <row r="561" spans="1:11">
      <c r="A561" s="8">
        <f t="shared" si="8"/>
        <v>559</v>
      </c>
      <c r="B561" s="8" t="s">
        <v>1411</v>
      </c>
      <c r="C561" s="8" t="s">
        <v>546</v>
      </c>
      <c r="D561" s="16" t="s">
        <v>1573</v>
      </c>
      <c r="E561" s="53" t="s">
        <v>1574</v>
      </c>
      <c r="F561" s="98" t="s">
        <v>1575</v>
      </c>
      <c r="G561" s="54">
        <v>46357</v>
      </c>
      <c r="H561" s="55">
        <v>7.6899999999999996E-2</v>
      </c>
      <c r="I561" s="8"/>
      <c r="J561" s="16" t="s">
        <v>1434</v>
      </c>
      <c r="K561" s="16" t="s">
        <v>1518</v>
      </c>
    </row>
    <row r="562" spans="1:11">
      <c r="A562" s="8">
        <f t="shared" si="8"/>
        <v>560</v>
      </c>
      <c r="B562" s="8" t="s">
        <v>1411</v>
      </c>
      <c r="C562" s="8" t="s">
        <v>546</v>
      </c>
      <c r="D562" s="16" t="s">
        <v>1576</v>
      </c>
      <c r="E562" s="53" t="s">
        <v>1083</v>
      </c>
      <c r="F562" s="46"/>
      <c r="G562" s="54" t="s">
        <v>722</v>
      </c>
      <c r="H562" s="67" t="s">
        <v>423</v>
      </c>
      <c r="I562" s="8" t="s">
        <v>424</v>
      </c>
      <c r="J562" s="16" t="s">
        <v>1527</v>
      </c>
      <c r="K562" s="16" t="s">
        <v>1543</v>
      </c>
    </row>
    <row r="563" spans="1:11">
      <c r="A563" s="8">
        <f t="shared" si="8"/>
        <v>561</v>
      </c>
      <c r="B563" s="8" t="s">
        <v>1411</v>
      </c>
      <c r="C563" s="8" t="s">
        <v>546</v>
      </c>
      <c r="D563" s="16" t="s">
        <v>1577</v>
      </c>
      <c r="E563" s="53" t="s">
        <v>1578</v>
      </c>
      <c r="F563" s="8"/>
      <c r="G563" s="54" t="s">
        <v>722</v>
      </c>
      <c r="H563" s="67" t="s">
        <v>423</v>
      </c>
      <c r="I563" s="8" t="s">
        <v>424</v>
      </c>
      <c r="J563" s="16" t="s">
        <v>1527</v>
      </c>
      <c r="K563" s="16" t="s">
        <v>1543</v>
      </c>
    </row>
    <row r="564" spans="1:11">
      <c r="A564" s="8">
        <f t="shared" si="8"/>
        <v>562</v>
      </c>
      <c r="B564" s="8" t="s">
        <v>1411</v>
      </c>
      <c r="C564" s="8" t="s">
        <v>546</v>
      </c>
      <c r="D564" s="16" t="s">
        <v>1579</v>
      </c>
      <c r="E564" s="53" t="s">
        <v>1580</v>
      </c>
      <c r="F564" s="8"/>
      <c r="G564" s="54" t="s">
        <v>722</v>
      </c>
      <c r="H564" s="69" t="s">
        <v>423</v>
      </c>
      <c r="I564" s="8" t="s">
        <v>424</v>
      </c>
      <c r="J564" s="16" t="s">
        <v>1527</v>
      </c>
      <c r="K564" s="16" t="s">
        <v>1543</v>
      </c>
    </row>
    <row r="565" spans="1:11" ht="204">
      <c r="A565" s="8">
        <f t="shared" si="8"/>
        <v>563</v>
      </c>
      <c r="B565" s="8" t="s">
        <v>1581</v>
      </c>
      <c r="C565" s="8" t="s">
        <v>382</v>
      </c>
      <c r="D565" s="99" t="s">
        <v>1582</v>
      </c>
      <c r="E565" s="53" t="s">
        <v>1583</v>
      </c>
      <c r="F565" s="12" t="s">
        <v>1584</v>
      </c>
      <c r="G565" s="54">
        <v>46203</v>
      </c>
      <c r="H565" s="67">
        <v>0.95</v>
      </c>
      <c r="I565" s="12" t="s">
        <v>1585</v>
      </c>
      <c r="J565" s="100" t="s">
        <v>140</v>
      </c>
      <c r="K565" s="101" t="s">
        <v>1586</v>
      </c>
    </row>
    <row r="566" spans="1:11">
      <c r="A566" s="8">
        <f t="shared" si="8"/>
        <v>564</v>
      </c>
      <c r="B566" s="8" t="s">
        <v>1581</v>
      </c>
      <c r="C566" s="8" t="s">
        <v>382</v>
      </c>
      <c r="D566" s="99" t="s">
        <v>1587</v>
      </c>
      <c r="E566" s="53" t="s">
        <v>3569</v>
      </c>
      <c r="F566" s="8"/>
      <c r="G566" s="70">
        <v>46438</v>
      </c>
      <c r="H566" s="55">
        <v>0.17</v>
      </c>
      <c r="I566" s="8"/>
      <c r="J566" s="16" t="s">
        <v>868</v>
      </c>
      <c r="K566" s="101" t="s">
        <v>1588</v>
      </c>
    </row>
    <row r="567" spans="1:11">
      <c r="A567" s="8">
        <f t="shared" si="8"/>
        <v>565</v>
      </c>
      <c r="B567" s="8" t="s">
        <v>1581</v>
      </c>
      <c r="C567" s="8" t="s">
        <v>382</v>
      </c>
      <c r="D567" s="99" t="s">
        <v>1589</v>
      </c>
      <c r="E567" s="53" t="s">
        <v>1590</v>
      </c>
      <c r="F567" s="8"/>
      <c r="G567" s="70">
        <v>46722</v>
      </c>
      <c r="H567" s="67">
        <v>0</v>
      </c>
      <c r="I567" s="8"/>
      <c r="J567" s="100" t="s">
        <v>1591</v>
      </c>
      <c r="K567" s="101" t="s">
        <v>1586</v>
      </c>
    </row>
    <row r="568" spans="1:11">
      <c r="A568" s="57">
        <f t="shared" si="8"/>
        <v>566</v>
      </c>
      <c r="B568" s="57" t="s">
        <v>1581</v>
      </c>
      <c r="C568" s="57" t="s">
        <v>382</v>
      </c>
      <c r="D568" s="102" t="s">
        <v>1592</v>
      </c>
      <c r="E568" s="91" t="s">
        <v>1593</v>
      </c>
      <c r="F568" s="57"/>
      <c r="G568" s="60" t="s">
        <v>394</v>
      </c>
      <c r="H568" s="61">
        <v>1</v>
      </c>
      <c r="I568" s="57"/>
      <c r="J568" s="103" t="s">
        <v>1591</v>
      </c>
      <c r="K568" s="104" t="s">
        <v>1586</v>
      </c>
    </row>
    <row r="569" spans="1:11">
      <c r="A569" s="57">
        <f t="shared" si="8"/>
        <v>567</v>
      </c>
      <c r="B569" s="57" t="s">
        <v>1581</v>
      </c>
      <c r="C569" s="57" t="s">
        <v>382</v>
      </c>
      <c r="D569" s="102" t="s">
        <v>1594</v>
      </c>
      <c r="E569" s="91" t="s">
        <v>1595</v>
      </c>
      <c r="F569" s="57"/>
      <c r="G569" s="60" t="s">
        <v>394</v>
      </c>
      <c r="H569" s="61">
        <v>1</v>
      </c>
      <c r="I569" s="57" t="s">
        <v>948</v>
      </c>
      <c r="J569" s="103" t="s">
        <v>1591</v>
      </c>
      <c r="K569" s="103"/>
    </row>
    <row r="570" spans="1:11">
      <c r="A570" s="57">
        <f t="shared" si="8"/>
        <v>568</v>
      </c>
      <c r="B570" s="57" t="s">
        <v>1581</v>
      </c>
      <c r="C570" s="57" t="s">
        <v>382</v>
      </c>
      <c r="D570" s="102" t="s">
        <v>1596</v>
      </c>
      <c r="E570" s="91" t="s">
        <v>1597</v>
      </c>
      <c r="F570" s="57"/>
      <c r="G570" s="60" t="s">
        <v>394</v>
      </c>
      <c r="H570" s="61">
        <v>1</v>
      </c>
      <c r="I570" s="57" t="s">
        <v>948</v>
      </c>
      <c r="J570" s="103" t="s">
        <v>1591</v>
      </c>
      <c r="K570" s="103"/>
    </row>
    <row r="571" spans="1:11">
      <c r="A571" s="57">
        <f t="shared" si="8"/>
        <v>569</v>
      </c>
      <c r="B571" s="57" t="s">
        <v>1581</v>
      </c>
      <c r="C571" s="57" t="s">
        <v>463</v>
      </c>
      <c r="D571" s="102" t="s">
        <v>1598</v>
      </c>
      <c r="E571" s="91" t="s">
        <v>1599</v>
      </c>
      <c r="F571" s="57"/>
      <c r="G571" s="60" t="s">
        <v>394</v>
      </c>
      <c r="H571" s="61">
        <v>1</v>
      </c>
      <c r="I571" s="57" t="s">
        <v>948</v>
      </c>
      <c r="J571" s="103" t="s">
        <v>1591</v>
      </c>
      <c r="K571" s="103"/>
    </row>
    <row r="572" spans="1:11">
      <c r="A572" s="57">
        <f t="shared" si="8"/>
        <v>570</v>
      </c>
      <c r="B572" s="57" t="s">
        <v>1581</v>
      </c>
      <c r="C572" s="57" t="s">
        <v>463</v>
      </c>
      <c r="D572" s="102" t="s">
        <v>1600</v>
      </c>
      <c r="E572" s="91" t="s">
        <v>1601</v>
      </c>
      <c r="F572" s="57"/>
      <c r="G572" s="60" t="s">
        <v>394</v>
      </c>
      <c r="H572" s="61">
        <v>1</v>
      </c>
      <c r="I572" s="57" t="s">
        <v>948</v>
      </c>
      <c r="J572" s="103" t="s">
        <v>1591</v>
      </c>
      <c r="K572" s="103"/>
    </row>
    <row r="573" spans="1:11">
      <c r="A573" s="57">
        <f t="shared" si="8"/>
        <v>571</v>
      </c>
      <c r="B573" s="57" t="s">
        <v>1581</v>
      </c>
      <c r="C573" s="57" t="s">
        <v>463</v>
      </c>
      <c r="D573" s="102" t="s">
        <v>1602</v>
      </c>
      <c r="E573" s="91" t="s">
        <v>1603</v>
      </c>
      <c r="F573" s="57"/>
      <c r="G573" s="60" t="s">
        <v>394</v>
      </c>
      <c r="H573" s="61">
        <v>1</v>
      </c>
      <c r="I573" s="57" t="s">
        <v>948</v>
      </c>
      <c r="J573" s="103" t="s">
        <v>1591</v>
      </c>
      <c r="K573" s="103"/>
    </row>
    <row r="574" spans="1:11">
      <c r="A574" s="8">
        <f t="shared" si="8"/>
        <v>572</v>
      </c>
      <c r="B574" s="8" t="s">
        <v>1581</v>
      </c>
      <c r="C574" s="8" t="s">
        <v>463</v>
      </c>
      <c r="D574" s="34" t="s">
        <v>1604</v>
      </c>
      <c r="E574" s="29" t="s">
        <v>1605</v>
      </c>
      <c r="F574" s="27"/>
      <c r="G574" s="70">
        <v>46722</v>
      </c>
      <c r="H574" s="69">
        <v>1</v>
      </c>
      <c r="I574" s="8" t="s">
        <v>1606</v>
      </c>
      <c r="J574" s="35" t="s">
        <v>1591</v>
      </c>
      <c r="K574" s="36" t="s">
        <v>1586</v>
      </c>
    </row>
    <row r="575" spans="1:11">
      <c r="A575" s="57">
        <f t="shared" si="8"/>
        <v>573</v>
      </c>
      <c r="B575" s="57" t="s">
        <v>1581</v>
      </c>
      <c r="C575" s="57" t="s">
        <v>382</v>
      </c>
      <c r="D575" s="102" t="s">
        <v>1607</v>
      </c>
      <c r="E575" s="91" t="s">
        <v>1608</v>
      </c>
      <c r="F575" s="57"/>
      <c r="G575" s="60" t="s">
        <v>394</v>
      </c>
      <c r="H575" s="61">
        <v>1</v>
      </c>
      <c r="I575" s="57" t="s">
        <v>948</v>
      </c>
      <c r="J575" s="103" t="s">
        <v>1591</v>
      </c>
      <c r="K575" s="103"/>
    </row>
    <row r="576" spans="1:11">
      <c r="A576" s="57">
        <f t="shared" si="8"/>
        <v>574</v>
      </c>
      <c r="B576" s="57" t="s">
        <v>1581</v>
      </c>
      <c r="C576" s="57" t="s">
        <v>463</v>
      </c>
      <c r="D576" s="102" t="s">
        <v>1609</v>
      </c>
      <c r="E576" s="91" t="s">
        <v>1228</v>
      </c>
      <c r="F576" s="57"/>
      <c r="G576" s="60" t="s">
        <v>394</v>
      </c>
      <c r="H576" s="61">
        <v>1</v>
      </c>
      <c r="I576" s="57" t="s">
        <v>948</v>
      </c>
      <c r="J576" s="103" t="s">
        <v>1591</v>
      </c>
      <c r="K576" s="103"/>
    </row>
    <row r="577" spans="1:11">
      <c r="A577" s="8">
        <f t="shared" si="8"/>
        <v>575</v>
      </c>
      <c r="B577" s="8" t="s">
        <v>1581</v>
      </c>
      <c r="C577" s="8" t="s">
        <v>463</v>
      </c>
      <c r="D577" s="34" t="s">
        <v>1610</v>
      </c>
      <c r="E577" s="29" t="s">
        <v>880</v>
      </c>
      <c r="F577" s="27"/>
      <c r="G577" s="70">
        <v>46722</v>
      </c>
      <c r="H577" s="69">
        <v>1</v>
      </c>
      <c r="I577" s="8" t="s">
        <v>1606</v>
      </c>
      <c r="J577" s="35" t="s">
        <v>1591</v>
      </c>
      <c r="K577" s="35"/>
    </row>
    <row r="578" spans="1:11">
      <c r="A578" s="8">
        <f t="shared" si="8"/>
        <v>576</v>
      </c>
      <c r="B578" s="8" t="s">
        <v>1581</v>
      </c>
      <c r="C578" s="8" t="s">
        <v>382</v>
      </c>
      <c r="D578" s="99" t="s">
        <v>1611</v>
      </c>
      <c r="E578" s="53" t="s">
        <v>3570</v>
      </c>
      <c r="F578" s="8"/>
      <c r="G578" s="54">
        <v>46296</v>
      </c>
      <c r="H578" s="67">
        <v>0.05</v>
      </c>
      <c r="I578" s="8"/>
      <c r="J578" s="100" t="s">
        <v>868</v>
      </c>
      <c r="K578" s="101"/>
    </row>
    <row r="579" spans="1:11">
      <c r="A579" s="57">
        <f t="shared" si="8"/>
        <v>577</v>
      </c>
      <c r="B579" s="57" t="s">
        <v>1581</v>
      </c>
      <c r="C579" s="57" t="s">
        <v>463</v>
      </c>
      <c r="D579" s="102" t="s">
        <v>1613</v>
      </c>
      <c r="E579" s="91" t="s">
        <v>516</v>
      </c>
      <c r="F579" s="57"/>
      <c r="G579" s="60" t="s">
        <v>394</v>
      </c>
      <c r="H579" s="61">
        <v>1</v>
      </c>
      <c r="I579" s="57"/>
      <c r="J579" s="103" t="s">
        <v>1591</v>
      </c>
      <c r="K579" s="104" t="s">
        <v>1586</v>
      </c>
    </row>
    <row r="580" spans="1:11">
      <c r="A580" s="57">
        <f t="shared" si="8"/>
        <v>578</v>
      </c>
      <c r="B580" s="57" t="s">
        <v>1581</v>
      </c>
      <c r="C580" s="57" t="s">
        <v>382</v>
      </c>
      <c r="D580" s="102" t="s">
        <v>1614</v>
      </c>
      <c r="E580" s="91" t="s">
        <v>1615</v>
      </c>
      <c r="F580" s="57"/>
      <c r="G580" s="60" t="s">
        <v>394</v>
      </c>
      <c r="H580" s="61">
        <v>1</v>
      </c>
      <c r="I580" s="57" t="s">
        <v>948</v>
      </c>
      <c r="J580" s="103" t="s">
        <v>1591</v>
      </c>
      <c r="K580" s="103"/>
    </row>
    <row r="581" spans="1:11">
      <c r="A581" s="8">
        <f t="shared" si="8"/>
        <v>579</v>
      </c>
      <c r="B581" s="8" t="s">
        <v>1581</v>
      </c>
      <c r="C581" s="8" t="s">
        <v>382</v>
      </c>
      <c r="D581" s="34" t="s">
        <v>1616</v>
      </c>
      <c r="E581" s="29" t="s">
        <v>1617</v>
      </c>
      <c r="F581" s="27"/>
      <c r="G581" s="70">
        <v>46722</v>
      </c>
      <c r="H581" s="69">
        <v>1</v>
      </c>
      <c r="I581" s="8" t="s">
        <v>1606</v>
      </c>
      <c r="J581" s="28" t="s">
        <v>1591</v>
      </c>
      <c r="K581" s="36" t="s">
        <v>1586</v>
      </c>
    </row>
    <row r="582" spans="1:11">
      <c r="A582" s="8">
        <f t="shared" si="8"/>
        <v>580</v>
      </c>
      <c r="B582" s="8" t="s">
        <v>1581</v>
      </c>
      <c r="C582" s="8" t="s">
        <v>463</v>
      </c>
      <c r="D582" s="34" t="s">
        <v>1618</v>
      </c>
      <c r="E582" s="29" t="s">
        <v>1619</v>
      </c>
      <c r="F582" s="27"/>
      <c r="G582" s="70">
        <v>46722</v>
      </c>
      <c r="H582" s="69">
        <v>1</v>
      </c>
      <c r="I582" s="8" t="s">
        <v>1606</v>
      </c>
      <c r="J582" s="35" t="s">
        <v>1591</v>
      </c>
      <c r="K582" s="35"/>
    </row>
    <row r="583" spans="1:11">
      <c r="A583" s="8">
        <f t="shared" si="8"/>
        <v>581</v>
      </c>
      <c r="B583" s="8" t="s">
        <v>1581</v>
      </c>
      <c r="C583" s="8" t="s">
        <v>541</v>
      </c>
      <c r="D583" s="34" t="s">
        <v>1620</v>
      </c>
      <c r="E583" s="29" t="s">
        <v>1621</v>
      </c>
      <c r="F583" s="27"/>
      <c r="G583" s="70">
        <v>46722</v>
      </c>
      <c r="H583" s="69">
        <v>1</v>
      </c>
      <c r="I583" s="8" t="s">
        <v>1606</v>
      </c>
      <c r="J583" s="35" t="s">
        <v>1591</v>
      </c>
      <c r="K583" s="35"/>
    </row>
    <row r="584" spans="1:11">
      <c r="A584" s="8">
        <f t="shared" si="8"/>
        <v>582</v>
      </c>
      <c r="B584" s="8" t="s">
        <v>1581</v>
      </c>
      <c r="C584" s="8" t="s">
        <v>546</v>
      </c>
      <c r="D584" s="34" t="s">
        <v>1622</v>
      </c>
      <c r="E584" s="29" t="s">
        <v>1623</v>
      </c>
      <c r="F584" s="8" t="s">
        <v>1624</v>
      </c>
      <c r="G584" s="70">
        <v>46722</v>
      </c>
      <c r="H584" s="69">
        <v>1</v>
      </c>
      <c r="I584" s="8" t="s">
        <v>1606</v>
      </c>
      <c r="J584" s="35" t="s">
        <v>1591</v>
      </c>
      <c r="K584" s="35"/>
    </row>
    <row r="585" spans="1:11">
      <c r="A585" s="8">
        <f t="shared" si="8"/>
        <v>583</v>
      </c>
      <c r="B585" s="8" t="s">
        <v>1581</v>
      </c>
      <c r="C585" s="8" t="s">
        <v>546</v>
      </c>
      <c r="D585" s="34" t="s">
        <v>1625</v>
      </c>
      <c r="E585" s="29" t="s">
        <v>1626</v>
      </c>
      <c r="F585" s="8" t="s">
        <v>1627</v>
      </c>
      <c r="G585" s="70">
        <v>46722</v>
      </c>
      <c r="H585" s="69">
        <v>1</v>
      </c>
      <c r="I585" s="8" t="s">
        <v>1606</v>
      </c>
      <c r="J585" s="35" t="s">
        <v>1591</v>
      </c>
      <c r="K585" s="35"/>
    </row>
    <row r="586" spans="1:11">
      <c r="A586" s="8">
        <f t="shared" ref="A586:A649" si="9">ROW()-2</f>
        <v>584</v>
      </c>
      <c r="B586" s="8" t="s">
        <v>1581</v>
      </c>
      <c r="C586" s="8" t="s">
        <v>546</v>
      </c>
      <c r="D586" s="34" t="s">
        <v>1628</v>
      </c>
      <c r="E586" s="29" t="s">
        <v>1629</v>
      </c>
      <c r="F586" s="8" t="s">
        <v>1630</v>
      </c>
      <c r="G586" s="70">
        <v>46722</v>
      </c>
      <c r="H586" s="69">
        <v>1</v>
      </c>
      <c r="I586" s="8" t="s">
        <v>1606</v>
      </c>
      <c r="J586" s="35" t="s">
        <v>1591</v>
      </c>
      <c r="K586" s="35"/>
    </row>
    <row r="587" spans="1:11">
      <c r="A587" s="8">
        <f t="shared" si="9"/>
        <v>585</v>
      </c>
      <c r="B587" s="8" t="s">
        <v>1581</v>
      </c>
      <c r="C587" s="8" t="s">
        <v>546</v>
      </c>
      <c r="D587" s="34" t="s">
        <v>1631</v>
      </c>
      <c r="E587" s="29" t="s">
        <v>1632</v>
      </c>
      <c r="F587" s="8" t="s">
        <v>1633</v>
      </c>
      <c r="G587" s="70">
        <v>46722</v>
      </c>
      <c r="H587" s="69">
        <v>1</v>
      </c>
      <c r="I587" s="8" t="s">
        <v>1606</v>
      </c>
      <c r="J587" s="35" t="s">
        <v>1591</v>
      </c>
      <c r="K587" s="35"/>
    </row>
    <row r="588" spans="1:11">
      <c r="A588" s="8">
        <f t="shared" si="9"/>
        <v>586</v>
      </c>
      <c r="B588" s="8" t="s">
        <v>1581</v>
      </c>
      <c r="C588" s="8" t="s">
        <v>546</v>
      </c>
      <c r="D588" s="34" t="s">
        <v>1634</v>
      </c>
      <c r="E588" s="29" t="s">
        <v>1635</v>
      </c>
      <c r="F588" s="8" t="s">
        <v>1636</v>
      </c>
      <c r="G588" s="70">
        <v>46722</v>
      </c>
      <c r="H588" s="69">
        <v>1</v>
      </c>
      <c r="I588" s="8" t="s">
        <v>1606</v>
      </c>
      <c r="J588" s="28" t="s">
        <v>1591</v>
      </c>
      <c r="K588" s="28"/>
    </row>
    <row r="589" spans="1:11">
      <c r="A589" s="8">
        <f t="shared" si="9"/>
        <v>587</v>
      </c>
      <c r="B589" s="8" t="s">
        <v>1581</v>
      </c>
      <c r="C589" s="8" t="s">
        <v>546</v>
      </c>
      <c r="D589" s="34" t="s">
        <v>1637</v>
      </c>
      <c r="E589" s="29" t="s">
        <v>1638</v>
      </c>
      <c r="F589" s="8" t="s">
        <v>1639</v>
      </c>
      <c r="G589" s="70">
        <v>46722</v>
      </c>
      <c r="H589" s="69">
        <v>1</v>
      </c>
      <c r="I589" s="8" t="s">
        <v>1606</v>
      </c>
      <c r="J589" s="35" t="s">
        <v>1591</v>
      </c>
      <c r="K589" s="35"/>
    </row>
    <row r="590" spans="1:11">
      <c r="A590" s="8">
        <f t="shared" si="9"/>
        <v>588</v>
      </c>
      <c r="B590" s="8" t="s">
        <v>1581</v>
      </c>
      <c r="C590" s="8" t="s">
        <v>546</v>
      </c>
      <c r="D590" s="99" t="s">
        <v>1640</v>
      </c>
      <c r="E590" s="53" t="s">
        <v>1641</v>
      </c>
      <c r="F590" s="46" t="s">
        <v>1642</v>
      </c>
      <c r="G590" s="54">
        <v>46174</v>
      </c>
      <c r="H590" s="67">
        <v>0</v>
      </c>
      <c r="I590" s="8" t="s">
        <v>1606</v>
      </c>
      <c r="J590" s="100" t="s">
        <v>1591</v>
      </c>
      <c r="K590" s="101"/>
    </row>
    <row r="591" spans="1:11">
      <c r="A591" s="8">
        <f t="shared" si="9"/>
        <v>589</v>
      </c>
      <c r="B591" s="8" t="s">
        <v>1581</v>
      </c>
      <c r="C591" s="8" t="s">
        <v>546</v>
      </c>
      <c r="D591" s="34" t="s">
        <v>1643</v>
      </c>
      <c r="E591" s="29" t="s">
        <v>1644</v>
      </c>
      <c r="F591" s="8" t="s">
        <v>1645</v>
      </c>
      <c r="G591" s="70">
        <v>46722</v>
      </c>
      <c r="H591" s="69">
        <v>1</v>
      </c>
      <c r="I591" s="8" t="s">
        <v>1646</v>
      </c>
      <c r="J591" s="28" t="s">
        <v>1591</v>
      </c>
      <c r="K591" s="28"/>
    </row>
    <row r="592" spans="1:11">
      <c r="A592" s="8">
        <f t="shared" si="9"/>
        <v>590</v>
      </c>
      <c r="B592" s="8" t="s">
        <v>1581</v>
      </c>
      <c r="C592" s="8" t="s">
        <v>546</v>
      </c>
      <c r="D592" s="34" t="s">
        <v>1647</v>
      </c>
      <c r="E592" s="29" t="s">
        <v>578</v>
      </c>
      <c r="F592" s="8" t="s">
        <v>1648</v>
      </c>
      <c r="G592" s="70">
        <v>46722</v>
      </c>
      <c r="H592" s="69">
        <v>1</v>
      </c>
      <c r="I592" s="8" t="s">
        <v>1646</v>
      </c>
      <c r="J592" s="28" t="s">
        <v>1591</v>
      </c>
      <c r="K592" s="28"/>
    </row>
    <row r="593" spans="1:11">
      <c r="A593" s="8">
        <f t="shared" si="9"/>
        <v>591</v>
      </c>
      <c r="B593" s="8" t="s">
        <v>1581</v>
      </c>
      <c r="C593" s="8" t="s">
        <v>546</v>
      </c>
      <c r="D593" s="34" t="s">
        <v>1649</v>
      </c>
      <c r="E593" s="29" t="s">
        <v>585</v>
      </c>
      <c r="F593" s="8" t="s">
        <v>1650</v>
      </c>
      <c r="G593" s="70">
        <v>46722</v>
      </c>
      <c r="H593" s="69">
        <v>1</v>
      </c>
      <c r="I593" s="8" t="s">
        <v>1646</v>
      </c>
      <c r="J593" s="28" t="s">
        <v>1591</v>
      </c>
      <c r="K593" s="28"/>
    </row>
    <row r="594" spans="1:11">
      <c r="A594" s="8">
        <f t="shared" si="9"/>
        <v>592</v>
      </c>
      <c r="B594" s="8" t="s">
        <v>1581</v>
      </c>
      <c r="C594" s="8" t="s">
        <v>546</v>
      </c>
      <c r="D594" s="34" t="s">
        <v>1651</v>
      </c>
      <c r="E594" s="29" t="s">
        <v>1048</v>
      </c>
      <c r="F594" s="8" t="s">
        <v>1652</v>
      </c>
      <c r="G594" s="70">
        <v>46722</v>
      </c>
      <c r="H594" s="69">
        <v>1</v>
      </c>
      <c r="I594" s="8" t="s">
        <v>1646</v>
      </c>
      <c r="J594" s="28" t="s">
        <v>1591</v>
      </c>
      <c r="K594" s="36" t="s">
        <v>1586</v>
      </c>
    </row>
    <row r="595" spans="1:11">
      <c r="A595" s="8">
        <f t="shared" si="9"/>
        <v>593</v>
      </c>
      <c r="B595" s="8" t="s">
        <v>1581</v>
      </c>
      <c r="C595" s="8" t="s">
        <v>546</v>
      </c>
      <c r="D595" s="34" t="s">
        <v>1653</v>
      </c>
      <c r="E595" s="29" t="s">
        <v>1046</v>
      </c>
      <c r="F595" s="8" t="s">
        <v>1654</v>
      </c>
      <c r="G595" s="70">
        <v>46722</v>
      </c>
      <c r="H595" s="69">
        <v>1</v>
      </c>
      <c r="I595" s="8" t="s">
        <v>1646</v>
      </c>
      <c r="J595" s="28" t="s">
        <v>1591</v>
      </c>
      <c r="K595" s="36" t="s">
        <v>1586</v>
      </c>
    </row>
    <row r="596" spans="1:11">
      <c r="A596" s="8">
        <f t="shared" si="9"/>
        <v>594</v>
      </c>
      <c r="B596" s="8" t="s">
        <v>1581</v>
      </c>
      <c r="C596" s="8" t="s">
        <v>546</v>
      </c>
      <c r="D596" s="34" t="s">
        <v>1655</v>
      </c>
      <c r="E596" s="29" t="s">
        <v>593</v>
      </c>
      <c r="F596" s="8" t="s">
        <v>1656</v>
      </c>
      <c r="G596" s="70">
        <v>46722</v>
      </c>
      <c r="H596" s="69">
        <v>1</v>
      </c>
      <c r="I596" s="8" t="s">
        <v>1646</v>
      </c>
      <c r="J596" s="35" t="s">
        <v>1591</v>
      </c>
      <c r="K596" s="36" t="s">
        <v>1586</v>
      </c>
    </row>
    <row r="597" spans="1:11">
      <c r="A597" s="8">
        <f t="shared" si="9"/>
        <v>595</v>
      </c>
      <c r="B597" s="8" t="s">
        <v>1581</v>
      </c>
      <c r="C597" s="8" t="s">
        <v>546</v>
      </c>
      <c r="D597" s="34" t="s">
        <v>1657</v>
      </c>
      <c r="E597" s="29" t="s">
        <v>1658</v>
      </c>
      <c r="F597" s="8"/>
      <c r="G597" s="70">
        <v>46722</v>
      </c>
      <c r="H597" s="69">
        <v>1</v>
      </c>
      <c r="I597" s="8" t="s">
        <v>1646</v>
      </c>
      <c r="J597" s="35" t="s">
        <v>1591</v>
      </c>
      <c r="K597" s="35"/>
    </row>
    <row r="598" spans="1:11">
      <c r="A598" s="8">
        <f t="shared" si="9"/>
        <v>596</v>
      </c>
      <c r="B598" s="8" t="s">
        <v>1581</v>
      </c>
      <c r="C598" s="8" t="s">
        <v>546</v>
      </c>
      <c r="D598" s="34" t="s">
        <v>1659</v>
      </c>
      <c r="E598" s="29" t="s">
        <v>599</v>
      </c>
      <c r="F598" s="8" t="s">
        <v>1660</v>
      </c>
      <c r="G598" s="70">
        <v>46722</v>
      </c>
      <c r="H598" s="69">
        <v>1</v>
      </c>
      <c r="I598" s="8" t="s">
        <v>1646</v>
      </c>
      <c r="J598" s="35" t="s">
        <v>1591</v>
      </c>
      <c r="K598" s="35"/>
    </row>
    <row r="599" spans="1:11">
      <c r="A599" s="8">
        <f t="shared" si="9"/>
        <v>597</v>
      </c>
      <c r="B599" s="8" t="s">
        <v>1581</v>
      </c>
      <c r="C599" s="8" t="s">
        <v>546</v>
      </c>
      <c r="D599" s="34" t="s">
        <v>1661</v>
      </c>
      <c r="E599" s="29" t="s">
        <v>605</v>
      </c>
      <c r="F599" s="8" t="s">
        <v>1662</v>
      </c>
      <c r="G599" s="70">
        <v>46722</v>
      </c>
      <c r="H599" s="69">
        <v>1</v>
      </c>
      <c r="I599" s="8" t="s">
        <v>1646</v>
      </c>
      <c r="J599" s="35" t="s">
        <v>1591</v>
      </c>
      <c r="K599" s="35"/>
    </row>
    <row r="600" spans="1:11">
      <c r="A600" s="8">
        <f t="shared" si="9"/>
        <v>598</v>
      </c>
      <c r="B600" s="8" t="s">
        <v>1581</v>
      </c>
      <c r="C600" s="8" t="s">
        <v>546</v>
      </c>
      <c r="D600" s="34" t="s">
        <v>1663</v>
      </c>
      <c r="E600" s="29" t="s">
        <v>608</v>
      </c>
      <c r="F600" s="8" t="s">
        <v>1664</v>
      </c>
      <c r="G600" s="70">
        <v>46722</v>
      </c>
      <c r="H600" s="69">
        <v>1</v>
      </c>
      <c r="I600" s="8" t="s">
        <v>1646</v>
      </c>
      <c r="J600" s="35" t="s">
        <v>1591</v>
      </c>
      <c r="K600" s="35"/>
    </row>
    <row r="601" spans="1:11">
      <c r="A601" s="8">
        <f t="shared" si="9"/>
        <v>599</v>
      </c>
      <c r="B601" s="8" t="s">
        <v>1581</v>
      </c>
      <c r="C601" s="8" t="s">
        <v>546</v>
      </c>
      <c r="D601" s="34" t="s">
        <v>1665</v>
      </c>
      <c r="E601" s="29" t="s">
        <v>1666</v>
      </c>
      <c r="F601" s="8" t="s">
        <v>1667</v>
      </c>
      <c r="G601" s="70">
        <v>46722</v>
      </c>
      <c r="H601" s="69">
        <v>1</v>
      </c>
      <c r="I601" s="8" t="s">
        <v>1646</v>
      </c>
      <c r="J601" s="35" t="s">
        <v>1591</v>
      </c>
      <c r="K601" s="35"/>
    </row>
    <row r="602" spans="1:11">
      <c r="A602" s="8">
        <f t="shared" si="9"/>
        <v>600</v>
      </c>
      <c r="B602" s="8" t="s">
        <v>1581</v>
      </c>
      <c r="C602" s="8" t="s">
        <v>546</v>
      </c>
      <c r="D602" s="34" t="s">
        <v>1668</v>
      </c>
      <c r="E602" s="29" t="s">
        <v>1669</v>
      </c>
      <c r="F602" s="8" t="s">
        <v>1441</v>
      </c>
      <c r="G602" s="70">
        <v>46722</v>
      </c>
      <c r="H602" s="67">
        <v>0.92</v>
      </c>
      <c r="I602" s="8"/>
      <c r="J602" s="35" t="s">
        <v>1591</v>
      </c>
      <c r="K602" s="36" t="s">
        <v>1586</v>
      </c>
    </row>
    <row r="603" spans="1:11">
      <c r="A603" s="8">
        <f t="shared" si="9"/>
        <v>601</v>
      </c>
      <c r="B603" s="8" t="s">
        <v>1581</v>
      </c>
      <c r="C603" s="8" t="s">
        <v>546</v>
      </c>
      <c r="D603" s="34" t="s">
        <v>1670</v>
      </c>
      <c r="E603" s="29" t="s">
        <v>1671</v>
      </c>
      <c r="F603" s="8" t="s">
        <v>1672</v>
      </c>
      <c r="G603" s="70">
        <v>46722</v>
      </c>
      <c r="H603" s="69">
        <v>1</v>
      </c>
      <c r="I603" s="8" t="s">
        <v>1646</v>
      </c>
      <c r="J603" s="35" t="s">
        <v>1591</v>
      </c>
      <c r="K603" s="35"/>
    </row>
    <row r="604" spans="1:11">
      <c r="A604" s="8">
        <f t="shared" si="9"/>
        <v>602</v>
      </c>
      <c r="B604" s="8" t="s">
        <v>1581</v>
      </c>
      <c r="C604" s="8" t="s">
        <v>546</v>
      </c>
      <c r="D604" s="34" t="s">
        <v>1673</v>
      </c>
      <c r="E604" s="29" t="s">
        <v>632</v>
      </c>
      <c r="F604" s="8" t="s">
        <v>1437</v>
      </c>
      <c r="G604" s="70">
        <v>46722</v>
      </c>
      <c r="H604" s="69">
        <v>1</v>
      </c>
      <c r="I604" s="8" t="s">
        <v>1646</v>
      </c>
      <c r="J604" s="35" t="s">
        <v>1591</v>
      </c>
      <c r="K604" s="35"/>
    </row>
    <row r="605" spans="1:11">
      <c r="A605" s="8">
        <f t="shared" si="9"/>
        <v>603</v>
      </c>
      <c r="B605" s="8" t="s">
        <v>1581</v>
      </c>
      <c r="C605" s="8" t="s">
        <v>546</v>
      </c>
      <c r="D605" s="34" t="s">
        <v>1674</v>
      </c>
      <c r="E605" s="29" t="s">
        <v>1675</v>
      </c>
      <c r="F605" s="8" t="s">
        <v>1676</v>
      </c>
      <c r="G605" s="70">
        <v>46722</v>
      </c>
      <c r="H605" s="69">
        <v>1</v>
      </c>
      <c r="I605" s="8" t="s">
        <v>1646</v>
      </c>
      <c r="J605" s="35" t="s">
        <v>1591</v>
      </c>
      <c r="K605" s="36" t="s">
        <v>1586</v>
      </c>
    </row>
    <row r="606" spans="1:11">
      <c r="A606" s="8">
        <f t="shared" si="9"/>
        <v>604</v>
      </c>
      <c r="B606" s="8" t="s">
        <v>1581</v>
      </c>
      <c r="C606" s="8" t="s">
        <v>546</v>
      </c>
      <c r="D606" s="34" t="s">
        <v>1677</v>
      </c>
      <c r="E606" s="29" t="s">
        <v>1678</v>
      </c>
      <c r="F606" s="8" t="s">
        <v>1679</v>
      </c>
      <c r="G606" s="70">
        <v>46722</v>
      </c>
      <c r="H606" s="69">
        <v>1</v>
      </c>
      <c r="I606" s="8" t="s">
        <v>1646</v>
      </c>
      <c r="J606" s="35" t="s">
        <v>1591</v>
      </c>
      <c r="K606" s="36" t="s">
        <v>1586</v>
      </c>
    </row>
    <row r="607" spans="1:11">
      <c r="A607" s="8">
        <f t="shared" si="9"/>
        <v>605</v>
      </c>
      <c r="B607" s="8" t="s">
        <v>1581</v>
      </c>
      <c r="C607" s="8" t="s">
        <v>546</v>
      </c>
      <c r="D607" s="99" t="s">
        <v>1680</v>
      </c>
      <c r="E607" s="53" t="s">
        <v>1681</v>
      </c>
      <c r="F607" s="8"/>
      <c r="G607" s="70">
        <v>46722</v>
      </c>
      <c r="H607" s="67">
        <v>0</v>
      </c>
      <c r="I607" s="8"/>
      <c r="J607" s="100" t="s">
        <v>1591</v>
      </c>
      <c r="K607" s="101" t="s">
        <v>1586</v>
      </c>
    </row>
    <row r="608" spans="1:11">
      <c r="A608" s="8">
        <f t="shared" si="9"/>
        <v>606</v>
      </c>
      <c r="B608" s="8" t="s">
        <v>1581</v>
      </c>
      <c r="C608" s="8" t="s">
        <v>546</v>
      </c>
      <c r="D608" s="99" t="s">
        <v>1682</v>
      </c>
      <c r="E608" s="53" t="s">
        <v>1683</v>
      </c>
      <c r="F608" s="8" t="s">
        <v>1684</v>
      </c>
      <c r="G608" s="70">
        <v>46722</v>
      </c>
      <c r="H608" s="67">
        <v>0.87</v>
      </c>
      <c r="I608" s="8" t="s">
        <v>1685</v>
      </c>
      <c r="J608" s="100" t="s">
        <v>1591</v>
      </c>
      <c r="K608" s="101" t="s">
        <v>1586</v>
      </c>
    </row>
    <row r="609" spans="1:11">
      <c r="A609" s="8">
        <f t="shared" si="9"/>
        <v>607</v>
      </c>
      <c r="B609" s="8" t="s">
        <v>1581</v>
      </c>
      <c r="C609" s="8" t="s">
        <v>546</v>
      </c>
      <c r="D609" s="99" t="s">
        <v>1686</v>
      </c>
      <c r="E609" s="53" t="s">
        <v>1687</v>
      </c>
      <c r="F609" s="8"/>
      <c r="G609" s="70">
        <v>46722</v>
      </c>
      <c r="H609" s="67">
        <v>0</v>
      </c>
      <c r="I609" s="8" t="s">
        <v>1688</v>
      </c>
      <c r="J609" s="100" t="s">
        <v>1591</v>
      </c>
      <c r="K609" s="101" t="s">
        <v>1586</v>
      </c>
    </row>
    <row r="610" spans="1:11">
      <c r="A610" s="8">
        <f t="shared" si="9"/>
        <v>608</v>
      </c>
      <c r="B610" s="8" t="s">
        <v>1581</v>
      </c>
      <c r="C610" s="8" t="s">
        <v>665</v>
      </c>
      <c r="D610" s="34" t="s">
        <v>1689</v>
      </c>
      <c r="E610" s="29" t="s">
        <v>1690</v>
      </c>
      <c r="F610" s="27"/>
      <c r="G610" s="70">
        <v>46722</v>
      </c>
      <c r="H610" s="69">
        <v>1</v>
      </c>
      <c r="I610" s="8" t="s">
        <v>1646</v>
      </c>
      <c r="J610" s="37" t="s">
        <v>670</v>
      </c>
      <c r="K610" s="37"/>
    </row>
    <row r="611" spans="1:11">
      <c r="A611" s="57">
        <f t="shared" si="9"/>
        <v>609</v>
      </c>
      <c r="B611" s="57" t="s">
        <v>1581</v>
      </c>
      <c r="C611" s="57" t="s">
        <v>665</v>
      </c>
      <c r="D611" s="102" t="s">
        <v>1691</v>
      </c>
      <c r="E611" s="91" t="s">
        <v>1692</v>
      </c>
      <c r="F611" s="57"/>
      <c r="G611" s="60" t="s">
        <v>394</v>
      </c>
      <c r="H611" s="61">
        <v>1</v>
      </c>
      <c r="I611" s="57" t="s">
        <v>948</v>
      </c>
      <c r="J611" s="103" t="s">
        <v>1591</v>
      </c>
      <c r="K611" s="103"/>
    </row>
    <row r="612" spans="1:11">
      <c r="A612" s="8">
        <f t="shared" si="9"/>
        <v>610</v>
      </c>
      <c r="B612" s="8" t="s">
        <v>1581</v>
      </c>
      <c r="C612" s="8" t="s">
        <v>665</v>
      </c>
      <c r="D612" s="34" t="s">
        <v>1693</v>
      </c>
      <c r="E612" s="29" t="s">
        <v>1694</v>
      </c>
      <c r="F612" s="27"/>
      <c r="G612" s="70">
        <v>46722</v>
      </c>
      <c r="H612" s="69">
        <v>1</v>
      </c>
      <c r="I612" s="8" t="s">
        <v>1646</v>
      </c>
      <c r="J612" s="35" t="s">
        <v>670</v>
      </c>
      <c r="K612" s="35"/>
    </row>
    <row r="613" spans="1:11">
      <c r="A613" s="8">
        <f t="shared" si="9"/>
        <v>611</v>
      </c>
      <c r="B613" s="8" t="s">
        <v>1581</v>
      </c>
      <c r="C613" s="8" t="s">
        <v>665</v>
      </c>
      <c r="D613" s="34" t="s">
        <v>1695</v>
      </c>
      <c r="E613" s="29" t="s">
        <v>1696</v>
      </c>
      <c r="F613" s="27"/>
      <c r="G613" s="70">
        <v>46722</v>
      </c>
      <c r="H613" s="69">
        <v>1</v>
      </c>
      <c r="I613" s="8" t="s">
        <v>1646</v>
      </c>
      <c r="J613" s="35" t="s">
        <v>670</v>
      </c>
      <c r="K613" s="35"/>
    </row>
    <row r="614" spans="1:11">
      <c r="A614" s="8">
        <f t="shared" si="9"/>
        <v>612</v>
      </c>
      <c r="B614" s="8" t="s">
        <v>1581</v>
      </c>
      <c r="C614" s="8" t="s">
        <v>665</v>
      </c>
      <c r="D614" s="100" t="s">
        <v>1697</v>
      </c>
      <c r="E614" s="53" t="s">
        <v>1698</v>
      </c>
      <c r="F614" s="8" t="s">
        <v>1699</v>
      </c>
      <c r="G614" s="70">
        <v>46143</v>
      </c>
      <c r="H614" s="69">
        <v>1</v>
      </c>
      <c r="I614" s="8" t="s">
        <v>1606</v>
      </c>
      <c r="J614" s="16" t="s">
        <v>670</v>
      </c>
      <c r="K614" s="101" t="s">
        <v>1586</v>
      </c>
    </row>
    <row r="615" spans="1:11">
      <c r="A615" s="8">
        <f t="shared" si="9"/>
        <v>613</v>
      </c>
      <c r="B615" s="8" t="s">
        <v>1581</v>
      </c>
      <c r="C615" s="8" t="s">
        <v>665</v>
      </c>
      <c r="D615" s="99" t="s">
        <v>1700</v>
      </c>
      <c r="E615" s="53" t="s">
        <v>1701</v>
      </c>
      <c r="F615" s="8" t="s">
        <v>1702</v>
      </c>
      <c r="G615" s="70">
        <v>46722</v>
      </c>
      <c r="H615" s="67">
        <v>0</v>
      </c>
      <c r="I615" s="8"/>
      <c r="J615" s="16" t="s">
        <v>670</v>
      </c>
      <c r="K615" s="101" t="s">
        <v>1586</v>
      </c>
    </row>
    <row r="616" spans="1:11">
      <c r="A616" s="57">
        <f t="shared" si="9"/>
        <v>614</v>
      </c>
      <c r="B616" s="57" t="s">
        <v>1581</v>
      </c>
      <c r="C616" s="57" t="s">
        <v>665</v>
      </c>
      <c r="D616" s="102" t="s">
        <v>1703</v>
      </c>
      <c r="E616" s="91" t="s">
        <v>1704</v>
      </c>
      <c r="F616" s="57"/>
      <c r="G616" s="60" t="s">
        <v>394</v>
      </c>
      <c r="H616" s="61">
        <v>1</v>
      </c>
      <c r="I616" s="57" t="s">
        <v>948</v>
      </c>
      <c r="J616" s="103" t="s">
        <v>1591</v>
      </c>
      <c r="K616" s="103"/>
    </row>
    <row r="617" spans="1:11">
      <c r="A617" s="8">
        <f t="shared" si="9"/>
        <v>615</v>
      </c>
      <c r="B617" s="8" t="s">
        <v>1581</v>
      </c>
      <c r="C617" s="8" t="s">
        <v>665</v>
      </c>
      <c r="D617" s="99" t="s">
        <v>1705</v>
      </c>
      <c r="E617" s="53" t="s">
        <v>719</v>
      </c>
      <c r="F617" s="8" t="s">
        <v>711</v>
      </c>
      <c r="G617" s="70">
        <v>46722</v>
      </c>
      <c r="H617" s="67">
        <v>0</v>
      </c>
      <c r="I617" s="8"/>
      <c r="J617" s="16" t="s">
        <v>670</v>
      </c>
      <c r="K617" s="101" t="s">
        <v>1586</v>
      </c>
    </row>
    <row r="618" spans="1:11">
      <c r="A618" s="57">
        <f t="shared" si="9"/>
        <v>616</v>
      </c>
      <c r="B618" s="57" t="s">
        <v>1581</v>
      </c>
      <c r="C618" s="57" t="s">
        <v>665</v>
      </c>
      <c r="D618" s="102" t="s">
        <v>1706</v>
      </c>
      <c r="E618" s="91" t="s">
        <v>716</v>
      </c>
      <c r="F618" s="57"/>
      <c r="G618" s="60" t="s">
        <v>394</v>
      </c>
      <c r="H618" s="61">
        <v>1</v>
      </c>
      <c r="I618" s="57" t="s">
        <v>948</v>
      </c>
      <c r="J618" s="103" t="s">
        <v>1591</v>
      </c>
      <c r="K618" s="103"/>
    </row>
    <row r="619" spans="1:11" ht="60">
      <c r="A619" s="8">
        <f t="shared" si="9"/>
        <v>617</v>
      </c>
      <c r="B619" s="8" t="s">
        <v>1581</v>
      </c>
      <c r="C619" s="8" t="s">
        <v>665</v>
      </c>
      <c r="D619" s="99" t="s">
        <v>1707</v>
      </c>
      <c r="E619" s="53" t="s">
        <v>1708</v>
      </c>
      <c r="F619" s="12" t="s">
        <v>1709</v>
      </c>
      <c r="G619" s="70">
        <v>46722</v>
      </c>
      <c r="H619" s="55">
        <v>0.2</v>
      </c>
      <c r="I619" s="8"/>
      <c r="J619" s="16" t="s">
        <v>670</v>
      </c>
      <c r="K619" s="101" t="s">
        <v>1586</v>
      </c>
    </row>
    <row r="620" spans="1:11">
      <c r="A620" s="57">
        <f t="shared" si="9"/>
        <v>618</v>
      </c>
      <c r="B620" s="57" t="s">
        <v>1581</v>
      </c>
      <c r="C620" s="57" t="s">
        <v>665</v>
      </c>
      <c r="D620" s="102" t="s">
        <v>1710</v>
      </c>
      <c r="E620" s="91" t="s">
        <v>1711</v>
      </c>
      <c r="F620" s="57"/>
      <c r="G620" s="60" t="s">
        <v>394</v>
      </c>
      <c r="H620" s="61">
        <v>1</v>
      </c>
      <c r="I620" s="57"/>
      <c r="J620" s="58" t="s">
        <v>1591</v>
      </c>
      <c r="K620" s="104" t="s">
        <v>1586</v>
      </c>
    </row>
    <row r="621" spans="1:11">
      <c r="A621" s="57">
        <f t="shared" si="9"/>
        <v>619</v>
      </c>
      <c r="B621" s="57" t="s">
        <v>1581</v>
      </c>
      <c r="C621" s="57" t="s">
        <v>665</v>
      </c>
      <c r="D621" s="102" t="s">
        <v>1712</v>
      </c>
      <c r="E621" s="91" t="s">
        <v>1713</v>
      </c>
      <c r="F621" s="57"/>
      <c r="G621" s="60" t="s">
        <v>394</v>
      </c>
      <c r="H621" s="61">
        <v>1</v>
      </c>
      <c r="I621" s="57"/>
      <c r="J621" s="58" t="s">
        <v>1591</v>
      </c>
      <c r="K621" s="104" t="s">
        <v>1586</v>
      </c>
    </row>
    <row r="622" spans="1:11">
      <c r="A622" s="57">
        <f t="shared" si="9"/>
        <v>620</v>
      </c>
      <c r="B622" s="57" t="s">
        <v>1581</v>
      </c>
      <c r="C622" s="57" t="s">
        <v>665</v>
      </c>
      <c r="D622" s="102" t="s">
        <v>1714</v>
      </c>
      <c r="E622" s="91" t="s">
        <v>1715</v>
      </c>
      <c r="F622" s="57"/>
      <c r="G622" s="60" t="s">
        <v>394</v>
      </c>
      <c r="H622" s="61">
        <v>1</v>
      </c>
      <c r="I622" s="57" t="s">
        <v>948</v>
      </c>
      <c r="J622" s="58" t="s">
        <v>1591</v>
      </c>
      <c r="K622" s="58"/>
    </row>
    <row r="623" spans="1:11">
      <c r="A623" s="8">
        <f t="shared" si="9"/>
        <v>621</v>
      </c>
      <c r="B623" s="8" t="s">
        <v>1581</v>
      </c>
      <c r="C623" s="8" t="s">
        <v>773</v>
      </c>
      <c r="D623" s="34" t="s">
        <v>1716</v>
      </c>
      <c r="E623" s="29" t="s">
        <v>1717</v>
      </c>
      <c r="F623" s="27"/>
      <c r="G623" s="70">
        <v>46722</v>
      </c>
      <c r="H623" s="69">
        <v>1</v>
      </c>
      <c r="I623" s="8" t="s">
        <v>1646</v>
      </c>
      <c r="J623" s="35" t="s">
        <v>670</v>
      </c>
      <c r="K623" s="35"/>
    </row>
    <row r="624" spans="1:11">
      <c r="A624" s="57">
        <f t="shared" si="9"/>
        <v>622</v>
      </c>
      <c r="B624" s="57" t="s">
        <v>1581</v>
      </c>
      <c r="C624" s="57" t="s">
        <v>773</v>
      </c>
      <c r="D624" s="102" t="s">
        <v>1718</v>
      </c>
      <c r="E624" s="91" t="s">
        <v>1719</v>
      </c>
      <c r="F624" s="57"/>
      <c r="G624" s="60" t="s">
        <v>394</v>
      </c>
      <c r="H624" s="61">
        <v>1</v>
      </c>
      <c r="I624" s="57" t="s">
        <v>948</v>
      </c>
      <c r="J624" s="103" t="s">
        <v>1591</v>
      </c>
      <c r="K624" s="103"/>
    </row>
    <row r="625" spans="1:11">
      <c r="A625" s="8">
        <f t="shared" si="9"/>
        <v>623</v>
      </c>
      <c r="B625" s="8" t="s">
        <v>1581</v>
      </c>
      <c r="C625" s="8" t="s">
        <v>773</v>
      </c>
      <c r="D625" s="34" t="s">
        <v>1720</v>
      </c>
      <c r="E625" s="38" t="s">
        <v>1721</v>
      </c>
      <c r="F625" s="28"/>
      <c r="G625" s="70">
        <v>46722</v>
      </c>
      <c r="H625" s="69">
        <v>1</v>
      </c>
      <c r="I625" s="8" t="s">
        <v>1646</v>
      </c>
      <c r="J625" s="28" t="s">
        <v>670</v>
      </c>
      <c r="K625" s="28"/>
    </row>
    <row r="626" spans="1:11">
      <c r="A626" s="57">
        <f t="shared" si="9"/>
        <v>624</v>
      </c>
      <c r="B626" s="57" t="s">
        <v>1581</v>
      </c>
      <c r="C626" s="57" t="s">
        <v>773</v>
      </c>
      <c r="D626" s="102" t="s">
        <v>1722</v>
      </c>
      <c r="E626" s="91" t="s">
        <v>1723</v>
      </c>
      <c r="F626" s="57"/>
      <c r="G626" s="60" t="s">
        <v>394</v>
      </c>
      <c r="H626" s="61">
        <v>1</v>
      </c>
      <c r="I626" s="57" t="s">
        <v>948</v>
      </c>
      <c r="J626" s="103" t="s">
        <v>1591</v>
      </c>
      <c r="K626" s="103"/>
    </row>
    <row r="627" spans="1:11">
      <c r="A627" s="8">
        <f t="shared" si="9"/>
        <v>625</v>
      </c>
      <c r="B627" s="8" t="s">
        <v>1581</v>
      </c>
      <c r="C627" s="8" t="s">
        <v>773</v>
      </c>
      <c r="D627" s="34" t="s">
        <v>1724</v>
      </c>
      <c r="E627" s="29" t="s">
        <v>1725</v>
      </c>
      <c r="F627" s="27"/>
      <c r="G627" s="70">
        <v>46722</v>
      </c>
      <c r="H627" s="69">
        <v>1</v>
      </c>
      <c r="I627" s="8" t="s">
        <v>1646</v>
      </c>
      <c r="J627" s="28" t="s">
        <v>1591</v>
      </c>
      <c r="K627" s="28"/>
    </row>
    <row r="628" spans="1:11">
      <c r="A628" s="57">
        <f t="shared" si="9"/>
        <v>626</v>
      </c>
      <c r="B628" s="57" t="s">
        <v>1581</v>
      </c>
      <c r="C628" s="57" t="s">
        <v>773</v>
      </c>
      <c r="D628" s="102" t="s">
        <v>1726</v>
      </c>
      <c r="E628" s="91" t="s">
        <v>1727</v>
      </c>
      <c r="F628" s="57"/>
      <c r="G628" s="60" t="s">
        <v>394</v>
      </c>
      <c r="H628" s="61">
        <v>1</v>
      </c>
      <c r="I628" s="57" t="s">
        <v>948</v>
      </c>
      <c r="J628" s="103" t="s">
        <v>1591</v>
      </c>
      <c r="K628" s="103"/>
    </row>
    <row r="629" spans="1:11">
      <c r="A629" s="8">
        <f t="shared" si="9"/>
        <v>627</v>
      </c>
      <c r="B629" s="8" t="s">
        <v>1581</v>
      </c>
      <c r="C629" s="8" t="s">
        <v>773</v>
      </c>
      <c r="D629" s="34" t="s">
        <v>1728</v>
      </c>
      <c r="E629" s="29" t="s">
        <v>1729</v>
      </c>
      <c r="F629" s="27"/>
      <c r="G629" s="70">
        <v>46722</v>
      </c>
      <c r="H629" s="69">
        <v>1</v>
      </c>
      <c r="I629" s="8" t="s">
        <v>1646</v>
      </c>
      <c r="J629" s="35" t="s">
        <v>670</v>
      </c>
      <c r="K629" s="35"/>
    </row>
    <row r="630" spans="1:11">
      <c r="A630" s="57">
        <f t="shared" si="9"/>
        <v>628</v>
      </c>
      <c r="B630" s="57" t="s">
        <v>1581</v>
      </c>
      <c r="C630" s="57" t="s">
        <v>773</v>
      </c>
      <c r="D630" s="102" t="s">
        <v>1730</v>
      </c>
      <c r="E630" s="91" t="s">
        <v>1170</v>
      </c>
      <c r="F630" s="57"/>
      <c r="G630" s="60" t="s">
        <v>394</v>
      </c>
      <c r="H630" s="61">
        <v>1</v>
      </c>
      <c r="I630" s="57" t="s">
        <v>948</v>
      </c>
      <c r="J630" s="103" t="s">
        <v>670</v>
      </c>
      <c r="K630" s="103"/>
    </row>
    <row r="631" spans="1:11">
      <c r="A631" s="57">
        <f t="shared" si="9"/>
        <v>629</v>
      </c>
      <c r="B631" s="57" t="s">
        <v>1581</v>
      </c>
      <c r="C631" s="57" t="s">
        <v>773</v>
      </c>
      <c r="D631" s="102" t="s">
        <v>1731</v>
      </c>
      <c r="E631" s="91" t="s">
        <v>1732</v>
      </c>
      <c r="F631" s="57"/>
      <c r="G631" s="60" t="s">
        <v>394</v>
      </c>
      <c r="H631" s="61">
        <v>1</v>
      </c>
      <c r="I631" s="57" t="s">
        <v>948</v>
      </c>
      <c r="J631" s="103" t="s">
        <v>670</v>
      </c>
      <c r="K631" s="103"/>
    </row>
    <row r="632" spans="1:11">
      <c r="A632" s="8">
        <f t="shared" si="9"/>
        <v>630</v>
      </c>
      <c r="B632" s="8" t="s">
        <v>1581</v>
      </c>
      <c r="C632" s="8" t="s">
        <v>773</v>
      </c>
      <c r="D632" s="34" t="s">
        <v>1716</v>
      </c>
      <c r="E632" s="29" t="s">
        <v>1733</v>
      </c>
      <c r="F632" s="27"/>
      <c r="G632" s="70">
        <v>46722</v>
      </c>
      <c r="H632" s="69">
        <v>1</v>
      </c>
      <c r="I632" s="8" t="s">
        <v>1646</v>
      </c>
      <c r="J632" s="28" t="s">
        <v>1591</v>
      </c>
      <c r="K632" s="36" t="s">
        <v>1586</v>
      </c>
    </row>
    <row r="633" spans="1:11">
      <c r="A633" s="8">
        <f t="shared" si="9"/>
        <v>631</v>
      </c>
      <c r="B633" s="8" t="s">
        <v>1581</v>
      </c>
      <c r="C633" s="8" t="s">
        <v>773</v>
      </c>
      <c r="D633" s="99" t="s">
        <v>1734</v>
      </c>
      <c r="E633" s="53" t="s">
        <v>1735</v>
      </c>
      <c r="F633" s="8"/>
      <c r="G633" s="70">
        <v>46722</v>
      </c>
      <c r="H633" s="67">
        <v>0</v>
      </c>
      <c r="I633" s="8" t="s">
        <v>1736</v>
      </c>
      <c r="J633" s="100" t="s">
        <v>1591</v>
      </c>
      <c r="K633" s="101" t="s">
        <v>1586</v>
      </c>
    </row>
    <row r="634" spans="1:11">
      <c r="A634" s="8">
        <f t="shared" si="9"/>
        <v>632</v>
      </c>
      <c r="B634" s="8" t="s">
        <v>1581</v>
      </c>
      <c r="C634" s="8" t="s">
        <v>773</v>
      </c>
      <c r="D634" s="34" t="s">
        <v>1737</v>
      </c>
      <c r="E634" s="29" t="s">
        <v>1738</v>
      </c>
      <c r="F634" s="27"/>
      <c r="G634" s="70">
        <v>46722</v>
      </c>
      <c r="H634" s="69">
        <v>1</v>
      </c>
      <c r="I634" s="8" t="s">
        <v>1646</v>
      </c>
      <c r="J634" s="35" t="s">
        <v>1591</v>
      </c>
      <c r="K634" s="35"/>
    </row>
    <row r="635" spans="1:11">
      <c r="A635" s="8">
        <f t="shared" si="9"/>
        <v>633</v>
      </c>
      <c r="B635" s="8" t="s">
        <v>1581</v>
      </c>
      <c r="C635" s="8" t="s">
        <v>773</v>
      </c>
      <c r="D635" s="99" t="s">
        <v>1739</v>
      </c>
      <c r="E635" s="53" t="s">
        <v>1740</v>
      </c>
      <c r="F635" s="8"/>
      <c r="G635" s="70">
        <v>46722</v>
      </c>
      <c r="H635" s="67">
        <v>0.95</v>
      </c>
      <c r="I635" s="8"/>
      <c r="J635" s="100" t="s">
        <v>670</v>
      </c>
      <c r="K635" s="101" t="s">
        <v>1586</v>
      </c>
    </row>
    <row r="636" spans="1:11">
      <c r="A636" s="57">
        <f t="shared" si="9"/>
        <v>634</v>
      </c>
      <c r="B636" s="57" t="s">
        <v>1581</v>
      </c>
      <c r="C636" s="57" t="s">
        <v>538</v>
      </c>
      <c r="D636" s="102" t="s">
        <v>1741</v>
      </c>
      <c r="E636" s="91" t="s">
        <v>1742</v>
      </c>
      <c r="F636" s="57"/>
      <c r="G636" s="60" t="s">
        <v>394</v>
      </c>
      <c r="H636" s="61">
        <v>1</v>
      </c>
      <c r="I636" s="57"/>
      <c r="J636" s="103" t="s">
        <v>1591</v>
      </c>
      <c r="K636" s="104" t="s">
        <v>1586</v>
      </c>
    </row>
    <row r="637" spans="1:11">
      <c r="A637" s="57">
        <f t="shared" si="9"/>
        <v>635</v>
      </c>
      <c r="B637" s="57" t="s">
        <v>1581</v>
      </c>
      <c r="C637" s="57" t="s">
        <v>538</v>
      </c>
      <c r="D637" s="102" t="s">
        <v>1743</v>
      </c>
      <c r="E637" s="91" t="s">
        <v>1744</v>
      </c>
      <c r="F637" s="57"/>
      <c r="G637" s="60" t="s">
        <v>394</v>
      </c>
      <c r="H637" s="61">
        <v>1</v>
      </c>
      <c r="I637" s="57"/>
      <c r="J637" s="103" t="s">
        <v>1591</v>
      </c>
      <c r="K637" s="104" t="s">
        <v>1586</v>
      </c>
    </row>
    <row r="638" spans="1:11">
      <c r="A638" s="57">
        <f t="shared" si="9"/>
        <v>636</v>
      </c>
      <c r="B638" s="57" t="s">
        <v>1581</v>
      </c>
      <c r="C638" s="57" t="s">
        <v>455</v>
      </c>
      <c r="D638" s="102" t="s">
        <v>1745</v>
      </c>
      <c r="E638" s="91" t="s">
        <v>1746</v>
      </c>
      <c r="F638" s="57"/>
      <c r="G638" s="60" t="s">
        <v>394</v>
      </c>
      <c r="H638" s="61">
        <v>1</v>
      </c>
      <c r="I638" s="57" t="s">
        <v>948</v>
      </c>
      <c r="J638" s="58" t="s">
        <v>441</v>
      </c>
      <c r="K638" s="58"/>
    </row>
    <row r="639" spans="1:11">
      <c r="A639" s="57">
        <f t="shared" si="9"/>
        <v>637</v>
      </c>
      <c r="B639" s="57" t="s">
        <v>1747</v>
      </c>
      <c r="C639" s="57" t="s">
        <v>463</v>
      </c>
      <c r="D639" s="58" t="s">
        <v>1748</v>
      </c>
      <c r="E639" s="91" t="s">
        <v>1749</v>
      </c>
      <c r="F639" s="57"/>
      <c r="G639" s="68" t="s">
        <v>394</v>
      </c>
      <c r="H639" s="61">
        <v>1</v>
      </c>
      <c r="I639" s="86" t="s">
        <v>1750</v>
      </c>
      <c r="J639" s="58" t="s">
        <v>944</v>
      </c>
      <c r="K639" s="58" t="s">
        <v>470</v>
      </c>
    </row>
    <row r="640" spans="1:11">
      <c r="A640" s="57">
        <f t="shared" si="9"/>
        <v>638</v>
      </c>
      <c r="B640" s="57" t="s">
        <v>1747</v>
      </c>
      <c r="C640" s="57" t="s">
        <v>382</v>
      </c>
      <c r="D640" s="58" t="s">
        <v>1751</v>
      </c>
      <c r="E640" s="91" t="s">
        <v>1752</v>
      </c>
      <c r="F640" s="57"/>
      <c r="G640" s="60" t="s">
        <v>394</v>
      </c>
      <c r="H640" s="61">
        <v>1</v>
      </c>
      <c r="I640" s="88"/>
      <c r="J640" s="58" t="s">
        <v>386</v>
      </c>
      <c r="K640" s="58" t="s">
        <v>469</v>
      </c>
    </row>
    <row r="641" spans="1:11">
      <c r="A641" s="57">
        <f t="shared" si="9"/>
        <v>639</v>
      </c>
      <c r="B641" s="57" t="s">
        <v>1747</v>
      </c>
      <c r="C641" s="57" t="s">
        <v>382</v>
      </c>
      <c r="D641" s="58" t="s">
        <v>1753</v>
      </c>
      <c r="E641" s="91" t="s">
        <v>1754</v>
      </c>
      <c r="F641" s="57"/>
      <c r="G641" s="60" t="s">
        <v>394</v>
      </c>
      <c r="H641" s="61">
        <v>1</v>
      </c>
      <c r="I641" s="57"/>
      <c r="J641" s="58" t="s">
        <v>1755</v>
      </c>
      <c r="K641" s="58" t="s">
        <v>469</v>
      </c>
    </row>
    <row r="642" spans="1:11">
      <c r="A642" s="57">
        <f t="shared" si="9"/>
        <v>640</v>
      </c>
      <c r="B642" s="57" t="s">
        <v>1747</v>
      </c>
      <c r="C642" s="57" t="s">
        <v>382</v>
      </c>
      <c r="D642" s="58" t="s">
        <v>1756</v>
      </c>
      <c r="E642" s="91" t="s">
        <v>1757</v>
      </c>
      <c r="F642" s="57"/>
      <c r="G642" s="60" t="s">
        <v>394</v>
      </c>
      <c r="H642" s="61">
        <v>1</v>
      </c>
      <c r="I642" s="57"/>
      <c r="J642" s="58" t="s">
        <v>1433</v>
      </c>
      <c r="K642" s="58" t="s">
        <v>868</v>
      </c>
    </row>
    <row r="643" spans="1:11">
      <c r="A643" s="57">
        <f t="shared" si="9"/>
        <v>641</v>
      </c>
      <c r="B643" s="57" t="s">
        <v>1747</v>
      </c>
      <c r="C643" s="57" t="s">
        <v>382</v>
      </c>
      <c r="D643" s="58" t="s">
        <v>1756</v>
      </c>
      <c r="E643" s="91" t="s">
        <v>3571</v>
      </c>
      <c r="F643" s="57" t="s">
        <v>1758</v>
      </c>
      <c r="G643" s="68" t="s">
        <v>394</v>
      </c>
      <c r="H643" s="85">
        <v>1</v>
      </c>
      <c r="I643" s="58"/>
      <c r="J643" s="58" t="s">
        <v>386</v>
      </c>
      <c r="K643" s="58" t="s">
        <v>469</v>
      </c>
    </row>
    <row r="644" spans="1:11">
      <c r="A644" s="57">
        <f t="shared" si="9"/>
        <v>642</v>
      </c>
      <c r="B644" s="57" t="s">
        <v>1747</v>
      </c>
      <c r="C644" s="57" t="s">
        <v>382</v>
      </c>
      <c r="D644" s="58" t="s">
        <v>1759</v>
      </c>
      <c r="E644" s="91" t="s">
        <v>1760</v>
      </c>
      <c r="F644" s="57"/>
      <c r="G644" s="60" t="s">
        <v>394</v>
      </c>
      <c r="H644" s="61">
        <v>1</v>
      </c>
      <c r="I644" s="57"/>
      <c r="J644" s="58" t="s">
        <v>386</v>
      </c>
      <c r="K644" s="58" t="s">
        <v>469</v>
      </c>
    </row>
    <row r="645" spans="1:11">
      <c r="A645" s="57">
        <f t="shared" si="9"/>
        <v>643</v>
      </c>
      <c r="B645" s="57" t="s">
        <v>1747</v>
      </c>
      <c r="C645" s="57" t="s">
        <v>463</v>
      </c>
      <c r="D645" s="58" t="s">
        <v>1761</v>
      </c>
      <c r="E645" s="91" t="s">
        <v>1762</v>
      </c>
      <c r="F645" s="57"/>
      <c r="G645" s="60" t="s">
        <v>394</v>
      </c>
      <c r="H645" s="61">
        <v>1</v>
      </c>
      <c r="I645" s="57"/>
      <c r="J645" s="58" t="s">
        <v>944</v>
      </c>
      <c r="K645" s="58" t="s">
        <v>470</v>
      </c>
    </row>
    <row r="646" spans="1:11">
      <c r="A646" s="8">
        <f t="shared" si="9"/>
        <v>644</v>
      </c>
      <c r="B646" s="8" t="s">
        <v>1747</v>
      </c>
      <c r="C646" s="8" t="s">
        <v>382</v>
      </c>
      <c r="D646" s="16" t="s">
        <v>1763</v>
      </c>
      <c r="E646" s="53" t="s">
        <v>1764</v>
      </c>
      <c r="F646" s="8"/>
      <c r="G646" s="54">
        <v>46143</v>
      </c>
      <c r="H646" s="67">
        <v>1</v>
      </c>
      <c r="I646" s="46" t="s">
        <v>1606</v>
      </c>
      <c r="J646" s="16" t="s">
        <v>944</v>
      </c>
      <c r="K646" s="16" t="s">
        <v>470</v>
      </c>
    </row>
    <row r="647" spans="1:11">
      <c r="A647" s="57">
        <f t="shared" si="9"/>
        <v>645</v>
      </c>
      <c r="B647" s="57" t="s">
        <v>1747</v>
      </c>
      <c r="C647" s="57" t="s">
        <v>463</v>
      </c>
      <c r="D647" s="58" t="s">
        <v>1765</v>
      </c>
      <c r="E647" s="91" t="s">
        <v>1766</v>
      </c>
      <c r="F647" s="57"/>
      <c r="G647" s="60" t="s">
        <v>394</v>
      </c>
      <c r="H647" s="61">
        <v>1</v>
      </c>
      <c r="I647" s="57" t="s">
        <v>948</v>
      </c>
      <c r="J647" s="58" t="s">
        <v>944</v>
      </c>
      <c r="K647" s="58"/>
    </row>
    <row r="648" spans="1:11">
      <c r="A648" s="57">
        <f t="shared" si="9"/>
        <v>646</v>
      </c>
      <c r="B648" s="57" t="s">
        <v>1747</v>
      </c>
      <c r="C648" s="57" t="s">
        <v>382</v>
      </c>
      <c r="D648" s="58" t="s">
        <v>1767</v>
      </c>
      <c r="E648" s="91" t="s">
        <v>1768</v>
      </c>
      <c r="F648" s="57"/>
      <c r="G648" s="60" t="s">
        <v>394</v>
      </c>
      <c r="H648" s="61">
        <v>1</v>
      </c>
      <c r="I648" s="57" t="s">
        <v>948</v>
      </c>
      <c r="J648" s="58" t="s">
        <v>1755</v>
      </c>
      <c r="K648" s="58"/>
    </row>
    <row r="649" spans="1:11">
      <c r="A649" s="57">
        <f t="shared" si="9"/>
        <v>647</v>
      </c>
      <c r="B649" s="57" t="s">
        <v>1747</v>
      </c>
      <c r="C649" s="57" t="s">
        <v>382</v>
      </c>
      <c r="D649" s="58" t="s">
        <v>1769</v>
      </c>
      <c r="E649" s="91" t="s">
        <v>1770</v>
      </c>
      <c r="F649" s="57" t="s">
        <v>1771</v>
      </c>
      <c r="G649" s="68" t="s">
        <v>394</v>
      </c>
      <c r="H649" s="85">
        <v>1</v>
      </c>
      <c r="I649" s="58"/>
      <c r="J649" s="58" t="s">
        <v>386</v>
      </c>
      <c r="K649" s="58" t="s">
        <v>670</v>
      </c>
    </row>
    <row r="650" spans="1:11">
      <c r="A650" s="57">
        <f t="shared" ref="A650:A713" si="10">ROW()-2</f>
        <v>648</v>
      </c>
      <c r="B650" s="57" t="s">
        <v>1747</v>
      </c>
      <c r="C650" s="57" t="s">
        <v>463</v>
      </c>
      <c r="D650" s="58" t="s">
        <v>1772</v>
      </c>
      <c r="E650" s="91" t="s">
        <v>1601</v>
      </c>
      <c r="F650" s="57"/>
      <c r="G650" s="60" t="s">
        <v>394</v>
      </c>
      <c r="H650" s="61">
        <v>1</v>
      </c>
      <c r="I650" s="57" t="s">
        <v>948</v>
      </c>
      <c r="J650" s="58" t="s">
        <v>944</v>
      </c>
      <c r="K650" s="58"/>
    </row>
    <row r="651" spans="1:11">
      <c r="A651" s="57">
        <f t="shared" si="10"/>
        <v>649</v>
      </c>
      <c r="B651" s="57" t="s">
        <v>1747</v>
      </c>
      <c r="C651" s="57" t="s">
        <v>382</v>
      </c>
      <c r="D651" s="58" t="s">
        <v>1773</v>
      </c>
      <c r="E651" s="91" t="s">
        <v>1774</v>
      </c>
      <c r="F651" s="57"/>
      <c r="G651" s="60" t="s">
        <v>451</v>
      </c>
      <c r="H651" s="61">
        <v>1</v>
      </c>
      <c r="I651" s="57"/>
      <c r="J651" s="58" t="s">
        <v>1755</v>
      </c>
      <c r="K651" s="58" t="s">
        <v>469</v>
      </c>
    </row>
    <row r="652" spans="1:11">
      <c r="A652" s="57">
        <f t="shared" si="10"/>
        <v>650</v>
      </c>
      <c r="B652" s="57" t="s">
        <v>1747</v>
      </c>
      <c r="C652" s="57" t="s">
        <v>382</v>
      </c>
      <c r="D652" s="58" t="s">
        <v>1775</v>
      </c>
      <c r="E652" s="91" t="s">
        <v>1776</v>
      </c>
      <c r="F652" s="57"/>
      <c r="G652" s="60" t="s">
        <v>394</v>
      </c>
      <c r="H652" s="61">
        <v>1</v>
      </c>
      <c r="I652" s="88" t="s">
        <v>948</v>
      </c>
      <c r="J652" s="58" t="s">
        <v>868</v>
      </c>
      <c r="K652" s="58"/>
    </row>
    <row r="653" spans="1:11">
      <c r="A653" s="57">
        <f t="shared" si="10"/>
        <v>651</v>
      </c>
      <c r="B653" s="57" t="s">
        <v>1747</v>
      </c>
      <c r="C653" s="57" t="s">
        <v>463</v>
      </c>
      <c r="D653" s="58" t="s">
        <v>1777</v>
      </c>
      <c r="E653" s="91" t="s">
        <v>1778</v>
      </c>
      <c r="F653" s="57"/>
      <c r="G653" s="60" t="s">
        <v>394</v>
      </c>
      <c r="H653" s="61">
        <v>1</v>
      </c>
      <c r="I653" s="57" t="s">
        <v>948</v>
      </c>
      <c r="J653" s="58" t="s">
        <v>944</v>
      </c>
      <c r="K653" s="58"/>
    </row>
    <row r="654" spans="1:11">
      <c r="A654" s="57">
        <f t="shared" si="10"/>
        <v>652</v>
      </c>
      <c r="B654" s="57" t="s">
        <v>1747</v>
      </c>
      <c r="C654" s="57" t="s">
        <v>382</v>
      </c>
      <c r="D654" s="58" t="s">
        <v>1779</v>
      </c>
      <c r="E654" s="91" t="s">
        <v>1780</v>
      </c>
      <c r="F654" s="57"/>
      <c r="G654" s="60" t="s">
        <v>394</v>
      </c>
      <c r="H654" s="61">
        <v>1</v>
      </c>
      <c r="I654" s="88" t="s">
        <v>948</v>
      </c>
      <c r="J654" s="58" t="s">
        <v>868</v>
      </c>
      <c r="K654" s="58"/>
    </row>
    <row r="655" spans="1:11">
      <c r="A655" s="8">
        <f t="shared" si="10"/>
        <v>653</v>
      </c>
      <c r="B655" s="8" t="s">
        <v>1747</v>
      </c>
      <c r="C655" s="8" t="s">
        <v>463</v>
      </c>
      <c r="D655" s="16" t="s">
        <v>1781</v>
      </c>
      <c r="E655" s="53" t="s">
        <v>1782</v>
      </c>
      <c r="F655" s="8"/>
      <c r="G655" s="54">
        <v>46143</v>
      </c>
      <c r="H655" s="67">
        <v>0.98</v>
      </c>
      <c r="I655" s="8"/>
      <c r="J655" s="16" t="s">
        <v>944</v>
      </c>
      <c r="K655" s="16" t="s">
        <v>470</v>
      </c>
    </row>
    <row r="656" spans="1:11">
      <c r="A656" s="57">
        <f t="shared" si="10"/>
        <v>654</v>
      </c>
      <c r="B656" s="57" t="s">
        <v>1747</v>
      </c>
      <c r="C656" s="57" t="s">
        <v>463</v>
      </c>
      <c r="D656" s="58" t="s">
        <v>1783</v>
      </c>
      <c r="E656" s="91" t="s">
        <v>1784</v>
      </c>
      <c r="F656" s="57"/>
      <c r="G656" s="60" t="s">
        <v>394</v>
      </c>
      <c r="H656" s="61">
        <v>1</v>
      </c>
      <c r="I656" s="57"/>
      <c r="J656" s="58" t="s">
        <v>944</v>
      </c>
      <c r="K656" s="58" t="s">
        <v>470</v>
      </c>
    </row>
    <row r="657" spans="1:11">
      <c r="A657" s="57">
        <f t="shared" si="10"/>
        <v>655</v>
      </c>
      <c r="B657" s="57" t="s">
        <v>1747</v>
      </c>
      <c r="C657" s="57" t="s">
        <v>382</v>
      </c>
      <c r="D657" s="58" t="s">
        <v>1785</v>
      </c>
      <c r="E657" s="91" t="s">
        <v>1786</v>
      </c>
      <c r="F657" s="57"/>
      <c r="G657" s="60" t="s">
        <v>394</v>
      </c>
      <c r="H657" s="61">
        <v>1</v>
      </c>
      <c r="I657" s="57"/>
      <c r="J657" s="58" t="s">
        <v>386</v>
      </c>
      <c r="K657" s="58" t="s">
        <v>670</v>
      </c>
    </row>
    <row r="658" spans="1:11">
      <c r="A658" s="57">
        <f t="shared" si="10"/>
        <v>656</v>
      </c>
      <c r="B658" s="57" t="s">
        <v>1747</v>
      </c>
      <c r="C658" s="57" t="s">
        <v>382</v>
      </c>
      <c r="D658" s="58" t="s">
        <v>1787</v>
      </c>
      <c r="E658" s="91" t="s">
        <v>1608</v>
      </c>
      <c r="F658" s="57"/>
      <c r="G658" s="60" t="s">
        <v>394</v>
      </c>
      <c r="H658" s="61">
        <v>1</v>
      </c>
      <c r="I658" s="57"/>
      <c r="J658" s="58" t="s">
        <v>441</v>
      </c>
      <c r="K658" s="58" t="s">
        <v>670</v>
      </c>
    </row>
    <row r="659" spans="1:11">
      <c r="A659" s="57">
        <f t="shared" si="10"/>
        <v>657</v>
      </c>
      <c r="B659" s="57" t="s">
        <v>1747</v>
      </c>
      <c r="C659" s="57" t="s">
        <v>463</v>
      </c>
      <c r="D659" s="58" t="s">
        <v>1788</v>
      </c>
      <c r="E659" s="91" t="s">
        <v>1789</v>
      </c>
      <c r="F659" s="57"/>
      <c r="G659" s="60" t="s">
        <v>394</v>
      </c>
      <c r="H659" s="61">
        <v>1</v>
      </c>
      <c r="I659" s="57"/>
      <c r="J659" s="58" t="s">
        <v>944</v>
      </c>
      <c r="K659" s="58" t="s">
        <v>470</v>
      </c>
    </row>
    <row r="660" spans="1:11">
      <c r="A660" s="57">
        <f t="shared" si="10"/>
        <v>658</v>
      </c>
      <c r="B660" s="57" t="s">
        <v>1747</v>
      </c>
      <c r="C660" s="57" t="s">
        <v>463</v>
      </c>
      <c r="D660" s="58" t="s">
        <v>1790</v>
      </c>
      <c r="E660" s="91" t="s">
        <v>1791</v>
      </c>
      <c r="F660" s="57"/>
      <c r="G660" s="60" t="s">
        <v>451</v>
      </c>
      <c r="H660" s="61">
        <v>1</v>
      </c>
      <c r="I660" s="57"/>
      <c r="J660" s="58" t="s">
        <v>944</v>
      </c>
      <c r="K660" s="58" t="s">
        <v>470</v>
      </c>
    </row>
    <row r="661" spans="1:11">
      <c r="A661" s="57">
        <f t="shared" si="10"/>
        <v>659</v>
      </c>
      <c r="B661" s="57" t="s">
        <v>1747</v>
      </c>
      <c r="C661" s="57" t="s">
        <v>382</v>
      </c>
      <c r="D661" s="58" t="s">
        <v>1792</v>
      </c>
      <c r="E661" s="91" t="s">
        <v>1793</v>
      </c>
      <c r="F661" s="57"/>
      <c r="G661" s="60" t="s">
        <v>394</v>
      </c>
      <c r="H661" s="61">
        <v>1</v>
      </c>
      <c r="I661" s="57"/>
      <c r="J661" s="58" t="s">
        <v>1755</v>
      </c>
      <c r="K661" s="58" t="s">
        <v>469</v>
      </c>
    </row>
    <row r="662" spans="1:11">
      <c r="A662" s="57">
        <f t="shared" si="10"/>
        <v>660</v>
      </c>
      <c r="B662" s="57" t="s">
        <v>1747</v>
      </c>
      <c r="C662" s="57" t="s">
        <v>382</v>
      </c>
      <c r="D662" s="58" t="s">
        <v>1794</v>
      </c>
      <c r="E662" s="91" t="s">
        <v>1795</v>
      </c>
      <c r="F662" s="57"/>
      <c r="G662" s="60" t="s">
        <v>394</v>
      </c>
      <c r="H662" s="61">
        <v>1</v>
      </c>
      <c r="I662" s="57"/>
      <c r="J662" s="58" t="s">
        <v>944</v>
      </c>
      <c r="K662" s="58" t="s">
        <v>470</v>
      </c>
    </row>
    <row r="663" spans="1:11">
      <c r="A663" s="57">
        <f t="shared" si="10"/>
        <v>661</v>
      </c>
      <c r="B663" s="57" t="s">
        <v>1747</v>
      </c>
      <c r="C663" s="57" t="s">
        <v>382</v>
      </c>
      <c r="D663" s="58" t="s">
        <v>1796</v>
      </c>
      <c r="E663" s="91" t="s">
        <v>1797</v>
      </c>
      <c r="F663" s="57"/>
      <c r="G663" s="60" t="s">
        <v>394</v>
      </c>
      <c r="H663" s="61">
        <v>1</v>
      </c>
      <c r="I663" s="57"/>
      <c r="J663" s="58" t="s">
        <v>386</v>
      </c>
      <c r="K663" s="58" t="s">
        <v>469</v>
      </c>
    </row>
    <row r="664" spans="1:11">
      <c r="A664" s="8">
        <f t="shared" si="10"/>
        <v>662</v>
      </c>
      <c r="B664" s="8" t="s">
        <v>1747</v>
      </c>
      <c r="C664" s="8" t="s">
        <v>382</v>
      </c>
      <c r="D664" s="16" t="s">
        <v>1798</v>
      </c>
      <c r="E664" s="53" t="s">
        <v>1799</v>
      </c>
      <c r="F664" s="8"/>
      <c r="G664" s="54">
        <v>46172</v>
      </c>
      <c r="H664" s="67">
        <v>0.997</v>
      </c>
      <c r="I664" s="8"/>
      <c r="J664" s="16" t="s">
        <v>1433</v>
      </c>
      <c r="K664" s="16" t="s">
        <v>868</v>
      </c>
    </row>
    <row r="665" spans="1:11">
      <c r="A665" s="8">
        <f t="shared" si="10"/>
        <v>663</v>
      </c>
      <c r="B665" s="8" t="s">
        <v>1747</v>
      </c>
      <c r="C665" s="8" t="s">
        <v>382</v>
      </c>
      <c r="D665" s="16" t="s">
        <v>1800</v>
      </c>
      <c r="E665" s="53" t="s">
        <v>1801</v>
      </c>
      <c r="F665" s="8"/>
      <c r="G665" s="70">
        <v>46357</v>
      </c>
      <c r="H665" s="67">
        <v>0</v>
      </c>
      <c r="I665" s="8"/>
      <c r="J665" s="16" t="s">
        <v>944</v>
      </c>
      <c r="K665" s="16" t="s">
        <v>470</v>
      </c>
    </row>
    <row r="666" spans="1:11">
      <c r="A666" s="8">
        <f t="shared" si="10"/>
        <v>664</v>
      </c>
      <c r="B666" s="8" t="s">
        <v>1747</v>
      </c>
      <c r="C666" s="8" t="s">
        <v>455</v>
      </c>
      <c r="D666" s="16" t="s">
        <v>1802</v>
      </c>
      <c r="E666" s="53" t="s">
        <v>1803</v>
      </c>
      <c r="F666" s="8" t="s">
        <v>1804</v>
      </c>
      <c r="G666" s="54">
        <v>46172</v>
      </c>
      <c r="H666" s="55">
        <v>0.99</v>
      </c>
      <c r="I666" s="77" t="s">
        <v>1805</v>
      </c>
      <c r="J666" s="16" t="s">
        <v>386</v>
      </c>
      <c r="K666" s="16" t="s">
        <v>670</v>
      </c>
    </row>
    <row r="667" spans="1:11">
      <c r="A667" s="57">
        <f t="shared" si="10"/>
        <v>665</v>
      </c>
      <c r="B667" s="57" t="s">
        <v>1747</v>
      </c>
      <c r="C667" s="57" t="s">
        <v>382</v>
      </c>
      <c r="D667" s="58" t="s">
        <v>1806</v>
      </c>
      <c r="E667" s="91" t="s">
        <v>1807</v>
      </c>
      <c r="F667" s="57"/>
      <c r="G667" s="60" t="s">
        <v>451</v>
      </c>
      <c r="H667" s="61">
        <v>0.99982000000000004</v>
      </c>
      <c r="I667" s="57"/>
      <c r="J667" s="58" t="s">
        <v>1755</v>
      </c>
      <c r="K667" s="58" t="s">
        <v>469</v>
      </c>
    </row>
    <row r="668" spans="1:11">
      <c r="A668" s="8">
        <f t="shared" si="10"/>
        <v>666</v>
      </c>
      <c r="B668" s="8" t="s">
        <v>1747</v>
      </c>
      <c r="C668" s="8" t="s">
        <v>382</v>
      </c>
      <c r="D668" s="16" t="s">
        <v>1808</v>
      </c>
      <c r="E668" s="53" t="s">
        <v>1809</v>
      </c>
      <c r="F668" s="8" t="s">
        <v>1810</v>
      </c>
      <c r="G668" s="54">
        <v>46172</v>
      </c>
      <c r="H668" s="67">
        <v>0.998</v>
      </c>
      <c r="I668" s="77" t="s">
        <v>1805</v>
      </c>
      <c r="J668" s="16" t="s">
        <v>386</v>
      </c>
      <c r="K668" s="16" t="s">
        <v>469</v>
      </c>
    </row>
    <row r="669" spans="1:11">
      <c r="A669" s="8">
        <f t="shared" si="10"/>
        <v>667</v>
      </c>
      <c r="B669" s="8" t="s">
        <v>1747</v>
      </c>
      <c r="C669" s="8" t="s">
        <v>382</v>
      </c>
      <c r="D669" s="16" t="s">
        <v>1811</v>
      </c>
      <c r="E669" s="53" t="s">
        <v>1812</v>
      </c>
      <c r="F669" s="8"/>
      <c r="G669" s="54">
        <v>46172</v>
      </c>
      <c r="H669" s="67">
        <v>0.97499999999999998</v>
      </c>
      <c r="I669" s="8"/>
      <c r="J669" s="16" t="s">
        <v>1433</v>
      </c>
      <c r="K669" s="16" t="s">
        <v>670</v>
      </c>
    </row>
    <row r="670" spans="1:11">
      <c r="A670" s="57">
        <f t="shared" si="10"/>
        <v>668</v>
      </c>
      <c r="B670" s="57" t="s">
        <v>1747</v>
      </c>
      <c r="C670" s="57" t="s">
        <v>463</v>
      </c>
      <c r="D670" s="58" t="s">
        <v>1813</v>
      </c>
      <c r="E670" s="91" t="s">
        <v>1619</v>
      </c>
      <c r="F670" s="57"/>
      <c r="G670" s="60" t="s">
        <v>451</v>
      </c>
      <c r="H670" s="61">
        <v>1</v>
      </c>
      <c r="I670" s="57"/>
      <c r="J670" s="58" t="s">
        <v>1755</v>
      </c>
      <c r="K670" s="58" t="s">
        <v>469</v>
      </c>
    </row>
    <row r="671" spans="1:11">
      <c r="A671" s="57">
        <f t="shared" si="10"/>
        <v>669</v>
      </c>
      <c r="B671" s="57" t="s">
        <v>1747</v>
      </c>
      <c r="C671" s="57" t="s">
        <v>382</v>
      </c>
      <c r="D671" s="58" t="s">
        <v>1814</v>
      </c>
      <c r="E671" s="91" t="s">
        <v>1815</v>
      </c>
      <c r="F671" s="57"/>
      <c r="G671" s="60" t="s">
        <v>394</v>
      </c>
      <c r="H671" s="61">
        <v>1</v>
      </c>
      <c r="I671" s="57"/>
      <c r="J671" s="58" t="s">
        <v>1755</v>
      </c>
      <c r="K671" s="58" t="s">
        <v>469</v>
      </c>
    </row>
    <row r="672" spans="1:11">
      <c r="A672" s="8">
        <f t="shared" si="10"/>
        <v>670</v>
      </c>
      <c r="B672" s="8" t="s">
        <v>1747</v>
      </c>
      <c r="C672" s="8" t="s">
        <v>382</v>
      </c>
      <c r="D672" s="16" t="s">
        <v>1816</v>
      </c>
      <c r="E672" s="53" t="s">
        <v>1817</v>
      </c>
      <c r="F672" s="8"/>
      <c r="G672" s="54">
        <v>46143</v>
      </c>
      <c r="H672" s="67">
        <v>0.998</v>
      </c>
      <c r="I672" s="8"/>
      <c r="J672" s="16" t="s">
        <v>944</v>
      </c>
      <c r="K672" s="16" t="s">
        <v>470</v>
      </c>
    </row>
    <row r="673" spans="1:11">
      <c r="A673" s="57">
        <f t="shared" si="10"/>
        <v>671</v>
      </c>
      <c r="B673" s="57" t="s">
        <v>1747</v>
      </c>
      <c r="C673" s="57" t="s">
        <v>382</v>
      </c>
      <c r="D673" s="58" t="s">
        <v>1818</v>
      </c>
      <c r="E673" s="91" t="s">
        <v>1819</v>
      </c>
      <c r="F673" s="57"/>
      <c r="G673" s="68" t="s">
        <v>394</v>
      </c>
      <c r="H673" s="61">
        <v>1</v>
      </c>
      <c r="I673" s="86"/>
      <c r="J673" s="58" t="s">
        <v>1591</v>
      </c>
      <c r="K673" s="58" t="s">
        <v>868</v>
      </c>
    </row>
    <row r="674" spans="1:11">
      <c r="A674" s="57">
        <f t="shared" si="10"/>
        <v>672</v>
      </c>
      <c r="B674" s="57" t="s">
        <v>1747</v>
      </c>
      <c r="C674" s="57" t="s">
        <v>546</v>
      </c>
      <c r="D674" s="58" t="s">
        <v>1820</v>
      </c>
      <c r="E674" s="91" t="s">
        <v>1821</v>
      </c>
      <c r="F674" s="57"/>
      <c r="G674" s="60" t="s">
        <v>394</v>
      </c>
      <c r="H674" s="61">
        <v>1</v>
      </c>
      <c r="I674" s="57" t="s">
        <v>3572</v>
      </c>
      <c r="J674" s="58" t="s">
        <v>1591</v>
      </c>
      <c r="K674" s="58" t="s">
        <v>868</v>
      </c>
    </row>
    <row r="675" spans="1:11">
      <c r="A675" s="57">
        <f t="shared" si="10"/>
        <v>673</v>
      </c>
      <c r="B675" s="57" t="s">
        <v>1747</v>
      </c>
      <c r="C675" s="57" t="s">
        <v>155</v>
      </c>
      <c r="D675" s="58" t="s">
        <v>1822</v>
      </c>
      <c r="E675" s="91" t="s">
        <v>1823</v>
      </c>
      <c r="F675" s="57"/>
      <c r="G675" s="60" t="s">
        <v>394</v>
      </c>
      <c r="H675" s="61">
        <v>1</v>
      </c>
      <c r="I675" s="57" t="s">
        <v>3572</v>
      </c>
      <c r="J675" s="58" t="s">
        <v>1591</v>
      </c>
      <c r="K675" s="58" t="s">
        <v>868</v>
      </c>
    </row>
    <row r="676" spans="1:11">
      <c r="A676" s="57">
        <f t="shared" si="10"/>
        <v>674</v>
      </c>
      <c r="B676" s="57" t="s">
        <v>1747</v>
      </c>
      <c r="C676" s="57" t="s">
        <v>155</v>
      </c>
      <c r="D676" s="58" t="s">
        <v>1824</v>
      </c>
      <c r="E676" s="91" t="s">
        <v>1825</v>
      </c>
      <c r="F676" s="57"/>
      <c r="G676" s="60" t="s">
        <v>394</v>
      </c>
      <c r="H676" s="61">
        <v>1</v>
      </c>
      <c r="I676" s="57"/>
      <c r="J676" s="58" t="s">
        <v>1591</v>
      </c>
      <c r="K676" s="58" t="s">
        <v>868</v>
      </c>
    </row>
    <row r="677" spans="1:11">
      <c r="A677" s="57">
        <f t="shared" si="10"/>
        <v>675</v>
      </c>
      <c r="B677" s="57" t="s">
        <v>1747</v>
      </c>
      <c r="C677" s="57" t="s">
        <v>155</v>
      </c>
      <c r="D677" s="58" t="s">
        <v>1826</v>
      </c>
      <c r="E677" s="91" t="s">
        <v>1827</v>
      </c>
      <c r="F677" s="57"/>
      <c r="G677" s="60" t="s">
        <v>394</v>
      </c>
      <c r="H677" s="61">
        <v>1</v>
      </c>
      <c r="I677" s="57"/>
      <c r="J677" s="58" t="s">
        <v>1591</v>
      </c>
      <c r="K677" s="58" t="s">
        <v>868</v>
      </c>
    </row>
    <row r="678" spans="1:11">
      <c r="A678" s="57">
        <f t="shared" si="10"/>
        <v>676</v>
      </c>
      <c r="B678" s="57" t="s">
        <v>1747</v>
      </c>
      <c r="C678" s="57" t="s">
        <v>155</v>
      </c>
      <c r="D678" s="58" t="s">
        <v>1828</v>
      </c>
      <c r="E678" s="91" t="s">
        <v>1829</v>
      </c>
      <c r="F678" s="57"/>
      <c r="G678" s="60" t="s">
        <v>394</v>
      </c>
      <c r="H678" s="61">
        <v>1</v>
      </c>
      <c r="I678" s="57"/>
      <c r="J678" s="58" t="s">
        <v>1591</v>
      </c>
      <c r="K678" s="58" t="s">
        <v>868</v>
      </c>
    </row>
    <row r="679" spans="1:11">
      <c r="A679" s="57">
        <f t="shared" si="10"/>
        <v>677</v>
      </c>
      <c r="B679" s="57" t="s">
        <v>1747</v>
      </c>
      <c r="C679" s="57" t="s">
        <v>155</v>
      </c>
      <c r="D679" s="58" t="s">
        <v>1830</v>
      </c>
      <c r="E679" s="91" t="s">
        <v>1831</v>
      </c>
      <c r="F679" s="57"/>
      <c r="G679" s="60" t="s">
        <v>394</v>
      </c>
      <c r="H679" s="61">
        <v>1</v>
      </c>
      <c r="I679" s="57" t="s">
        <v>948</v>
      </c>
      <c r="J679" s="58" t="s">
        <v>1591</v>
      </c>
      <c r="K679" s="58"/>
    </row>
    <row r="680" spans="1:11">
      <c r="A680" s="57">
        <f t="shared" si="10"/>
        <v>678</v>
      </c>
      <c r="B680" s="57" t="s">
        <v>1747</v>
      </c>
      <c r="C680" s="57" t="s">
        <v>155</v>
      </c>
      <c r="D680" s="58" t="s">
        <v>1832</v>
      </c>
      <c r="E680" s="91" t="s">
        <v>578</v>
      </c>
      <c r="F680" s="57"/>
      <c r="G680" s="60" t="s">
        <v>394</v>
      </c>
      <c r="H680" s="61">
        <v>1</v>
      </c>
      <c r="I680" s="57" t="s">
        <v>3572</v>
      </c>
      <c r="J680" s="58" t="s">
        <v>1591</v>
      </c>
      <c r="K680" s="58" t="s">
        <v>868</v>
      </c>
    </row>
    <row r="681" spans="1:11">
      <c r="A681" s="57">
        <f t="shared" si="10"/>
        <v>679</v>
      </c>
      <c r="B681" s="57" t="s">
        <v>1747</v>
      </c>
      <c r="C681" s="57" t="s">
        <v>155</v>
      </c>
      <c r="D681" s="58" t="s">
        <v>1833</v>
      </c>
      <c r="E681" s="91" t="s">
        <v>575</v>
      </c>
      <c r="F681" s="57"/>
      <c r="G681" s="60" t="s">
        <v>394</v>
      </c>
      <c r="H681" s="61">
        <v>1</v>
      </c>
      <c r="I681" s="57" t="s">
        <v>3572</v>
      </c>
      <c r="J681" s="58" t="s">
        <v>1591</v>
      </c>
      <c r="K681" s="58" t="s">
        <v>868</v>
      </c>
    </row>
    <row r="682" spans="1:11">
      <c r="A682" s="57">
        <f t="shared" si="10"/>
        <v>680</v>
      </c>
      <c r="B682" s="57" t="s">
        <v>1747</v>
      </c>
      <c r="C682" s="57" t="s">
        <v>155</v>
      </c>
      <c r="D682" s="58" t="s">
        <v>1834</v>
      </c>
      <c r="E682" s="91" t="s">
        <v>585</v>
      </c>
      <c r="F682" s="57"/>
      <c r="G682" s="68" t="s">
        <v>394</v>
      </c>
      <c r="H682" s="85">
        <v>1</v>
      </c>
      <c r="I682" s="57"/>
      <c r="J682" s="58" t="s">
        <v>386</v>
      </c>
      <c r="K682" s="58" t="s">
        <v>868</v>
      </c>
    </row>
    <row r="683" spans="1:11">
      <c r="A683" s="62">
        <f t="shared" si="10"/>
        <v>681</v>
      </c>
      <c r="B683" s="62" t="s">
        <v>1747</v>
      </c>
      <c r="C683" s="62" t="s">
        <v>155</v>
      </c>
      <c r="D683" s="63" t="s">
        <v>1835</v>
      </c>
      <c r="E683" s="92" t="s">
        <v>1048</v>
      </c>
      <c r="F683" s="62"/>
      <c r="G683" s="105" t="s">
        <v>394</v>
      </c>
      <c r="H683" s="66">
        <v>1</v>
      </c>
      <c r="I683" s="62"/>
      <c r="J683" s="63" t="s">
        <v>1591</v>
      </c>
      <c r="K683" s="63" t="s">
        <v>868</v>
      </c>
    </row>
    <row r="684" spans="1:11">
      <c r="A684" s="57">
        <f t="shared" si="10"/>
        <v>682</v>
      </c>
      <c r="B684" s="57" t="s">
        <v>1747</v>
      </c>
      <c r="C684" s="57" t="s">
        <v>155</v>
      </c>
      <c r="D684" s="58" t="s">
        <v>1836</v>
      </c>
      <c r="E684" s="91" t="s">
        <v>1837</v>
      </c>
      <c r="F684" s="57"/>
      <c r="G684" s="60" t="s">
        <v>451</v>
      </c>
      <c r="H684" s="61">
        <v>1</v>
      </c>
      <c r="I684" s="57"/>
      <c r="J684" s="58" t="s">
        <v>1591</v>
      </c>
      <c r="K684" s="58" t="s">
        <v>868</v>
      </c>
    </row>
    <row r="685" spans="1:11">
      <c r="A685" s="57">
        <f t="shared" si="10"/>
        <v>683</v>
      </c>
      <c r="B685" s="57" t="s">
        <v>1747</v>
      </c>
      <c r="C685" s="57" t="s">
        <v>155</v>
      </c>
      <c r="D685" s="58" t="s">
        <v>1838</v>
      </c>
      <c r="E685" s="91" t="s">
        <v>1839</v>
      </c>
      <c r="F685" s="57"/>
      <c r="G685" s="60" t="s">
        <v>451</v>
      </c>
      <c r="H685" s="106">
        <v>1</v>
      </c>
      <c r="I685" s="57" t="s">
        <v>1840</v>
      </c>
      <c r="J685" s="58" t="s">
        <v>1588</v>
      </c>
      <c r="K685" s="58" t="s">
        <v>868</v>
      </c>
    </row>
    <row r="686" spans="1:11">
      <c r="A686" s="57">
        <f t="shared" si="10"/>
        <v>684</v>
      </c>
      <c r="B686" s="57" t="s">
        <v>1747</v>
      </c>
      <c r="C686" s="57" t="s">
        <v>155</v>
      </c>
      <c r="D686" s="58" t="s">
        <v>1841</v>
      </c>
      <c r="E686" s="91" t="s">
        <v>1842</v>
      </c>
      <c r="F686" s="57"/>
      <c r="G686" s="60" t="s">
        <v>394</v>
      </c>
      <c r="H686" s="61">
        <v>1</v>
      </c>
      <c r="I686" s="57"/>
      <c r="J686" s="58" t="s">
        <v>1588</v>
      </c>
      <c r="K686" s="58" t="s">
        <v>868</v>
      </c>
    </row>
    <row r="687" spans="1:11">
      <c r="A687" s="57">
        <f t="shared" si="10"/>
        <v>685</v>
      </c>
      <c r="B687" s="57" t="s">
        <v>1747</v>
      </c>
      <c r="C687" s="57" t="s">
        <v>155</v>
      </c>
      <c r="D687" s="58" t="s">
        <v>1843</v>
      </c>
      <c r="E687" s="91" t="s">
        <v>1844</v>
      </c>
      <c r="F687" s="57"/>
      <c r="G687" s="60" t="s">
        <v>394</v>
      </c>
      <c r="H687" s="61">
        <v>1</v>
      </c>
      <c r="I687" s="57"/>
      <c r="J687" s="58" t="s">
        <v>1588</v>
      </c>
      <c r="K687" s="58" t="s">
        <v>868</v>
      </c>
    </row>
    <row r="688" spans="1:11">
      <c r="A688" s="62">
        <f t="shared" si="10"/>
        <v>686</v>
      </c>
      <c r="B688" s="62" t="s">
        <v>1747</v>
      </c>
      <c r="C688" s="62" t="s">
        <v>155</v>
      </c>
      <c r="D688" s="63" t="s">
        <v>1845</v>
      </c>
      <c r="E688" s="92" t="s">
        <v>1846</v>
      </c>
      <c r="F688" s="62"/>
      <c r="G688" s="89" t="s">
        <v>394</v>
      </c>
      <c r="H688" s="66">
        <v>1</v>
      </c>
      <c r="I688" s="62"/>
      <c r="J688" s="63" t="s">
        <v>1588</v>
      </c>
      <c r="K688" s="63" t="s">
        <v>868</v>
      </c>
    </row>
    <row r="689" spans="1:11">
      <c r="A689" s="57">
        <f t="shared" si="10"/>
        <v>687</v>
      </c>
      <c r="B689" s="57" t="s">
        <v>1747</v>
      </c>
      <c r="C689" s="57" t="s">
        <v>155</v>
      </c>
      <c r="D689" s="58" t="s">
        <v>1847</v>
      </c>
      <c r="E689" s="91" t="s">
        <v>632</v>
      </c>
      <c r="F689" s="57"/>
      <c r="G689" s="60" t="s">
        <v>394</v>
      </c>
      <c r="H689" s="61">
        <v>1</v>
      </c>
      <c r="I689" s="57"/>
      <c r="J689" s="58" t="s">
        <v>386</v>
      </c>
      <c r="K689" s="58" t="s">
        <v>670</v>
      </c>
    </row>
    <row r="690" spans="1:11">
      <c r="A690" s="57">
        <f t="shared" si="10"/>
        <v>688</v>
      </c>
      <c r="B690" s="57" t="s">
        <v>1747</v>
      </c>
      <c r="C690" s="57" t="s">
        <v>155</v>
      </c>
      <c r="D690" s="58" t="s">
        <v>1848</v>
      </c>
      <c r="E690" s="91" t="s">
        <v>1849</v>
      </c>
      <c r="F690" s="57"/>
      <c r="G690" s="60" t="s">
        <v>394</v>
      </c>
      <c r="H690" s="61">
        <v>1</v>
      </c>
      <c r="I690" s="57"/>
      <c r="J690" s="58" t="s">
        <v>386</v>
      </c>
      <c r="K690" s="58" t="s">
        <v>670</v>
      </c>
    </row>
    <row r="691" spans="1:11">
      <c r="A691" s="57">
        <f t="shared" si="10"/>
        <v>689</v>
      </c>
      <c r="B691" s="57" t="s">
        <v>1747</v>
      </c>
      <c r="C691" s="57" t="s">
        <v>155</v>
      </c>
      <c r="D691" s="58" t="s">
        <v>1850</v>
      </c>
      <c r="E691" s="91" t="s">
        <v>1851</v>
      </c>
      <c r="F691" s="57"/>
      <c r="G691" s="68" t="s">
        <v>394</v>
      </c>
      <c r="H691" s="85">
        <v>1</v>
      </c>
      <c r="I691" s="57"/>
      <c r="J691" s="58" t="s">
        <v>386</v>
      </c>
      <c r="K691" s="58" t="s">
        <v>670</v>
      </c>
    </row>
    <row r="692" spans="1:11">
      <c r="A692" s="57">
        <f t="shared" si="10"/>
        <v>690</v>
      </c>
      <c r="B692" s="57" t="s">
        <v>1747</v>
      </c>
      <c r="C692" s="57" t="s">
        <v>155</v>
      </c>
      <c r="D692" s="58" t="s">
        <v>1852</v>
      </c>
      <c r="E692" s="91" t="s">
        <v>1675</v>
      </c>
      <c r="F692" s="57"/>
      <c r="G692" s="68" t="s">
        <v>394</v>
      </c>
      <c r="H692" s="85">
        <v>1</v>
      </c>
      <c r="I692" s="57"/>
      <c r="J692" s="58" t="s">
        <v>386</v>
      </c>
      <c r="K692" s="58" t="s">
        <v>670</v>
      </c>
    </row>
    <row r="693" spans="1:11">
      <c r="A693" s="57">
        <f t="shared" si="10"/>
        <v>691</v>
      </c>
      <c r="B693" s="57" t="s">
        <v>1747</v>
      </c>
      <c r="C693" s="57" t="s">
        <v>155</v>
      </c>
      <c r="D693" s="58" t="s">
        <v>1853</v>
      </c>
      <c r="E693" s="91" t="s">
        <v>1854</v>
      </c>
      <c r="F693" s="57"/>
      <c r="G693" s="60" t="s">
        <v>394</v>
      </c>
      <c r="H693" s="61">
        <v>1</v>
      </c>
      <c r="I693" s="57" t="s">
        <v>948</v>
      </c>
      <c r="J693" s="58" t="s">
        <v>1591</v>
      </c>
      <c r="K693" s="58"/>
    </row>
    <row r="694" spans="1:11">
      <c r="A694" s="57">
        <f t="shared" si="10"/>
        <v>692</v>
      </c>
      <c r="B694" s="57" t="s">
        <v>1747</v>
      </c>
      <c r="C694" s="57" t="s">
        <v>155</v>
      </c>
      <c r="D694" s="58" t="s">
        <v>1855</v>
      </c>
      <c r="E694" s="91" t="s">
        <v>1856</v>
      </c>
      <c r="F694" s="57"/>
      <c r="G694" s="60" t="s">
        <v>394</v>
      </c>
      <c r="H694" s="61">
        <v>1</v>
      </c>
      <c r="I694" s="57" t="s">
        <v>948</v>
      </c>
      <c r="J694" s="58" t="s">
        <v>1591</v>
      </c>
      <c r="K694" s="58"/>
    </row>
    <row r="695" spans="1:11">
      <c r="A695" s="57">
        <f t="shared" si="10"/>
        <v>693</v>
      </c>
      <c r="B695" s="57" t="s">
        <v>1747</v>
      </c>
      <c r="C695" s="57" t="s">
        <v>155</v>
      </c>
      <c r="D695" s="58" t="s">
        <v>1857</v>
      </c>
      <c r="E695" s="91" t="s">
        <v>1858</v>
      </c>
      <c r="F695" s="57"/>
      <c r="G695" s="60" t="s">
        <v>394</v>
      </c>
      <c r="H695" s="61">
        <v>1</v>
      </c>
      <c r="I695" s="57" t="s">
        <v>948</v>
      </c>
      <c r="J695" s="58" t="s">
        <v>1591</v>
      </c>
      <c r="K695" s="58"/>
    </row>
    <row r="696" spans="1:11">
      <c r="A696" s="57">
        <f t="shared" si="10"/>
        <v>694</v>
      </c>
      <c r="B696" s="57" t="s">
        <v>1747</v>
      </c>
      <c r="C696" s="57" t="s">
        <v>155</v>
      </c>
      <c r="D696" s="58" t="s">
        <v>1859</v>
      </c>
      <c r="E696" s="91" t="s">
        <v>1860</v>
      </c>
      <c r="F696" s="57"/>
      <c r="G696" s="60" t="s">
        <v>394</v>
      </c>
      <c r="H696" s="61">
        <v>1</v>
      </c>
      <c r="I696" s="57"/>
      <c r="J696" s="58" t="s">
        <v>1591</v>
      </c>
      <c r="K696" s="58" t="s">
        <v>868</v>
      </c>
    </row>
    <row r="697" spans="1:11">
      <c r="A697" s="57">
        <f t="shared" si="10"/>
        <v>695</v>
      </c>
      <c r="B697" s="57" t="s">
        <v>1747</v>
      </c>
      <c r="C697" s="57" t="s">
        <v>1861</v>
      </c>
      <c r="D697" s="58" t="s">
        <v>1862</v>
      </c>
      <c r="E697" s="91" t="s">
        <v>1863</v>
      </c>
      <c r="F697" s="57" t="s">
        <v>534</v>
      </c>
      <c r="G697" s="60" t="s">
        <v>394</v>
      </c>
      <c r="H697" s="61">
        <v>1</v>
      </c>
      <c r="I697" s="57"/>
      <c r="J697" s="58" t="s">
        <v>670</v>
      </c>
      <c r="K697" s="58" t="s">
        <v>683</v>
      </c>
    </row>
    <row r="698" spans="1:11">
      <c r="A698" s="62">
        <f t="shared" si="10"/>
        <v>696</v>
      </c>
      <c r="B698" s="62" t="s">
        <v>1747</v>
      </c>
      <c r="C698" s="62" t="s">
        <v>1861</v>
      </c>
      <c r="D698" s="63" t="s">
        <v>1864</v>
      </c>
      <c r="E698" s="92" t="s">
        <v>1865</v>
      </c>
      <c r="F698" s="62" t="s">
        <v>1866</v>
      </c>
      <c r="G698" s="89" t="s">
        <v>394</v>
      </c>
      <c r="H698" s="66">
        <v>1</v>
      </c>
      <c r="I698" s="62"/>
      <c r="J698" s="63" t="s">
        <v>670</v>
      </c>
      <c r="K698" s="63" t="s">
        <v>683</v>
      </c>
    </row>
    <row r="699" spans="1:11">
      <c r="A699" s="57">
        <f t="shared" si="10"/>
        <v>697</v>
      </c>
      <c r="B699" s="57" t="s">
        <v>1747</v>
      </c>
      <c r="C699" s="57" t="s">
        <v>1861</v>
      </c>
      <c r="D699" s="58" t="s">
        <v>1867</v>
      </c>
      <c r="E699" s="91" t="s">
        <v>1868</v>
      </c>
      <c r="F699" s="57" t="s">
        <v>1866</v>
      </c>
      <c r="G699" s="60" t="s">
        <v>394</v>
      </c>
      <c r="H699" s="61">
        <v>1</v>
      </c>
      <c r="I699" s="57"/>
      <c r="J699" s="58" t="s">
        <v>670</v>
      </c>
      <c r="K699" s="58"/>
    </row>
    <row r="700" spans="1:11">
      <c r="A700" s="57">
        <f t="shared" si="10"/>
        <v>698</v>
      </c>
      <c r="B700" s="57" t="s">
        <v>1747</v>
      </c>
      <c r="C700" s="57" t="s">
        <v>1861</v>
      </c>
      <c r="D700" s="58" t="s">
        <v>1869</v>
      </c>
      <c r="E700" s="91" t="s">
        <v>1870</v>
      </c>
      <c r="F700" s="57" t="s">
        <v>1866</v>
      </c>
      <c r="G700" s="60" t="s">
        <v>394</v>
      </c>
      <c r="H700" s="61">
        <v>1</v>
      </c>
      <c r="I700" s="57"/>
      <c r="J700" s="58" t="s">
        <v>670</v>
      </c>
      <c r="K700" s="58"/>
    </row>
    <row r="701" spans="1:11">
      <c r="A701" s="57">
        <f t="shared" si="10"/>
        <v>699</v>
      </c>
      <c r="B701" s="57" t="s">
        <v>1747</v>
      </c>
      <c r="C701" s="57" t="s">
        <v>1861</v>
      </c>
      <c r="D701" s="58" t="s">
        <v>1871</v>
      </c>
      <c r="E701" s="91" t="s">
        <v>1725</v>
      </c>
      <c r="F701" s="57"/>
      <c r="G701" s="60" t="s">
        <v>394</v>
      </c>
      <c r="H701" s="61">
        <v>1</v>
      </c>
      <c r="I701" s="57"/>
      <c r="J701" s="58" t="s">
        <v>1588</v>
      </c>
      <c r="K701" s="58" t="s">
        <v>868</v>
      </c>
    </row>
    <row r="702" spans="1:11">
      <c r="A702" s="57">
        <f t="shared" si="10"/>
        <v>700</v>
      </c>
      <c r="B702" s="57" t="s">
        <v>1747</v>
      </c>
      <c r="C702" s="57" t="s">
        <v>1861</v>
      </c>
      <c r="D702" s="58" t="s">
        <v>1872</v>
      </c>
      <c r="E702" s="91" t="s">
        <v>1873</v>
      </c>
      <c r="F702" s="57" t="s">
        <v>1874</v>
      </c>
      <c r="G702" s="60" t="s">
        <v>394</v>
      </c>
      <c r="H702" s="61">
        <v>1</v>
      </c>
      <c r="I702" s="57"/>
      <c r="J702" s="58" t="s">
        <v>670</v>
      </c>
      <c r="K702" s="58"/>
    </row>
    <row r="703" spans="1:11">
      <c r="A703" s="57">
        <f t="shared" si="10"/>
        <v>701</v>
      </c>
      <c r="B703" s="57" t="s">
        <v>1747</v>
      </c>
      <c r="C703" s="57" t="s">
        <v>1861</v>
      </c>
      <c r="D703" s="58" t="s">
        <v>1875</v>
      </c>
      <c r="E703" s="91" t="s">
        <v>1732</v>
      </c>
      <c r="F703" s="57" t="s">
        <v>1876</v>
      </c>
      <c r="G703" s="60" t="s">
        <v>394</v>
      </c>
      <c r="H703" s="61">
        <v>1</v>
      </c>
      <c r="I703" s="57"/>
      <c r="J703" s="58" t="s">
        <v>670</v>
      </c>
      <c r="K703" s="58"/>
    </row>
    <row r="704" spans="1:11">
      <c r="A704" s="57">
        <f t="shared" si="10"/>
        <v>702</v>
      </c>
      <c r="B704" s="57" t="s">
        <v>1747</v>
      </c>
      <c r="C704" s="57" t="s">
        <v>1861</v>
      </c>
      <c r="D704" s="58" t="s">
        <v>1877</v>
      </c>
      <c r="E704" s="91" t="s">
        <v>1878</v>
      </c>
      <c r="F704" s="57" t="s">
        <v>1879</v>
      </c>
      <c r="G704" s="60" t="s">
        <v>394</v>
      </c>
      <c r="H704" s="61">
        <v>1</v>
      </c>
      <c r="I704" s="57"/>
      <c r="J704" s="58" t="s">
        <v>670</v>
      </c>
      <c r="K704" s="58" t="s">
        <v>683</v>
      </c>
    </row>
    <row r="705" spans="1:11">
      <c r="A705" s="57">
        <f t="shared" si="10"/>
        <v>703</v>
      </c>
      <c r="B705" s="57" t="s">
        <v>1747</v>
      </c>
      <c r="C705" s="57" t="s">
        <v>1861</v>
      </c>
      <c r="D705" s="58" t="s">
        <v>1880</v>
      </c>
      <c r="E705" s="91" t="s">
        <v>1727</v>
      </c>
      <c r="F705" s="57" t="s">
        <v>1881</v>
      </c>
      <c r="G705" s="60" t="s">
        <v>394</v>
      </c>
      <c r="H705" s="61">
        <v>1</v>
      </c>
      <c r="I705" s="57"/>
      <c r="J705" s="58" t="s">
        <v>670</v>
      </c>
      <c r="K705" s="58" t="s">
        <v>683</v>
      </c>
    </row>
    <row r="706" spans="1:11">
      <c r="A706" s="57">
        <f t="shared" si="10"/>
        <v>704</v>
      </c>
      <c r="B706" s="57" t="s">
        <v>1747</v>
      </c>
      <c r="C706" s="57" t="s">
        <v>1861</v>
      </c>
      <c r="D706" s="58" t="s">
        <v>1882</v>
      </c>
      <c r="E706" s="91" t="s">
        <v>1883</v>
      </c>
      <c r="F706" s="57"/>
      <c r="G706" s="60" t="s">
        <v>394</v>
      </c>
      <c r="H706" s="61">
        <v>1</v>
      </c>
      <c r="I706" s="57" t="s">
        <v>948</v>
      </c>
      <c r="J706" s="58" t="s">
        <v>1588</v>
      </c>
      <c r="K706" s="58"/>
    </row>
    <row r="707" spans="1:11">
      <c r="A707" s="57">
        <f t="shared" si="10"/>
        <v>705</v>
      </c>
      <c r="B707" s="57" t="s">
        <v>1747</v>
      </c>
      <c r="C707" s="57" t="s">
        <v>1861</v>
      </c>
      <c r="D707" s="58" t="s">
        <v>1884</v>
      </c>
      <c r="E707" s="91" t="s">
        <v>1885</v>
      </c>
      <c r="F707" s="57"/>
      <c r="G707" s="60" t="s">
        <v>394</v>
      </c>
      <c r="H707" s="61">
        <v>1</v>
      </c>
      <c r="I707" s="57" t="s">
        <v>948</v>
      </c>
      <c r="J707" s="58" t="s">
        <v>1588</v>
      </c>
      <c r="K707" s="58"/>
    </row>
    <row r="708" spans="1:11">
      <c r="A708" s="57">
        <f t="shared" si="10"/>
        <v>706</v>
      </c>
      <c r="B708" s="57" t="s">
        <v>1747</v>
      </c>
      <c r="C708" s="57" t="s">
        <v>1861</v>
      </c>
      <c r="D708" s="58" t="s">
        <v>1886</v>
      </c>
      <c r="E708" s="91" t="s">
        <v>1887</v>
      </c>
      <c r="F708" s="57" t="s">
        <v>534</v>
      </c>
      <c r="G708" s="60" t="s">
        <v>394</v>
      </c>
      <c r="H708" s="61">
        <v>1</v>
      </c>
      <c r="I708" s="57"/>
      <c r="J708" s="58" t="s">
        <v>670</v>
      </c>
      <c r="K708" s="58" t="s">
        <v>683</v>
      </c>
    </row>
    <row r="709" spans="1:11">
      <c r="A709" s="57">
        <f t="shared" si="10"/>
        <v>707</v>
      </c>
      <c r="B709" s="57" t="s">
        <v>1747</v>
      </c>
      <c r="C709" s="57" t="s">
        <v>1861</v>
      </c>
      <c r="D709" s="58" t="s">
        <v>1888</v>
      </c>
      <c r="E709" s="91" t="s">
        <v>1889</v>
      </c>
      <c r="F709" s="57"/>
      <c r="G709" s="68" t="s">
        <v>394</v>
      </c>
      <c r="H709" s="85">
        <v>1</v>
      </c>
      <c r="I709" s="57"/>
      <c r="J709" s="58" t="s">
        <v>887</v>
      </c>
      <c r="K709" s="58" t="s">
        <v>670</v>
      </c>
    </row>
    <row r="710" spans="1:11">
      <c r="A710" s="57">
        <f t="shared" si="10"/>
        <v>708</v>
      </c>
      <c r="B710" s="57" t="s">
        <v>1747</v>
      </c>
      <c r="C710" s="57" t="s">
        <v>1861</v>
      </c>
      <c r="D710" s="58" t="s">
        <v>1890</v>
      </c>
      <c r="E710" s="91" t="s">
        <v>1891</v>
      </c>
      <c r="F710" s="57"/>
      <c r="G710" s="68" t="s">
        <v>394</v>
      </c>
      <c r="H710" s="85">
        <v>1</v>
      </c>
      <c r="I710" s="57"/>
      <c r="J710" s="58" t="s">
        <v>887</v>
      </c>
      <c r="K710" s="58" t="s">
        <v>670</v>
      </c>
    </row>
    <row r="711" spans="1:11">
      <c r="A711" s="57">
        <f t="shared" si="10"/>
        <v>709</v>
      </c>
      <c r="B711" s="57" t="s">
        <v>1747</v>
      </c>
      <c r="C711" s="57" t="s">
        <v>1861</v>
      </c>
      <c r="D711" s="58" t="s">
        <v>1892</v>
      </c>
      <c r="E711" s="91" t="s">
        <v>1893</v>
      </c>
      <c r="F711" s="57"/>
      <c r="G711" s="68" t="s">
        <v>394</v>
      </c>
      <c r="H711" s="85">
        <v>1</v>
      </c>
      <c r="I711" s="57" t="s">
        <v>948</v>
      </c>
      <c r="J711" s="58" t="s">
        <v>887</v>
      </c>
      <c r="K711" s="58" t="s">
        <v>670</v>
      </c>
    </row>
    <row r="712" spans="1:11">
      <c r="A712" s="57">
        <f t="shared" si="10"/>
        <v>710</v>
      </c>
      <c r="B712" s="57" t="s">
        <v>1747</v>
      </c>
      <c r="C712" s="57" t="s">
        <v>1861</v>
      </c>
      <c r="D712" s="58" t="s">
        <v>1894</v>
      </c>
      <c r="E712" s="91" t="s">
        <v>1895</v>
      </c>
      <c r="F712" s="57"/>
      <c r="G712" s="60" t="s">
        <v>394</v>
      </c>
      <c r="H712" s="61">
        <v>1</v>
      </c>
      <c r="I712" s="57" t="s">
        <v>948</v>
      </c>
      <c r="J712" s="58" t="s">
        <v>1591</v>
      </c>
      <c r="K712" s="58"/>
    </row>
    <row r="713" spans="1:11">
      <c r="A713" s="57">
        <f t="shared" si="10"/>
        <v>711</v>
      </c>
      <c r="B713" s="57" t="s">
        <v>1747</v>
      </c>
      <c r="C713" s="57" t="s">
        <v>1861</v>
      </c>
      <c r="D713" s="58" t="s">
        <v>1896</v>
      </c>
      <c r="E713" s="91" t="s">
        <v>1897</v>
      </c>
      <c r="F713" s="57"/>
      <c r="G713" s="60" t="s">
        <v>394</v>
      </c>
      <c r="H713" s="61">
        <v>1</v>
      </c>
      <c r="I713" s="57"/>
      <c r="J713" s="58" t="s">
        <v>1591</v>
      </c>
      <c r="K713" s="58" t="s">
        <v>868</v>
      </c>
    </row>
    <row r="714" spans="1:11">
      <c r="A714" s="57">
        <f t="shared" ref="A714:A777" si="11">ROW()-2</f>
        <v>712</v>
      </c>
      <c r="B714" s="57" t="s">
        <v>1747</v>
      </c>
      <c r="C714" s="57" t="s">
        <v>1861</v>
      </c>
      <c r="D714" s="58" t="s">
        <v>1898</v>
      </c>
      <c r="E714" s="91" t="s">
        <v>1899</v>
      </c>
      <c r="F714" s="57"/>
      <c r="G714" s="60" t="s">
        <v>394</v>
      </c>
      <c r="H714" s="61">
        <v>1</v>
      </c>
      <c r="I714" s="57" t="s">
        <v>948</v>
      </c>
      <c r="J714" s="58" t="s">
        <v>1588</v>
      </c>
      <c r="K714" s="58"/>
    </row>
    <row r="715" spans="1:11">
      <c r="A715" s="57">
        <f t="shared" si="11"/>
        <v>713</v>
      </c>
      <c r="B715" s="57" t="s">
        <v>1747</v>
      </c>
      <c r="C715" s="57" t="s">
        <v>219</v>
      </c>
      <c r="D715" s="58" t="s">
        <v>1900</v>
      </c>
      <c r="E715" s="91" t="s">
        <v>1901</v>
      </c>
      <c r="F715" s="57" t="s">
        <v>1866</v>
      </c>
      <c r="G715" s="60" t="s">
        <v>394</v>
      </c>
      <c r="H715" s="61">
        <v>1</v>
      </c>
      <c r="I715" s="57"/>
      <c r="J715" s="58" t="s">
        <v>670</v>
      </c>
      <c r="K715" s="58" t="s">
        <v>683</v>
      </c>
    </row>
    <row r="716" spans="1:11">
      <c r="A716" s="57">
        <f t="shared" si="11"/>
        <v>714</v>
      </c>
      <c r="B716" s="57" t="s">
        <v>1747</v>
      </c>
      <c r="C716" s="57" t="s">
        <v>219</v>
      </c>
      <c r="D716" s="58" t="s">
        <v>1902</v>
      </c>
      <c r="E716" s="91" t="s">
        <v>1903</v>
      </c>
      <c r="F716" s="57" t="s">
        <v>1904</v>
      </c>
      <c r="G716" s="60" t="s">
        <v>394</v>
      </c>
      <c r="H716" s="61">
        <v>1</v>
      </c>
      <c r="I716" s="57"/>
      <c r="J716" s="58" t="s">
        <v>670</v>
      </c>
      <c r="K716" s="58" t="s">
        <v>683</v>
      </c>
    </row>
    <row r="717" spans="1:11">
      <c r="A717" s="57">
        <f t="shared" si="11"/>
        <v>715</v>
      </c>
      <c r="B717" s="57" t="s">
        <v>1747</v>
      </c>
      <c r="C717" s="57" t="s">
        <v>219</v>
      </c>
      <c r="D717" s="58" t="s">
        <v>1905</v>
      </c>
      <c r="E717" s="91" t="s">
        <v>1906</v>
      </c>
      <c r="F717" s="57" t="s">
        <v>1316</v>
      </c>
      <c r="G717" s="60" t="s">
        <v>394</v>
      </c>
      <c r="H717" s="61">
        <v>1</v>
      </c>
      <c r="I717" s="57"/>
      <c r="J717" s="58" t="s">
        <v>670</v>
      </c>
      <c r="K717" s="58" t="s">
        <v>683</v>
      </c>
    </row>
    <row r="718" spans="1:11">
      <c r="A718" s="57">
        <f t="shared" si="11"/>
        <v>716</v>
      </c>
      <c r="B718" s="57" t="s">
        <v>1747</v>
      </c>
      <c r="C718" s="57" t="s">
        <v>219</v>
      </c>
      <c r="D718" s="58" t="s">
        <v>1907</v>
      </c>
      <c r="E718" s="91" t="s">
        <v>1908</v>
      </c>
      <c r="F718" s="57" t="s">
        <v>1904</v>
      </c>
      <c r="G718" s="60" t="s">
        <v>394</v>
      </c>
      <c r="H718" s="61">
        <v>1</v>
      </c>
      <c r="I718" s="57"/>
      <c r="J718" s="58" t="s">
        <v>670</v>
      </c>
      <c r="K718" s="58" t="s">
        <v>683</v>
      </c>
    </row>
    <row r="719" spans="1:11">
      <c r="A719" s="57">
        <f t="shared" si="11"/>
        <v>717</v>
      </c>
      <c r="B719" s="57" t="s">
        <v>1747</v>
      </c>
      <c r="C719" s="57" t="s">
        <v>219</v>
      </c>
      <c r="D719" s="58" t="s">
        <v>1909</v>
      </c>
      <c r="E719" s="91" t="s">
        <v>1910</v>
      </c>
      <c r="F719" s="57" t="s">
        <v>1911</v>
      </c>
      <c r="G719" s="60" t="s">
        <v>394</v>
      </c>
      <c r="H719" s="61">
        <v>1</v>
      </c>
      <c r="I719" s="57"/>
      <c r="J719" s="58" t="s">
        <v>670</v>
      </c>
      <c r="K719" s="58" t="s">
        <v>683</v>
      </c>
    </row>
    <row r="720" spans="1:11">
      <c r="A720" s="57">
        <f t="shared" si="11"/>
        <v>718</v>
      </c>
      <c r="B720" s="57" t="s">
        <v>1747</v>
      </c>
      <c r="C720" s="57" t="s">
        <v>219</v>
      </c>
      <c r="D720" s="58" t="s">
        <v>1912</v>
      </c>
      <c r="E720" s="91" t="s">
        <v>702</v>
      </c>
      <c r="F720" s="57" t="s">
        <v>1904</v>
      </c>
      <c r="G720" s="60" t="s">
        <v>394</v>
      </c>
      <c r="H720" s="61">
        <v>1</v>
      </c>
      <c r="I720" s="57"/>
      <c r="J720" s="58" t="s">
        <v>670</v>
      </c>
      <c r="K720" s="58" t="s">
        <v>683</v>
      </c>
    </row>
    <row r="721" spans="1:11">
      <c r="A721" s="57">
        <f t="shared" si="11"/>
        <v>719</v>
      </c>
      <c r="B721" s="57" t="s">
        <v>1747</v>
      </c>
      <c r="C721" s="57" t="s">
        <v>219</v>
      </c>
      <c r="D721" s="58" t="s">
        <v>1913</v>
      </c>
      <c r="E721" s="91" t="s">
        <v>1914</v>
      </c>
      <c r="F721" s="57" t="s">
        <v>534</v>
      </c>
      <c r="G721" s="60" t="s">
        <v>394</v>
      </c>
      <c r="H721" s="61">
        <v>1</v>
      </c>
      <c r="I721" s="57"/>
      <c r="J721" s="58" t="s">
        <v>670</v>
      </c>
      <c r="K721" s="58"/>
    </row>
    <row r="722" spans="1:11">
      <c r="A722" s="57">
        <f t="shared" si="11"/>
        <v>720</v>
      </c>
      <c r="B722" s="57" t="s">
        <v>1747</v>
      </c>
      <c r="C722" s="57" t="s">
        <v>219</v>
      </c>
      <c r="D722" s="58" t="s">
        <v>1915</v>
      </c>
      <c r="E722" s="91" t="s">
        <v>1916</v>
      </c>
      <c r="F722" s="57" t="s">
        <v>1917</v>
      </c>
      <c r="G722" s="60" t="s">
        <v>394</v>
      </c>
      <c r="H722" s="61">
        <v>1</v>
      </c>
      <c r="I722" s="57"/>
      <c r="J722" s="58" t="s">
        <v>670</v>
      </c>
      <c r="K722" s="58" t="s">
        <v>683</v>
      </c>
    </row>
    <row r="723" spans="1:11">
      <c r="A723" s="57">
        <f t="shared" si="11"/>
        <v>721</v>
      </c>
      <c r="B723" s="57" t="s">
        <v>1747</v>
      </c>
      <c r="C723" s="57" t="s">
        <v>219</v>
      </c>
      <c r="D723" s="58" t="s">
        <v>1918</v>
      </c>
      <c r="E723" s="91" t="s">
        <v>1919</v>
      </c>
      <c r="F723" s="57" t="s">
        <v>1920</v>
      </c>
      <c r="G723" s="60" t="s">
        <v>394</v>
      </c>
      <c r="H723" s="61">
        <v>1</v>
      </c>
      <c r="I723" s="57"/>
      <c r="J723" s="58" t="s">
        <v>670</v>
      </c>
      <c r="K723" s="58" t="s">
        <v>683</v>
      </c>
    </row>
    <row r="724" spans="1:11">
      <c r="A724" s="57">
        <f t="shared" si="11"/>
        <v>722</v>
      </c>
      <c r="B724" s="57" t="s">
        <v>1747</v>
      </c>
      <c r="C724" s="57" t="s">
        <v>219</v>
      </c>
      <c r="D724" s="58" t="s">
        <v>1921</v>
      </c>
      <c r="E724" s="91" t="s">
        <v>1922</v>
      </c>
      <c r="F724" s="57" t="s">
        <v>689</v>
      </c>
      <c r="G724" s="60" t="s">
        <v>394</v>
      </c>
      <c r="H724" s="61">
        <v>1</v>
      </c>
      <c r="I724" s="57"/>
      <c r="J724" s="58" t="s">
        <v>670</v>
      </c>
      <c r="K724" s="58"/>
    </row>
    <row r="725" spans="1:11">
      <c r="A725" s="57">
        <f t="shared" si="11"/>
        <v>723</v>
      </c>
      <c r="B725" s="57" t="s">
        <v>1747</v>
      </c>
      <c r="C725" s="57" t="s">
        <v>219</v>
      </c>
      <c r="D725" s="58" t="s">
        <v>1923</v>
      </c>
      <c r="E725" s="91" t="s">
        <v>716</v>
      </c>
      <c r="F725" s="57" t="s">
        <v>534</v>
      </c>
      <c r="G725" s="60" t="s">
        <v>394</v>
      </c>
      <c r="H725" s="61">
        <v>1</v>
      </c>
      <c r="I725" s="57"/>
      <c r="J725" s="58" t="s">
        <v>670</v>
      </c>
      <c r="K725" s="58" t="s">
        <v>683</v>
      </c>
    </row>
    <row r="726" spans="1:11" ht="96">
      <c r="A726" s="57">
        <f t="shared" si="11"/>
        <v>724</v>
      </c>
      <c r="B726" s="57" t="s">
        <v>1747</v>
      </c>
      <c r="C726" s="57" t="s">
        <v>219</v>
      </c>
      <c r="D726" s="58" t="s">
        <v>1924</v>
      </c>
      <c r="E726" s="107" t="s">
        <v>3573</v>
      </c>
      <c r="F726" s="57" t="s">
        <v>1925</v>
      </c>
      <c r="G726" s="68" t="s">
        <v>394</v>
      </c>
      <c r="H726" s="85">
        <v>1</v>
      </c>
      <c r="I726" s="86" t="s">
        <v>1926</v>
      </c>
      <c r="J726" s="58" t="s">
        <v>670</v>
      </c>
      <c r="K726" s="58" t="s">
        <v>683</v>
      </c>
    </row>
    <row r="727" spans="1:11">
      <c r="A727" s="8">
        <f t="shared" si="11"/>
        <v>725</v>
      </c>
      <c r="B727" s="8" t="s">
        <v>1747</v>
      </c>
      <c r="C727" s="8" t="s">
        <v>219</v>
      </c>
      <c r="D727" s="16" t="s">
        <v>1927</v>
      </c>
      <c r="E727" s="53" t="s">
        <v>1928</v>
      </c>
      <c r="F727" s="8" t="s">
        <v>1929</v>
      </c>
      <c r="G727" s="54">
        <v>46172</v>
      </c>
      <c r="H727" s="73">
        <v>0.95</v>
      </c>
      <c r="I727" s="8"/>
      <c r="J727" s="16" t="s">
        <v>887</v>
      </c>
      <c r="K727" s="16" t="s">
        <v>670</v>
      </c>
    </row>
    <row r="728" spans="1:11">
      <c r="A728" s="8">
        <f t="shared" si="11"/>
        <v>726</v>
      </c>
      <c r="B728" s="8" t="s">
        <v>1747</v>
      </c>
      <c r="C728" s="8" t="s">
        <v>219</v>
      </c>
      <c r="D728" s="16" t="s">
        <v>1930</v>
      </c>
      <c r="E728" s="53" t="s">
        <v>729</v>
      </c>
      <c r="F728" s="8" t="s">
        <v>1931</v>
      </c>
      <c r="G728" s="54">
        <v>46172</v>
      </c>
      <c r="H728" s="69">
        <v>0.97</v>
      </c>
      <c r="I728" s="8"/>
      <c r="J728" s="16" t="s">
        <v>887</v>
      </c>
      <c r="K728" s="16" t="s">
        <v>670</v>
      </c>
    </row>
    <row r="729" spans="1:11">
      <c r="A729" s="8">
        <f t="shared" si="11"/>
        <v>727</v>
      </c>
      <c r="B729" s="8" t="s">
        <v>1747</v>
      </c>
      <c r="C729" s="8" t="s">
        <v>219</v>
      </c>
      <c r="D729" s="16" t="s">
        <v>1932</v>
      </c>
      <c r="E729" s="53" t="s">
        <v>1933</v>
      </c>
      <c r="F729" s="8" t="s">
        <v>1934</v>
      </c>
      <c r="G729" s="54">
        <v>46172</v>
      </c>
      <c r="H729" s="69">
        <v>0.97</v>
      </c>
      <c r="I729" s="8"/>
      <c r="J729" s="16" t="s">
        <v>887</v>
      </c>
      <c r="K729" s="16" t="s">
        <v>670</v>
      </c>
    </row>
    <row r="730" spans="1:11">
      <c r="A730" s="57">
        <f t="shared" si="11"/>
        <v>728</v>
      </c>
      <c r="B730" s="57" t="s">
        <v>1747</v>
      </c>
      <c r="C730" s="57" t="s">
        <v>219</v>
      </c>
      <c r="D730" s="58" t="s">
        <v>1935</v>
      </c>
      <c r="E730" s="91" t="s">
        <v>1936</v>
      </c>
      <c r="F730" s="57" t="s">
        <v>1937</v>
      </c>
      <c r="G730" s="68" t="s">
        <v>394</v>
      </c>
      <c r="H730" s="85">
        <v>1</v>
      </c>
      <c r="I730" s="86" t="s">
        <v>1805</v>
      </c>
      <c r="J730" s="58" t="s">
        <v>670</v>
      </c>
      <c r="K730" s="58" t="s">
        <v>683</v>
      </c>
    </row>
    <row r="731" spans="1:11">
      <c r="A731" s="57">
        <f t="shared" si="11"/>
        <v>729</v>
      </c>
      <c r="B731" s="57" t="s">
        <v>1747</v>
      </c>
      <c r="C731" s="57" t="s">
        <v>219</v>
      </c>
      <c r="D731" s="58" t="s">
        <v>1938</v>
      </c>
      <c r="E731" s="91" t="s">
        <v>1939</v>
      </c>
      <c r="F731" s="108" t="s">
        <v>1940</v>
      </c>
      <c r="G731" s="68" t="s">
        <v>394</v>
      </c>
      <c r="H731" s="85">
        <v>1</v>
      </c>
      <c r="I731" s="57"/>
      <c r="J731" s="58" t="s">
        <v>887</v>
      </c>
      <c r="K731" s="58" t="s">
        <v>670</v>
      </c>
    </row>
    <row r="732" spans="1:11">
      <c r="A732" s="57">
        <f t="shared" si="11"/>
        <v>730</v>
      </c>
      <c r="B732" s="57" t="s">
        <v>1747</v>
      </c>
      <c r="C732" s="57" t="s">
        <v>219</v>
      </c>
      <c r="D732" s="58" t="s">
        <v>1941</v>
      </c>
      <c r="E732" s="91" t="s">
        <v>1942</v>
      </c>
      <c r="F732" s="57" t="s">
        <v>1943</v>
      </c>
      <c r="G732" s="68" t="s">
        <v>394</v>
      </c>
      <c r="H732" s="85">
        <v>1</v>
      </c>
      <c r="I732" s="86" t="s">
        <v>1805</v>
      </c>
      <c r="J732" s="58" t="s">
        <v>670</v>
      </c>
      <c r="K732" s="58" t="s">
        <v>683</v>
      </c>
    </row>
    <row r="733" spans="1:11">
      <c r="A733" s="57">
        <f t="shared" si="11"/>
        <v>731</v>
      </c>
      <c r="B733" s="57" t="s">
        <v>1747</v>
      </c>
      <c r="C733" s="57" t="s">
        <v>219</v>
      </c>
      <c r="D733" s="58" t="s">
        <v>1944</v>
      </c>
      <c r="E733" s="91" t="s">
        <v>1945</v>
      </c>
      <c r="F733" s="86" t="s">
        <v>534</v>
      </c>
      <c r="G733" s="68" t="s">
        <v>394</v>
      </c>
      <c r="H733" s="85">
        <v>1</v>
      </c>
      <c r="I733" s="57"/>
      <c r="J733" s="58" t="s">
        <v>887</v>
      </c>
      <c r="K733" s="58" t="s">
        <v>670</v>
      </c>
    </row>
    <row r="734" spans="1:11">
      <c r="A734" s="57">
        <f t="shared" si="11"/>
        <v>732</v>
      </c>
      <c r="B734" s="57" t="s">
        <v>1946</v>
      </c>
      <c r="C734" s="30" t="s">
        <v>1947</v>
      </c>
      <c r="D734" s="58" t="s">
        <v>1948</v>
      </c>
      <c r="E734" s="91" t="s">
        <v>1949</v>
      </c>
      <c r="F734" s="57"/>
      <c r="G734" s="60" t="s">
        <v>394</v>
      </c>
      <c r="H734" s="61">
        <v>1</v>
      </c>
      <c r="I734" s="57" t="s">
        <v>948</v>
      </c>
      <c r="J734" s="58" t="s">
        <v>386</v>
      </c>
      <c r="K734" s="58"/>
    </row>
    <row r="735" spans="1:11">
      <c r="A735" s="57">
        <f t="shared" si="11"/>
        <v>733</v>
      </c>
      <c r="B735" s="57" t="s">
        <v>1946</v>
      </c>
      <c r="C735" s="30" t="s">
        <v>455</v>
      </c>
      <c r="D735" s="58" t="s">
        <v>1950</v>
      </c>
      <c r="E735" s="91" t="s">
        <v>1951</v>
      </c>
      <c r="F735" s="57"/>
      <c r="G735" s="60" t="s">
        <v>394</v>
      </c>
      <c r="H735" s="61">
        <v>1</v>
      </c>
      <c r="I735" s="57" t="s">
        <v>948</v>
      </c>
      <c r="J735" s="58" t="s">
        <v>386</v>
      </c>
      <c r="K735" s="58"/>
    </row>
    <row r="736" spans="1:11">
      <c r="A736" s="57">
        <f t="shared" si="11"/>
        <v>734</v>
      </c>
      <c r="B736" s="57" t="s">
        <v>1946</v>
      </c>
      <c r="C736" s="30" t="s">
        <v>1952</v>
      </c>
      <c r="D736" s="58" t="s">
        <v>1953</v>
      </c>
      <c r="E736" s="91" t="s">
        <v>540</v>
      </c>
      <c r="F736" s="57"/>
      <c r="G736" s="60" t="s">
        <v>394</v>
      </c>
      <c r="H736" s="61">
        <v>1</v>
      </c>
      <c r="I736" s="57" t="s">
        <v>948</v>
      </c>
      <c r="J736" s="58" t="s">
        <v>122</v>
      </c>
      <c r="K736" s="58"/>
    </row>
    <row r="737" spans="1:11">
      <c r="A737" s="57">
        <f t="shared" si="11"/>
        <v>735</v>
      </c>
      <c r="B737" s="57" t="s">
        <v>1946</v>
      </c>
      <c r="C737" s="30" t="s">
        <v>1952</v>
      </c>
      <c r="D737" s="58" t="s">
        <v>1954</v>
      </c>
      <c r="E737" s="91" t="s">
        <v>1955</v>
      </c>
      <c r="F737" s="57"/>
      <c r="G737" s="60" t="s">
        <v>394</v>
      </c>
      <c r="H737" s="61">
        <v>1</v>
      </c>
      <c r="I737" s="57" t="s">
        <v>948</v>
      </c>
      <c r="J737" s="58" t="s">
        <v>122</v>
      </c>
      <c r="K737" s="58"/>
    </row>
    <row r="738" spans="1:11">
      <c r="A738" s="57">
        <f t="shared" si="11"/>
        <v>736</v>
      </c>
      <c r="B738" s="57" t="s">
        <v>1946</v>
      </c>
      <c r="C738" s="30" t="s">
        <v>382</v>
      </c>
      <c r="D738" s="58" t="s">
        <v>1956</v>
      </c>
      <c r="E738" s="91" t="s">
        <v>1957</v>
      </c>
      <c r="F738" s="57"/>
      <c r="G738" s="60" t="s">
        <v>394</v>
      </c>
      <c r="H738" s="61">
        <v>1</v>
      </c>
      <c r="I738" s="88" t="s">
        <v>948</v>
      </c>
      <c r="J738" s="58" t="s">
        <v>1958</v>
      </c>
      <c r="K738" s="58"/>
    </row>
    <row r="739" spans="1:11">
      <c r="A739" s="57">
        <f t="shared" si="11"/>
        <v>737</v>
      </c>
      <c r="B739" s="57" t="s">
        <v>1946</v>
      </c>
      <c r="C739" s="30" t="s">
        <v>382</v>
      </c>
      <c r="D739" s="58" t="s">
        <v>1959</v>
      </c>
      <c r="E739" s="91" t="s">
        <v>1960</v>
      </c>
      <c r="F739" s="57"/>
      <c r="G739" s="60" t="s">
        <v>394</v>
      </c>
      <c r="H739" s="61">
        <v>1</v>
      </c>
      <c r="I739" s="88" t="s">
        <v>948</v>
      </c>
      <c r="J739" s="58" t="s">
        <v>1958</v>
      </c>
      <c r="K739" s="58"/>
    </row>
    <row r="740" spans="1:11">
      <c r="A740" s="57">
        <f t="shared" si="11"/>
        <v>738</v>
      </c>
      <c r="B740" s="57" t="s">
        <v>1946</v>
      </c>
      <c r="C740" s="30" t="s">
        <v>382</v>
      </c>
      <c r="D740" s="58" t="s">
        <v>1961</v>
      </c>
      <c r="E740" s="91" t="s">
        <v>1962</v>
      </c>
      <c r="F740" s="57"/>
      <c r="G740" s="60" t="s">
        <v>394</v>
      </c>
      <c r="H740" s="61">
        <v>1</v>
      </c>
      <c r="I740" s="88" t="s">
        <v>948</v>
      </c>
      <c r="J740" s="58" t="s">
        <v>1958</v>
      </c>
      <c r="K740" s="58"/>
    </row>
    <row r="741" spans="1:11">
      <c r="A741" s="57">
        <f t="shared" si="11"/>
        <v>739</v>
      </c>
      <c r="B741" s="57" t="s">
        <v>1946</v>
      </c>
      <c r="C741" s="30" t="s">
        <v>382</v>
      </c>
      <c r="D741" s="58" t="s">
        <v>1963</v>
      </c>
      <c r="E741" s="91" t="s">
        <v>1964</v>
      </c>
      <c r="F741" s="57"/>
      <c r="G741" s="60" t="s">
        <v>394</v>
      </c>
      <c r="H741" s="61">
        <v>1</v>
      </c>
      <c r="I741" s="88" t="s">
        <v>948</v>
      </c>
      <c r="J741" s="58" t="s">
        <v>1958</v>
      </c>
      <c r="K741" s="58"/>
    </row>
    <row r="742" spans="1:11">
      <c r="A742" s="57">
        <f t="shared" si="11"/>
        <v>740</v>
      </c>
      <c r="B742" s="57" t="s">
        <v>1946</v>
      </c>
      <c r="C742" s="30" t="s">
        <v>382</v>
      </c>
      <c r="D742" s="58" t="s">
        <v>1965</v>
      </c>
      <c r="E742" s="91" t="s">
        <v>1966</v>
      </c>
      <c r="F742" s="57"/>
      <c r="G742" s="60" t="s">
        <v>394</v>
      </c>
      <c r="H742" s="61">
        <v>1</v>
      </c>
      <c r="I742" s="88" t="s">
        <v>948</v>
      </c>
      <c r="J742" s="58" t="s">
        <v>1958</v>
      </c>
      <c r="K742" s="58"/>
    </row>
    <row r="743" spans="1:11">
      <c r="A743" s="57">
        <f t="shared" si="11"/>
        <v>741</v>
      </c>
      <c r="B743" s="57" t="s">
        <v>1946</v>
      </c>
      <c r="C743" s="30" t="s">
        <v>382</v>
      </c>
      <c r="D743" s="58" t="s">
        <v>1967</v>
      </c>
      <c r="E743" s="91" t="s">
        <v>1968</v>
      </c>
      <c r="F743" s="57"/>
      <c r="G743" s="60" t="s">
        <v>394</v>
      </c>
      <c r="H743" s="61">
        <v>1</v>
      </c>
      <c r="I743" s="88" t="s">
        <v>948</v>
      </c>
      <c r="J743" s="58" t="s">
        <v>1958</v>
      </c>
      <c r="K743" s="58"/>
    </row>
    <row r="744" spans="1:11">
      <c r="A744" s="57">
        <f t="shared" si="11"/>
        <v>742</v>
      </c>
      <c r="B744" s="57" t="s">
        <v>1946</v>
      </c>
      <c r="C744" s="30" t="s">
        <v>382</v>
      </c>
      <c r="D744" s="58" t="s">
        <v>1969</v>
      </c>
      <c r="E744" s="91" t="s">
        <v>1970</v>
      </c>
      <c r="F744" s="57"/>
      <c r="G744" s="60" t="s">
        <v>394</v>
      </c>
      <c r="H744" s="61">
        <v>1</v>
      </c>
      <c r="I744" s="88" t="s">
        <v>948</v>
      </c>
      <c r="J744" s="58" t="s">
        <v>1958</v>
      </c>
      <c r="K744" s="58"/>
    </row>
    <row r="745" spans="1:11">
      <c r="A745" s="57">
        <f t="shared" si="11"/>
        <v>743</v>
      </c>
      <c r="B745" s="57" t="s">
        <v>1946</v>
      </c>
      <c r="C745" s="30" t="s">
        <v>382</v>
      </c>
      <c r="D745" s="58" t="s">
        <v>1971</v>
      </c>
      <c r="E745" s="91" t="s">
        <v>417</v>
      </c>
      <c r="F745" s="57"/>
      <c r="G745" s="60" t="s">
        <v>394</v>
      </c>
      <c r="H745" s="61">
        <v>1</v>
      </c>
      <c r="I745" s="88" t="s">
        <v>948</v>
      </c>
      <c r="J745" s="58" t="s">
        <v>1958</v>
      </c>
      <c r="K745" s="58"/>
    </row>
    <row r="746" spans="1:11">
      <c r="A746" s="57">
        <f t="shared" si="11"/>
        <v>744</v>
      </c>
      <c r="B746" s="57" t="s">
        <v>1946</v>
      </c>
      <c r="C746" s="30" t="s">
        <v>382</v>
      </c>
      <c r="D746" s="58" t="s">
        <v>1972</v>
      </c>
      <c r="E746" s="91" t="s">
        <v>1973</v>
      </c>
      <c r="F746" s="57"/>
      <c r="G746" s="60" t="s">
        <v>394</v>
      </c>
      <c r="H746" s="61">
        <v>1</v>
      </c>
      <c r="I746" s="88" t="s">
        <v>948</v>
      </c>
      <c r="J746" s="58" t="s">
        <v>1958</v>
      </c>
      <c r="K746" s="58"/>
    </row>
    <row r="747" spans="1:11">
      <c r="A747" s="57">
        <f t="shared" si="11"/>
        <v>745</v>
      </c>
      <c r="B747" s="57" t="s">
        <v>1946</v>
      </c>
      <c r="C747" s="30" t="s">
        <v>382</v>
      </c>
      <c r="D747" s="58" t="s">
        <v>1974</v>
      </c>
      <c r="E747" s="91" t="s">
        <v>1975</v>
      </c>
      <c r="F747" s="57"/>
      <c r="G747" s="60" t="s">
        <v>394</v>
      </c>
      <c r="H747" s="61">
        <v>1</v>
      </c>
      <c r="I747" s="88" t="s">
        <v>948</v>
      </c>
      <c r="J747" s="58" t="s">
        <v>1958</v>
      </c>
      <c r="K747" s="58"/>
    </row>
    <row r="748" spans="1:11">
      <c r="A748" s="57">
        <f t="shared" si="11"/>
        <v>746</v>
      </c>
      <c r="B748" s="57" t="s">
        <v>1946</v>
      </c>
      <c r="C748" s="30" t="s">
        <v>382</v>
      </c>
      <c r="D748" s="58" t="s">
        <v>1976</v>
      </c>
      <c r="E748" s="91" t="s">
        <v>1977</v>
      </c>
      <c r="F748" s="57"/>
      <c r="G748" s="60" t="s">
        <v>394</v>
      </c>
      <c r="H748" s="61">
        <v>1</v>
      </c>
      <c r="I748" s="88" t="s">
        <v>948</v>
      </c>
      <c r="J748" s="58" t="s">
        <v>1958</v>
      </c>
      <c r="K748" s="58"/>
    </row>
    <row r="749" spans="1:11">
      <c r="A749" s="57">
        <f t="shared" si="11"/>
        <v>747</v>
      </c>
      <c r="B749" s="57" t="s">
        <v>1946</v>
      </c>
      <c r="C749" s="30" t="s">
        <v>382</v>
      </c>
      <c r="D749" s="58" t="s">
        <v>1978</v>
      </c>
      <c r="E749" s="91" t="s">
        <v>1979</v>
      </c>
      <c r="F749" s="57"/>
      <c r="G749" s="60" t="s">
        <v>394</v>
      </c>
      <c r="H749" s="61">
        <v>1</v>
      </c>
      <c r="I749" s="88" t="s">
        <v>948</v>
      </c>
      <c r="J749" s="58" t="s">
        <v>1958</v>
      </c>
      <c r="K749" s="58"/>
    </row>
    <row r="750" spans="1:11">
      <c r="A750" s="57">
        <f t="shared" si="11"/>
        <v>748</v>
      </c>
      <c r="B750" s="57" t="s">
        <v>1946</v>
      </c>
      <c r="C750" s="30" t="s">
        <v>382</v>
      </c>
      <c r="D750" s="58" t="s">
        <v>1980</v>
      </c>
      <c r="E750" s="91" t="s">
        <v>1981</v>
      </c>
      <c r="F750" s="57"/>
      <c r="G750" s="60" t="s">
        <v>394</v>
      </c>
      <c r="H750" s="61">
        <v>1</v>
      </c>
      <c r="I750" s="88" t="s">
        <v>948</v>
      </c>
      <c r="J750" s="58" t="s">
        <v>1958</v>
      </c>
      <c r="K750" s="58"/>
    </row>
    <row r="751" spans="1:11">
      <c r="A751" s="57">
        <f t="shared" si="11"/>
        <v>749</v>
      </c>
      <c r="B751" s="57" t="s">
        <v>1946</v>
      </c>
      <c r="C751" s="30" t="s">
        <v>382</v>
      </c>
      <c r="D751" s="58" t="s">
        <v>1982</v>
      </c>
      <c r="E751" s="91" t="s">
        <v>1983</v>
      </c>
      <c r="F751" s="57"/>
      <c r="G751" s="60" t="s">
        <v>394</v>
      </c>
      <c r="H751" s="61">
        <v>1</v>
      </c>
      <c r="I751" s="88" t="s">
        <v>948</v>
      </c>
      <c r="J751" s="58" t="s">
        <v>1958</v>
      </c>
      <c r="K751" s="58"/>
    </row>
    <row r="752" spans="1:11">
      <c r="A752" s="57">
        <f t="shared" si="11"/>
        <v>750</v>
      </c>
      <c r="B752" s="57" t="s">
        <v>1946</v>
      </c>
      <c r="C752" s="30" t="s">
        <v>382</v>
      </c>
      <c r="D752" s="58" t="s">
        <v>1984</v>
      </c>
      <c r="E752" s="91" t="s">
        <v>1985</v>
      </c>
      <c r="F752" s="57"/>
      <c r="G752" s="60" t="s">
        <v>394</v>
      </c>
      <c r="H752" s="61">
        <v>1</v>
      </c>
      <c r="I752" s="57" t="s">
        <v>948</v>
      </c>
      <c r="J752" s="58" t="s">
        <v>386</v>
      </c>
      <c r="K752" s="58"/>
    </row>
    <row r="753" spans="1:11">
      <c r="A753" s="57">
        <f t="shared" si="11"/>
        <v>751</v>
      </c>
      <c r="B753" s="57" t="s">
        <v>1946</v>
      </c>
      <c r="C753" s="30" t="s">
        <v>382</v>
      </c>
      <c r="D753" s="58" t="s">
        <v>1986</v>
      </c>
      <c r="E753" s="91" t="s">
        <v>1987</v>
      </c>
      <c r="F753" s="57"/>
      <c r="G753" s="60" t="s">
        <v>394</v>
      </c>
      <c r="H753" s="61">
        <v>1</v>
      </c>
      <c r="I753" s="57"/>
      <c r="J753" s="58" t="s">
        <v>386</v>
      </c>
      <c r="K753" s="58"/>
    </row>
    <row r="754" spans="1:11">
      <c r="A754" s="57">
        <f t="shared" si="11"/>
        <v>752</v>
      </c>
      <c r="B754" s="57" t="s">
        <v>1946</v>
      </c>
      <c r="C754" s="30" t="s">
        <v>382</v>
      </c>
      <c r="D754" s="58" t="s">
        <v>1988</v>
      </c>
      <c r="E754" s="91" t="s">
        <v>1989</v>
      </c>
      <c r="F754" s="57"/>
      <c r="G754" s="60" t="s">
        <v>394</v>
      </c>
      <c r="H754" s="61">
        <v>1</v>
      </c>
      <c r="I754" s="57"/>
      <c r="J754" s="58" t="s">
        <v>386</v>
      </c>
      <c r="K754" s="58"/>
    </row>
    <row r="755" spans="1:11">
      <c r="A755" s="57">
        <f t="shared" si="11"/>
        <v>753</v>
      </c>
      <c r="B755" s="57" t="s">
        <v>1946</v>
      </c>
      <c r="C755" s="30" t="s">
        <v>382</v>
      </c>
      <c r="D755" s="58" t="s">
        <v>1990</v>
      </c>
      <c r="E755" s="91" t="s">
        <v>1991</v>
      </c>
      <c r="F755" s="57"/>
      <c r="G755" s="60" t="s">
        <v>394</v>
      </c>
      <c r="H755" s="61">
        <v>1</v>
      </c>
      <c r="I755" s="88" t="s">
        <v>948</v>
      </c>
      <c r="J755" s="58" t="s">
        <v>1958</v>
      </c>
      <c r="K755" s="58"/>
    </row>
    <row r="756" spans="1:11">
      <c r="A756" s="57">
        <f t="shared" si="11"/>
        <v>754</v>
      </c>
      <c r="B756" s="57" t="s">
        <v>1946</v>
      </c>
      <c r="C756" s="30" t="s">
        <v>463</v>
      </c>
      <c r="D756" s="58" t="s">
        <v>1992</v>
      </c>
      <c r="E756" s="91" t="s">
        <v>1993</v>
      </c>
      <c r="F756" s="57"/>
      <c r="G756" s="60" t="s">
        <v>394</v>
      </c>
      <c r="H756" s="61">
        <v>1</v>
      </c>
      <c r="I756" s="88" t="s">
        <v>948</v>
      </c>
      <c r="J756" s="58" t="s">
        <v>470</v>
      </c>
      <c r="K756" s="58"/>
    </row>
    <row r="757" spans="1:11">
      <c r="A757" s="57">
        <f t="shared" si="11"/>
        <v>755</v>
      </c>
      <c r="B757" s="57" t="s">
        <v>1946</v>
      </c>
      <c r="C757" s="30" t="s">
        <v>463</v>
      </c>
      <c r="D757" s="58" t="s">
        <v>1994</v>
      </c>
      <c r="E757" s="91" t="s">
        <v>1995</v>
      </c>
      <c r="F757" s="57"/>
      <c r="G757" s="60" t="s">
        <v>394</v>
      </c>
      <c r="H757" s="61">
        <v>1</v>
      </c>
      <c r="I757" s="88" t="s">
        <v>948</v>
      </c>
      <c r="J757" s="58" t="s">
        <v>386</v>
      </c>
      <c r="K757" s="58"/>
    </row>
    <row r="758" spans="1:11">
      <c r="A758" s="57">
        <f t="shared" si="11"/>
        <v>756</v>
      </c>
      <c r="B758" s="57" t="s">
        <v>1946</v>
      </c>
      <c r="C758" s="30" t="s">
        <v>463</v>
      </c>
      <c r="D758" s="58" t="s">
        <v>1996</v>
      </c>
      <c r="E758" s="91" t="s">
        <v>1997</v>
      </c>
      <c r="F758" s="57"/>
      <c r="G758" s="60" t="s">
        <v>394</v>
      </c>
      <c r="H758" s="61">
        <v>1</v>
      </c>
      <c r="I758" s="88" t="s">
        <v>948</v>
      </c>
      <c r="J758" s="58" t="s">
        <v>470</v>
      </c>
      <c r="K758" s="58"/>
    </row>
    <row r="759" spans="1:11">
      <c r="A759" s="57">
        <f t="shared" si="11"/>
        <v>757</v>
      </c>
      <c r="B759" s="57" t="s">
        <v>1946</v>
      </c>
      <c r="C759" s="30" t="s">
        <v>463</v>
      </c>
      <c r="D759" s="58" t="s">
        <v>1998</v>
      </c>
      <c r="E759" s="91" t="s">
        <v>1999</v>
      </c>
      <c r="F759" s="57"/>
      <c r="G759" s="60" t="s">
        <v>394</v>
      </c>
      <c r="H759" s="61">
        <v>1</v>
      </c>
      <c r="I759" s="88" t="s">
        <v>948</v>
      </c>
      <c r="J759" s="58" t="s">
        <v>470</v>
      </c>
      <c r="K759" s="58"/>
    </row>
    <row r="760" spans="1:11">
      <c r="A760" s="57">
        <f t="shared" si="11"/>
        <v>758</v>
      </c>
      <c r="B760" s="57" t="s">
        <v>1946</v>
      </c>
      <c r="C760" s="30" t="s">
        <v>463</v>
      </c>
      <c r="D760" s="58" t="s">
        <v>2000</v>
      </c>
      <c r="E760" s="91" t="s">
        <v>2001</v>
      </c>
      <c r="F760" s="57"/>
      <c r="G760" s="60" t="s">
        <v>394</v>
      </c>
      <c r="H760" s="61">
        <v>1</v>
      </c>
      <c r="I760" s="88" t="s">
        <v>948</v>
      </c>
      <c r="J760" s="58" t="s">
        <v>470</v>
      </c>
      <c r="K760" s="58"/>
    </row>
    <row r="761" spans="1:11">
      <c r="A761" s="57">
        <f t="shared" si="11"/>
        <v>759</v>
      </c>
      <c r="B761" s="57" t="s">
        <v>1946</v>
      </c>
      <c r="C761" s="30" t="s">
        <v>463</v>
      </c>
      <c r="D761" s="58" t="s">
        <v>2002</v>
      </c>
      <c r="E761" s="91" t="s">
        <v>1005</v>
      </c>
      <c r="F761" s="57"/>
      <c r="G761" s="60" t="s">
        <v>394</v>
      </c>
      <c r="H761" s="61">
        <v>1</v>
      </c>
      <c r="I761" s="57"/>
      <c r="J761" s="58" t="s">
        <v>470</v>
      </c>
      <c r="K761" s="58"/>
    </row>
    <row r="762" spans="1:11">
      <c r="A762" s="57">
        <f t="shared" si="11"/>
        <v>760</v>
      </c>
      <c r="B762" s="57" t="s">
        <v>1946</v>
      </c>
      <c r="C762" s="30" t="s">
        <v>382</v>
      </c>
      <c r="D762" s="58" t="s">
        <v>2003</v>
      </c>
      <c r="E762" s="91" t="s">
        <v>2004</v>
      </c>
      <c r="F762" s="57"/>
      <c r="G762" s="60" t="s">
        <v>394</v>
      </c>
      <c r="H762" s="61">
        <v>1</v>
      </c>
      <c r="I762" s="88" t="s">
        <v>948</v>
      </c>
      <c r="J762" s="58" t="s">
        <v>1958</v>
      </c>
      <c r="K762" s="58"/>
    </row>
    <row r="763" spans="1:11">
      <c r="A763" s="57">
        <f t="shared" si="11"/>
        <v>761</v>
      </c>
      <c r="B763" s="57" t="s">
        <v>1946</v>
      </c>
      <c r="C763" s="30" t="s">
        <v>382</v>
      </c>
      <c r="D763" s="58" t="s">
        <v>2005</v>
      </c>
      <c r="E763" s="91" t="s">
        <v>2006</v>
      </c>
      <c r="F763" s="57"/>
      <c r="G763" s="60" t="s">
        <v>394</v>
      </c>
      <c r="H763" s="61">
        <v>1</v>
      </c>
      <c r="I763" s="88" t="s">
        <v>948</v>
      </c>
      <c r="J763" s="58" t="s">
        <v>1958</v>
      </c>
      <c r="K763" s="58"/>
    </row>
    <row r="764" spans="1:11">
      <c r="A764" s="57">
        <f t="shared" si="11"/>
        <v>762</v>
      </c>
      <c r="B764" s="57" t="s">
        <v>1946</v>
      </c>
      <c r="C764" s="30" t="s">
        <v>463</v>
      </c>
      <c r="D764" s="58" t="s">
        <v>2007</v>
      </c>
      <c r="E764" s="91" t="s">
        <v>2008</v>
      </c>
      <c r="F764" s="57"/>
      <c r="G764" s="60" t="s">
        <v>394</v>
      </c>
      <c r="H764" s="61">
        <v>1</v>
      </c>
      <c r="I764" s="57" t="s">
        <v>948</v>
      </c>
      <c r="J764" s="58" t="s">
        <v>470</v>
      </c>
      <c r="K764" s="58"/>
    </row>
    <row r="765" spans="1:11">
      <c r="A765" s="57">
        <f t="shared" si="11"/>
        <v>763</v>
      </c>
      <c r="B765" s="57" t="s">
        <v>1946</v>
      </c>
      <c r="C765" s="30" t="s">
        <v>463</v>
      </c>
      <c r="D765" s="58" t="s">
        <v>2009</v>
      </c>
      <c r="E765" s="91" t="s">
        <v>2010</v>
      </c>
      <c r="F765" s="57"/>
      <c r="G765" s="60" t="s">
        <v>394</v>
      </c>
      <c r="H765" s="61">
        <v>1</v>
      </c>
      <c r="I765" s="57" t="s">
        <v>948</v>
      </c>
      <c r="J765" s="58" t="s">
        <v>470</v>
      </c>
      <c r="K765" s="58"/>
    </row>
    <row r="766" spans="1:11">
      <c r="A766" s="57">
        <f t="shared" si="11"/>
        <v>764</v>
      </c>
      <c r="B766" s="57" t="s">
        <v>1946</v>
      </c>
      <c r="C766" s="30" t="s">
        <v>463</v>
      </c>
      <c r="D766" s="58" t="s">
        <v>2011</v>
      </c>
      <c r="E766" s="91" t="s">
        <v>2012</v>
      </c>
      <c r="F766" s="57"/>
      <c r="G766" s="60" t="s">
        <v>394</v>
      </c>
      <c r="H766" s="61">
        <v>1</v>
      </c>
      <c r="I766" s="57" t="s">
        <v>948</v>
      </c>
      <c r="J766" s="58" t="s">
        <v>470</v>
      </c>
      <c r="K766" s="58"/>
    </row>
    <row r="767" spans="1:11">
      <c r="A767" s="57">
        <f t="shared" si="11"/>
        <v>765</v>
      </c>
      <c r="B767" s="57" t="s">
        <v>1946</v>
      </c>
      <c r="C767" s="30" t="s">
        <v>463</v>
      </c>
      <c r="D767" s="58" t="s">
        <v>2013</v>
      </c>
      <c r="E767" s="91" t="s">
        <v>2014</v>
      </c>
      <c r="F767" s="57"/>
      <c r="G767" s="60" t="s">
        <v>394</v>
      </c>
      <c r="H767" s="61">
        <v>1</v>
      </c>
      <c r="I767" s="57" t="s">
        <v>948</v>
      </c>
      <c r="J767" s="58" t="s">
        <v>386</v>
      </c>
      <c r="K767" s="58"/>
    </row>
    <row r="768" spans="1:11">
      <c r="A768" s="57">
        <f t="shared" si="11"/>
        <v>766</v>
      </c>
      <c r="B768" s="57" t="s">
        <v>1946</v>
      </c>
      <c r="C768" s="30" t="s">
        <v>463</v>
      </c>
      <c r="D768" s="58" t="s">
        <v>2015</v>
      </c>
      <c r="E768" s="91" t="s">
        <v>2016</v>
      </c>
      <c r="F768" s="57"/>
      <c r="G768" s="60" t="s">
        <v>394</v>
      </c>
      <c r="H768" s="61">
        <v>1</v>
      </c>
      <c r="I768" s="57" t="s">
        <v>948</v>
      </c>
      <c r="J768" s="58" t="s">
        <v>386</v>
      </c>
      <c r="K768" s="58"/>
    </row>
    <row r="769" spans="1:11">
      <c r="A769" s="57">
        <f t="shared" si="11"/>
        <v>767</v>
      </c>
      <c r="B769" s="57" t="s">
        <v>1946</v>
      </c>
      <c r="C769" s="30" t="s">
        <v>463</v>
      </c>
      <c r="D769" s="58" t="s">
        <v>2017</v>
      </c>
      <c r="E769" s="91" t="s">
        <v>2018</v>
      </c>
      <c r="F769" s="57"/>
      <c r="G769" s="60" t="s">
        <v>394</v>
      </c>
      <c r="H769" s="61">
        <v>1</v>
      </c>
      <c r="I769" s="57" t="s">
        <v>948</v>
      </c>
      <c r="J769" s="58" t="s">
        <v>470</v>
      </c>
      <c r="K769" s="58"/>
    </row>
    <row r="770" spans="1:11">
      <c r="A770" s="57">
        <f t="shared" si="11"/>
        <v>768</v>
      </c>
      <c r="B770" s="57" t="s">
        <v>1946</v>
      </c>
      <c r="C770" s="30" t="s">
        <v>463</v>
      </c>
      <c r="D770" s="58" t="s">
        <v>2019</v>
      </c>
      <c r="E770" s="91" t="s">
        <v>2020</v>
      </c>
      <c r="F770" s="57"/>
      <c r="G770" s="60" t="s">
        <v>394</v>
      </c>
      <c r="H770" s="61">
        <v>1</v>
      </c>
      <c r="I770" s="57" t="s">
        <v>948</v>
      </c>
      <c r="J770" s="58" t="s">
        <v>470</v>
      </c>
      <c r="K770" s="58"/>
    </row>
    <row r="771" spans="1:11">
      <c r="A771" s="57">
        <f t="shared" si="11"/>
        <v>769</v>
      </c>
      <c r="B771" s="57" t="s">
        <v>1946</v>
      </c>
      <c r="C771" s="30" t="s">
        <v>463</v>
      </c>
      <c r="D771" s="58" t="s">
        <v>2021</v>
      </c>
      <c r="E771" s="91" t="s">
        <v>2022</v>
      </c>
      <c r="F771" s="57"/>
      <c r="G771" s="60" t="s">
        <v>394</v>
      </c>
      <c r="H771" s="61">
        <v>1</v>
      </c>
      <c r="I771" s="57" t="s">
        <v>948</v>
      </c>
      <c r="J771" s="58" t="s">
        <v>470</v>
      </c>
      <c r="K771" s="58"/>
    </row>
    <row r="772" spans="1:11">
      <c r="A772" s="57">
        <f t="shared" si="11"/>
        <v>770</v>
      </c>
      <c r="B772" s="57" t="s">
        <v>1946</v>
      </c>
      <c r="C772" s="30" t="s">
        <v>382</v>
      </c>
      <c r="D772" s="58" t="s">
        <v>2023</v>
      </c>
      <c r="E772" s="91" t="s">
        <v>2024</v>
      </c>
      <c r="F772" s="57"/>
      <c r="G772" s="60" t="s">
        <v>394</v>
      </c>
      <c r="H772" s="61">
        <v>1</v>
      </c>
      <c r="I772" s="57" t="s">
        <v>948</v>
      </c>
      <c r="J772" s="58" t="s">
        <v>2025</v>
      </c>
      <c r="K772" s="58"/>
    </row>
    <row r="773" spans="1:11">
      <c r="A773" s="57">
        <f t="shared" si="11"/>
        <v>771</v>
      </c>
      <c r="B773" s="57" t="s">
        <v>1946</v>
      </c>
      <c r="C773" s="30" t="s">
        <v>463</v>
      </c>
      <c r="D773" s="58" t="s">
        <v>2026</v>
      </c>
      <c r="E773" s="91" t="s">
        <v>509</v>
      </c>
      <c r="F773" s="57"/>
      <c r="G773" s="60" t="s">
        <v>394</v>
      </c>
      <c r="H773" s="61">
        <v>1</v>
      </c>
      <c r="I773" s="57" t="s">
        <v>948</v>
      </c>
      <c r="J773" s="58" t="s">
        <v>470</v>
      </c>
      <c r="K773" s="58"/>
    </row>
    <row r="774" spans="1:11">
      <c r="A774" s="57">
        <f t="shared" si="11"/>
        <v>772</v>
      </c>
      <c r="B774" s="57" t="s">
        <v>1946</v>
      </c>
      <c r="C774" s="30" t="s">
        <v>463</v>
      </c>
      <c r="D774" s="58" t="s">
        <v>2027</v>
      </c>
      <c r="E774" s="91" t="s">
        <v>516</v>
      </c>
      <c r="F774" s="57"/>
      <c r="G774" s="60" t="s">
        <v>394</v>
      </c>
      <c r="H774" s="61">
        <v>1</v>
      </c>
      <c r="I774" s="88" t="s">
        <v>948</v>
      </c>
      <c r="J774" s="58" t="s">
        <v>1958</v>
      </c>
      <c r="K774" s="58"/>
    </row>
    <row r="775" spans="1:11">
      <c r="A775" s="57">
        <f t="shared" si="11"/>
        <v>773</v>
      </c>
      <c r="B775" s="57" t="s">
        <v>1946</v>
      </c>
      <c r="C775" s="30" t="s">
        <v>382</v>
      </c>
      <c r="D775" s="58" t="s">
        <v>2028</v>
      </c>
      <c r="E775" s="91" t="s">
        <v>2029</v>
      </c>
      <c r="F775" s="57"/>
      <c r="G775" s="60" t="s">
        <v>394</v>
      </c>
      <c r="H775" s="61">
        <v>1</v>
      </c>
      <c r="I775" s="88" t="s">
        <v>948</v>
      </c>
      <c r="J775" s="58" t="s">
        <v>1958</v>
      </c>
      <c r="K775" s="58"/>
    </row>
    <row r="776" spans="1:11">
      <c r="A776" s="8">
        <f t="shared" si="11"/>
        <v>774</v>
      </c>
      <c r="B776" s="8" t="s">
        <v>1946</v>
      </c>
      <c r="C776" s="27" t="s">
        <v>463</v>
      </c>
      <c r="D776" s="16" t="s">
        <v>2030</v>
      </c>
      <c r="E776" s="53" t="s">
        <v>2031</v>
      </c>
      <c r="F776" s="8"/>
      <c r="G776" s="70">
        <v>46142</v>
      </c>
      <c r="H776" s="69">
        <v>1</v>
      </c>
      <c r="I776" s="12" t="s">
        <v>3574</v>
      </c>
      <c r="J776" s="16" t="s">
        <v>2032</v>
      </c>
      <c r="K776" s="16"/>
    </row>
    <row r="777" spans="1:11">
      <c r="A777" s="57">
        <f t="shared" si="11"/>
        <v>775</v>
      </c>
      <c r="B777" s="57" t="s">
        <v>1946</v>
      </c>
      <c r="C777" s="30" t="s">
        <v>463</v>
      </c>
      <c r="D777" s="58" t="s">
        <v>2033</v>
      </c>
      <c r="E777" s="91" t="s">
        <v>2034</v>
      </c>
      <c r="F777" s="57"/>
      <c r="G777" s="60" t="s">
        <v>394</v>
      </c>
      <c r="H777" s="61">
        <v>1</v>
      </c>
      <c r="I777" s="88" t="s">
        <v>948</v>
      </c>
      <c r="J777" s="58" t="s">
        <v>2032</v>
      </c>
      <c r="K777" s="58"/>
    </row>
    <row r="778" spans="1:11">
      <c r="A778" s="57">
        <f t="shared" ref="A778:A841" si="12">ROW()-2</f>
        <v>776</v>
      </c>
      <c r="B778" s="57" t="s">
        <v>1946</v>
      </c>
      <c r="C778" s="30" t="s">
        <v>382</v>
      </c>
      <c r="D778" s="58" t="s">
        <v>2035</v>
      </c>
      <c r="E778" s="91" t="s">
        <v>2036</v>
      </c>
      <c r="F778" s="57"/>
      <c r="G778" s="60" t="s">
        <v>394</v>
      </c>
      <c r="H778" s="61">
        <v>1</v>
      </c>
      <c r="I778" s="88" t="s">
        <v>948</v>
      </c>
      <c r="J778" s="58" t="s">
        <v>386</v>
      </c>
      <c r="K778" s="58"/>
    </row>
    <row r="779" spans="1:11">
      <c r="A779" s="57">
        <f t="shared" si="12"/>
        <v>777</v>
      </c>
      <c r="B779" s="57" t="s">
        <v>1946</v>
      </c>
      <c r="C779" s="30" t="s">
        <v>463</v>
      </c>
      <c r="D779" s="58" t="s">
        <v>2037</v>
      </c>
      <c r="E779" s="91" t="s">
        <v>520</v>
      </c>
      <c r="F779" s="57"/>
      <c r="G779" s="60" t="s">
        <v>394</v>
      </c>
      <c r="H779" s="61">
        <v>1</v>
      </c>
      <c r="I779" s="88" t="s">
        <v>948</v>
      </c>
      <c r="J779" s="58" t="s">
        <v>1958</v>
      </c>
      <c r="K779" s="58"/>
    </row>
    <row r="780" spans="1:11">
      <c r="A780" s="57">
        <f t="shared" si="12"/>
        <v>778</v>
      </c>
      <c r="B780" s="57" t="s">
        <v>1946</v>
      </c>
      <c r="C780" s="30" t="s">
        <v>382</v>
      </c>
      <c r="D780" s="58" t="s">
        <v>2038</v>
      </c>
      <c r="E780" s="91" t="s">
        <v>426</v>
      </c>
      <c r="F780" s="57"/>
      <c r="G780" s="60" t="s">
        <v>394</v>
      </c>
      <c r="H780" s="61">
        <v>1</v>
      </c>
      <c r="I780" s="88" t="s">
        <v>948</v>
      </c>
      <c r="J780" s="58" t="s">
        <v>1958</v>
      </c>
      <c r="K780" s="58"/>
    </row>
    <row r="781" spans="1:11">
      <c r="A781" s="57">
        <f t="shared" si="12"/>
        <v>779</v>
      </c>
      <c r="B781" s="57" t="s">
        <v>1946</v>
      </c>
      <c r="C781" s="57" t="s">
        <v>531</v>
      </c>
      <c r="D781" s="58" t="s">
        <v>2039</v>
      </c>
      <c r="E781" s="91" t="s">
        <v>2040</v>
      </c>
      <c r="F781" s="57"/>
      <c r="G781" s="60" t="s">
        <v>394</v>
      </c>
      <c r="H781" s="61">
        <v>1</v>
      </c>
      <c r="I781" s="57"/>
      <c r="J781" s="58" t="s">
        <v>386</v>
      </c>
      <c r="K781" s="58"/>
    </row>
    <row r="782" spans="1:11">
      <c r="A782" s="57">
        <f t="shared" si="12"/>
        <v>780</v>
      </c>
      <c r="B782" s="57" t="s">
        <v>1946</v>
      </c>
      <c r="C782" s="57" t="s">
        <v>531</v>
      </c>
      <c r="D782" s="58" t="s">
        <v>2041</v>
      </c>
      <c r="E782" s="91" t="s">
        <v>2042</v>
      </c>
      <c r="F782" s="57"/>
      <c r="G782" s="60" t="s">
        <v>394</v>
      </c>
      <c r="H782" s="61">
        <v>1</v>
      </c>
      <c r="I782" s="57"/>
      <c r="J782" s="58" t="s">
        <v>386</v>
      </c>
      <c r="K782" s="58"/>
    </row>
    <row r="783" spans="1:11">
      <c r="A783" s="57">
        <f t="shared" si="12"/>
        <v>781</v>
      </c>
      <c r="B783" s="57" t="s">
        <v>1946</v>
      </c>
      <c r="C783" s="30" t="s">
        <v>546</v>
      </c>
      <c r="D783" s="58" t="s">
        <v>2043</v>
      </c>
      <c r="E783" s="91" t="s">
        <v>2044</v>
      </c>
      <c r="F783" s="57"/>
      <c r="G783" s="60" t="s">
        <v>394</v>
      </c>
      <c r="H783" s="61">
        <v>1</v>
      </c>
      <c r="I783" s="88" t="s">
        <v>948</v>
      </c>
      <c r="J783" s="58" t="s">
        <v>2045</v>
      </c>
      <c r="K783" s="58"/>
    </row>
    <row r="784" spans="1:11">
      <c r="A784" s="57">
        <f t="shared" si="12"/>
        <v>782</v>
      </c>
      <c r="B784" s="57" t="s">
        <v>1946</v>
      </c>
      <c r="C784" s="30" t="s">
        <v>546</v>
      </c>
      <c r="D784" s="58" t="s">
        <v>2046</v>
      </c>
      <c r="E784" s="91" t="s">
        <v>2047</v>
      </c>
      <c r="F784" s="57"/>
      <c r="G784" s="60" t="s">
        <v>394</v>
      </c>
      <c r="H784" s="61">
        <v>1</v>
      </c>
      <c r="I784" s="88" t="s">
        <v>948</v>
      </c>
      <c r="J784" s="58" t="s">
        <v>2045</v>
      </c>
      <c r="K784" s="58"/>
    </row>
    <row r="785" spans="1:11">
      <c r="A785" s="57">
        <f t="shared" si="12"/>
        <v>783</v>
      </c>
      <c r="B785" s="57" t="s">
        <v>1946</v>
      </c>
      <c r="C785" s="30" t="s">
        <v>155</v>
      </c>
      <c r="D785" s="58" t="s">
        <v>2048</v>
      </c>
      <c r="E785" s="91" t="s">
        <v>2049</v>
      </c>
      <c r="F785" s="57"/>
      <c r="G785" s="60" t="s">
        <v>394</v>
      </c>
      <c r="H785" s="61">
        <v>1</v>
      </c>
      <c r="I785" s="57" t="s">
        <v>948</v>
      </c>
      <c r="J785" s="58" t="s">
        <v>2045</v>
      </c>
      <c r="K785" s="58"/>
    </row>
    <row r="786" spans="1:11">
      <c r="A786" s="57">
        <f t="shared" si="12"/>
        <v>784</v>
      </c>
      <c r="B786" s="57" t="s">
        <v>1946</v>
      </c>
      <c r="C786" s="30" t="s">
        <v>155</v>
      </c>
      <c r="D786" s="58" t="s">
        <v>2050</v>
      </c>
      <c r="E786" s="91" t="s">
        <v>2051</v>
      </c>
      <c r="F786" s="57"/>
      <c r="G786" s="60" t="s">
        <v>394</v>
      </c>
      <c r="H786" s="61">
        <v>1</v>
      </c>
      <c r="I786" s="88" t="s">
        <v>948</v>
      </c>
      <c r="J786" s="58" t="s">
        <v>2052</v>
      </c>
      <c r="K786" s="58"/>
    </row>
    <row r="787" spans="1:11">
      <c r="A787" s="57">
        <f t="shared" si="12"/>
        <v>785</v>
      </c>
      <c r="B787" s="57" t="s">
        <v>1946</v>
      </c>
      <c r="C787" s="30" t="s">
        <v>155</v>
      </c>
      <c r="D787" s="58" t="s">
        <v>2053</v>
      </c>
      <c r="E787" s="91" t="s">
        <v>2054</v>
      </c>
      <c r="F787" s="57"/>
      <c r="G787" s="60" t="s">
        <v>394</v>
      </c>
      <c r="H787" s="61">
        <v>1</v>
      </c>
      <c r="I787" s="88" t="s">
        <v>948</v>
      </c>
      <c r="J787" s="58" t="s">
        <v>2052</v>
      </c>
      <c r="K787" s="58"/>
    </row>
    <row r="788" spans="1:11">
      <c r="A788" s="57">
        <f t="shared" si="12"/>
        <v>786</v>
      </c>
      <c r="B788" s="57" t="s">
        <v>1946</v>
      </c>
      <c r="C788" s="30" t="s">
        <v>155</v>
      </c>
      <c r="D788" s="58" t="s">
        <v>2055</v>
      </c>
      <c r="E788" s="91" t="s">
        <v>2056</v>
      </c>
      <c r="F788" s="57"/>
      <c r="G788" s="60" t="s">
        <v>394</v>
      </c>
      <c r="H788" s="61">
        <v>1</v>
      </c>
      <c r="I788" s="57" t="s">
        <v>948</v>
      </c>
      <c r="J788" s="58" t="s">
        <v>2052</v>
      </c>
      <c r="K788" s="58"/>
    </row>
    <row r="789" spans="1:11">
      <c r="A789" s="57">
        <f t="shared" si="12"/>
        <v>787</v>
      </c>
      <c r="B789" s="57" t="s">
        <v>1946</v>
      </c>
      <c r="C789" s="30" t="s">
        <v>155</v>
      </c>
      <c r="D789" s="58" t="s">
        <v>2057</v>
      </c>
      <c r="E789" s="91" t="s">
        <v>2058</v>
      </c>
      <c r="F789" s="57"/>
      <c r="G789" s="60" t="s">
        <v>394</v>
      </c>
      <c r="H789" s="61">
        <v>1</v>
      </c>
      <c r="I789" s="57" t="s">
        <v>948</v>
      </c>
      <c r="J789" s="58" t="s">
        <v>2052</v>
      </c>
      <c r="K789" s="58"/>
    </row>
    <row r="790" spans="1:11">
      <c r="A790" s="57">
        <f t="shared" si="12"/>
        <v>788</v>
      </c>
      <c r="B790" s="57" t="s">
        <v>1946</v>
      </c>
      <c r="C790" s="30" t="s">
        <v>155</v>
      </c>
      <c r="D790" s="58" t="s">
        <v>2059</v>
      </c>
      <c r="E790" s="91" t="s">
        <v>2060</v>
      </c>
      <c r="F790" s="57"/>
      <c r="G790" s="60" t="s">
        <v>394</v>
      </c>
      <c r="H790" s="61">
        <v>1</v>
      </c>
      <c r="I790" s="57" t="s">
        <v>948</v>
      </c>
      <c r="J790" s="58" t="s">
        <v>2052</v>
      </c>
      <c r="K790" s="58"/>
    </row>
    <row r="791" spans="1:11">
      <c r="A791" s="57">
        <f t="shared" si="12"/>
        <v>789</v>
      </c>
      <c r="B791" s="57" t="s">
        <v>1946</v>
      </c>
      <c r="C791" s="30" t="s">
        <v>155</v>
      </c>
      <c r="D791" s="58" t="s">
        <v>2061</v>
      </c>
      <c r="E791" s="91" t="s">
        <v>2062</v>
      </c>
      <c r="F791" s="57"/>
      <c r="G791" s="60" t="s">
        <v>394</v>
      </c>
      <c r="H791" s="61">
        <v>1</v>
      </c>
      <c r="I791" s="57" t="s">
        <v>948</v>
      </c>
      <c r="J791" s="58" t="s">
        <v>2052</v>
      </c>
      <c r="K791" s="58"/>
    </row>
    <row r="792" spans="1:11">
      <c r="A792" s="57">
        <f t="shared" si="12"/>
        <v>790</v>
      </c>
      <c r="B792" s="57" t="s">
        <v>1946</v>
      </c>
      <c r="C792" s="30" t="s">
        <v>155</v>
      </c>
      <c r="D792" s="58" t="s">
        <v>2063</v>
      </c>
      <c r="E792" s="91" t="s">
        <v>2064</v>
      </c>
      <c r="F792" s="57"/>
      <c r="G792" s="60" t="s">
        <v>394</v>
      </c>
      <c r="H792" s="61">
        <v>1</v>
      </c>
      <c r="I792" s="57" t="s">
        <v>948</v>
      </c>
      <c r="J792" s="58" t="s">
        <v>2052</v>
      </c>
      <c r="K792" s="58"/>
    </row>
    <row r="793" spans="1:11">
      <c r="A793" s="57">
        <f t="shared" si="12"/>
        <v>791</v>
      </c>
      <c r="B793" s="57" t="s">
        <v>1946</v>
      </c>
      <c r="C793" s="30" t="s">
        <v>155</v>
      </c>
      <c r="D793" s="58" t="s">
        <v>2065</v>
      </c>
      <c r="E793" s="91" t="s">
        <v>2066</v>
      </c>
      <c r="F793" s="57"/>
      <c r="G793" s="60" t="s">
        <v>394</v>
      </c>
      <c r="H793" s="61">
        <v>1</v>
      </c>
      <c r="I793" s="57" t="s">
        <v>948</v>
      </c>
      <c r="J793" s="58" t="s">
        <v>2052</v>
      </c>
      <c r="K793" s="58"/>
    </row>
    <row r="794" spans="1:11">
      <c r="A794" s="57">
        <f t="shared" si="12"/>
        <v>792</v>
      </c>
      <c r="B794" s="57" t="s">
        <v>1946</v>
      </c>
      <c r="C794" s="30" t="s">
        <v>155</v>
      </c>
      <c r="D794" s="58" t="s">
        <v>2067</v>
      </c>
      <c r="E794" s="91" t="s">
        <v>2068</v>
      </c>
      <c r="F794" s="57"/>
      <c r="G794" s="60" t="s">
        <v>394</v>
      </c>
      <c r="H794" s="61">
        <v>1</v>
      </c>
      <c r="I794" s="57" t="s">
        <v>948</v>
      </c>
      <c r="J794" s="58" t="s">
        <v>2052</v>
      </c>
      <c r="K794" s="58"/>
    </row>
    <row r="795" spans="1:11">
      <c r="A795" s="57">
        <f t="shared" si="12"/>
        <v>793</v>
      </c>
      <c r="B795" s="57" t="s">
        <v>1946</v>
      </c>
      <c r="C795" s="30" t="s">
        <v>155</v>
      </c>
      <c r="D795" s="58" t="s">
        <v>2069</v>
      </c>
      <c r="E795" s="91" t="s">
        <v>2070</v>
      </c>
      <c r="F795" s="57"/>
      <c r="G795" s="60" t="s">
        <v>394</v>
      </c>
      <c r="H795" s="61">
        <v>1</v>
      </c>
      <c r="I795" s="57" t="s">
        <v>948</v>
      </c>
      <c r="J795" s="58" t="s">
        <v>2052</v>
      </c>
      <c r="K795" s="58"/>
    </row>
    <row r="796" spans="1:11">
      <c r="A796" s="57">
        <f t="shared" si="12"/>
        <v>794</v>
      </c>
      <c r="B796" s="57" t="s">
        <v>1946</v>
      </c>
      <c r="C796" s="30" t="s">
        <v>155</v>
      </c>
      <c r="D796" s="58" t="s">
        <v>2071</v>
      </c>
      <c r="E796" s="91" t="s">
        <v>2072</v>
      </c>
      <c r="F796" s="57"/>
      <c r="G796" s="60" t="s">
        <v>394</v>
      </c>
      <c r="H796" s="61">
        <v>1</v>
      </c>
      <c r="I796" s="57" t="s">
        <v>948</v>
      </c>
      <c r="J796" s="58" t="s">
        <v>2052</v>
      </c>
      <c r="K796" s="58"/>
    </row>
    <row r="797" spans="1:11">
      <c r="A797" s="57">
        <f t="shared" si="12"/>
        <v>795</v>
      </c>
      <c r="B797" s="57" t="s">
        <v>1946</v>
      </c>
      <c r="C797" s="30" t="s">
        <v>155</v>
      </c>
      <c r="D797" s="58" t="s">
        <v>2073</v>
      </c>
      <c r="E797" s="91" t="s">
        <v>2074</v>
      </c>
      <c r="F797" s="57"/>
      <c r="G797" s="60" t="s">
        <v>394</v>
      </c>
      <c r="H797" s="61">
        <v>1</v>
      </c>
      <c r="I797" s="57" t="s">
        <v>948</v>
      </c>
      <c r="J797" s="58" t="s">
        <v>2052</v>
      </c>
      <c r="K797" s="58"/>
    </row>
    <row r="798" spans="1:11">
      <c r="A798" s="57">
        <f t="shared" si="12"/>
        <v>796</v>
      </c>
      <c r="B798" s="57" t="s">
        <v>1946</v>
      </c>
      <c r="C798" s="30" t="s">
        <v>155</v>
      </c>
      <c r="D798" s="58" t="s">
        <v>2075</v>
      </c>
      <c r="E798" s="91" t="s">
        <v>2076</v>
      </c>
      <c r="F798" s="57"/>
      <c r="G798" s="60" t="s">
        <v>394</v>
      </c>
      <c r="H798" s="61">
        <v>1</v>
      </c>
      <c r="I798" s="57" t="s">
        <v>948</v>
      </c>
      <c r="J798" s="58" t="s">
        <v>2052</v>
      </c>
      <c r="K798" s="58"/>
    </row>
    <row r="799" spans="1:11">
      <c r="A799" s="57">
        <f t="shared" si="12"/>
        <v>797</v>
      </c>
      <c r="B799" s="57" t="s">
        <v>1946</v>
      </c>
      <c r="C799" s="30" t="s">
        <v>155</v>
      </c>
      <c r="D799" s="58" t="s">
        <v>2077</v>
      </c>
      <c r="E799" s="91" t="s">
        <v>2078</v>
      </c>
      <c r="F799" s="57"/>
      <c r="G799" s="60" t="s">
        <v>394</v>
      </c>
      <c r="H799" s="61">
        <v>1</v>
      </c>
      <c r="I799" s="57" t="s">
        <v>948</v>
      </c>
      <c r="J799" s="58" t="s">
        <v>2052</v>
      </c>
      <c r="K799" s="58"/>
    </row>
    <row r="800" spans="1:11">
      <c r="A800" s="57">
        <f t="shared" si="12"/>
        <v>798</v>
      </c>
      <c r="B800" s="57" t="s">
        <v>1946</v>
      </c>
      <c r="C800" s="30" t="s">
        <v>155</v>
      </c>
      <c r="D800" s="58" t="s">
        <v>2079</v>
      </c>
      <c r="E800" s="91" t="s">
        <v>2080</v>
      </c>
      <c r="F800" s="57"/>
      <c r="G800" s="60" t="s">
        <v>394</v>
      </c>
      <c r="H800" s="61">
        <v>1</v>
      </c>
      <c r="I800" s="57" t="s">
        <v>948</v>
      </c>
      <c r="J800" s="58" t="s">
        <v>2052</v>
      </c>
      <c r="K800" s="58"/>
    </row>
    <row r="801" spans="1:11">
      <c r="A801" s="57">
        <f t="shared" si="12"/>
        <v>799</v>
      </c>
      <c r="B801" s="57" t="s">
        <v>1946</v>
      </c>
      <c r="C801" s="30" t="s">
        <v>155</v>
      </c>
      <c r="D801" s="58" t="s">
        <v>2081</v>
      </c>
      <c r="E801" s="91" t="s">
        <v>2082</v>
      </c>
      <c r="F801" s="57"/>
      <c r="G801" s="60" t="s">
        <v>394</v>
      </c>
      <c r="H801" s="61">
        <v>1</v>
      </c>
      <c r="I801" s="57" t="s">
        <v>948</v>
      </c>
      <c r="J801" s="58" t="s">
        <v>2052</v>
      </c>
      <c r="K801" s="58"/>
    </row>
    <row r="802" spans="1:11">
      <c r="A802" s="57">
        <f t="shared" si="12"/>
        <v>800</v>
      </c>
      <c r="B802" s="57" t="s">
        <v>1946</v>
      </c>
      <c r="C802" s="30" t="s">
        <v>155</v>
      </c>
      <c r="D802" s="58" t="s">
        <v>2083</v>
      </c>
      <c r="E802" s="91" t="s">
        <v>2084</v>
      </c>
      <c r="F802" s="57"/>
      <c r="G802" s="60" t="s">
        <v>394</v>
      </c>
      <c r="H802" s="61">
        <v>1</v>
      </c>
      <c r="I802" s="57" t="s">
        <v>948</v>
      </c>
      <c r="J802" s="58" t="s">
        <v>386</v>
      </c>
      <c r="K802" s="58"/>
    </row>
    <row r="803" spans="1:11">
      <c r="A803" s="57">
        <f t="shared" si="12"/>
        <v>801</v>
      </c>
      <c r="B803" s="57" t="s">
        <v>1946</v>
      </c>
      <c r="C803" s="30" t="s">
        <v>155</v>
      </c>
      <c r="D803" s="58" t="s">
        <v>2085</v>
      </c>
      <c r="E803" s="91" t="s">
        <v>2084</v>
      </c>
      <c r="F803" s="57"/>
      <c r="G803" s="60" t="s">
        <v>394</v>
      </c>
      <c r="H803" s="61">
        <v>1</v>
      </c>
      <c r="I803" s="57" t="s">
        <v>948</v>
      </c>
      <c r="J803" s="58" t="s">
        <v>386</v>
      </c>
      <c r="K803" s="58"/>
    </row>
    <row r="804" spans="1:11">
      <c r="A804" s="57">
        <f t="shared" si="12"/>
        <v>802</v>
      </c>
      <c r="B804" s="57" t="s">
        <v>1946</v>
      </c>
      <c r="C804" s="30" t="s">
        <v>155</v>
      </c>
      <c r="D804" s="58" t="s">
        <v>2086</v>
      </c>
      <c r="E804" s="91" t="s">
        <v>2087</v>
      </c>
      <c r="F804" s="57"/>
      <c r="G804" s="60" t="s">
        <v>394</v>
      </c>
      <c r="H804" s="61">
        <v>1</v>
      </c>
      <c r="I804" s="57" t="s">
        <v>2088</v>
      </c>
      <c r="J804" s="58" t="s">
        <v>2045</v>
      </c>
      <c r="K804" s="58"/>
    </row>
    <row r="805" spans="1:11">
      <c r="A805" s="57">
        <f t="shared" si="12"/>
        <v>803</v>
      </c>
      <c r="B805" s="57" t="s">
        <v>1946</v>
      </c>
      <c r="C805" s="30" t="s">
        <v>155</v>
      </c>
      <c r="D805" s="58" t="s">
        <v>2089</v>
      </c>
      <c r="E805" s="91" t="s">
        <v>2090</v>
      </c>
      <c r="F805" s="57"/>
      <c r="G805" s="60" t="s">
        <v>394</v>
      </c>
      <c r="H805" s="61">
        <v>1</v>
      </c>
      <c r="I805" s="57" t="s">
        <v>2088</v>
      </c>
      <c r="J805" s="58" t="s">
        <v>2045</v>
      </c>
      <c r="K805" s="58"/>
    </row>
    <row r="806" spans="1:11">
      <c r="A806" s="57">
        <f t="shared" si="12"/>
        <v>804</v>
      </c>
      <c r="B806" s="57" t="s">
        <v>1946</v>
      </c>
      <c r="C806" s="30" t="s">
        <v>155</v>
      </c>
      <c r="D806" s="58" t="s">
        <v>2091</v>
      </c>
      <c r="E806" s="91" t="s">
        <v>2092</v>
      </c>
      <c r="F806" s="57"/>
      <c r="G806" s="60" t="s">
        <v>394</v>
      </c>
      <c r="H806" s="61">
        <v>1</v>
      </c>
      <c r="I806" s="57" t="s">
        <v>948</v>
      </c>
      <c r="J806" s="58" t="s">
        <v>386</v>
      </c>
      <c r="K806" s="58"/>
    </row>
    <row r="807" spans="1:11">
      <c r="A807" s="57">
        <f t="shared" si="12"/>
        <v>805</v>
      </c>
      <c r="B807" s="57" t="s">
        <v>1946</v>
      </c>
      <c r="C807" s="30" t="s">
        <v>155</v>
      </c>
      <c r="D807" s="58" t="s">
        <v>2093</v>
      </c>
      <c r="E807" s="91" t="s">
        <v>2094</v>
      </c>
      <c r="F807" s="57"/>
      <c r="G807" s="60" t="s">
        <v>394</v>
      </c>
      <c r="H807" s="61">
        <v>1</v>
      </c>
      <c r="I807" s="57" t="s">
        <v>948</v>
      </c>
      <c r="J807" s="58" t="s">
        <v>386</v>
      </c>
      <c r="K807" s="58"/>
    </row>
    <row r="808" spans="1:11">
      <c r="A808" s="57">
        <f t="shared" si="12"/>
        <v>806</v>
      </c>
      <c r="B808" s="57" t="s">
        <v>1946</v>
      </c>
      <c r="C808" s="30" t="s">
        <v>155</v>
      </c>
      <c r="D808" s="58" t="s">
        <v>2095</v>
      </c>
      <c r="E808" s="91" t="s">
        <v>2096</v>
      </c>
      <c r="F808" s="57"/>
      <c r="G808" s="60" t="s">
        <v>394</v>
      </c>
      <c r="H808" s="61">
        <v>1</v>
      </c>
      <c r="I808" s="57" t="s">
        <v>948</v>
      </c>
      <c r="J808" s="58" t="s">
        <v>2052</v>
      </c>
      <c r="K808" s="58"/>
    </row>
    <row r="809" spans="1:11">
      <c r="A809" s="57">
        <f t="shared" si="12"/>
        <v>807</v>
      </c>
      <c r="B809" s="57" t="s">
        <v>1946</v>
      </c>
      <c r="C809" s="30" t="s">
        <v>155</v>
      </c>
      <c r="D809" s="58" t="s">
        <v>2097</v>
      </c>
      <c r="E809" s="91" t="s">
        <v>2098</v>
      </c>
      <c r="F809" s="57"/>
      <c r="G809" s="60" t="s">
        <v>394</v>
      </c>
      <c r="H809" s="61">
        <v>1</v>
      </c>
      <c r="I809" s="57" t="s">
        <v>948</v>
      </c>
      <c r="J809" s="58" t="s">
        <v>386</v>
      </c>
      <c r="K809" s="58"/>
    </row>
    <row r="810" spans="1:11">
      <c r="A810" s="57">
        <f t="shared" si="12"/>
        <v>808</v>
      </c>
      <c r="B810" s="57" t="s">
        <v>1946</v>
      </c>
      <c r="C810" s="30" t="s">
        <v>155</v>
      </c>
      <c r="D810" s="58" t="s">
        <v>2099</v>
      </c>
      <c r="E810" s="91" t="s">
        <v>2100</v>
      </c>
      <c r="F810" s="57"/>
      <c r="G810" s="60" t="s">
        <v>394</v>
      </c>
      <c r="H810" s="61">
        <v>1</v>
      </c>
      <c r="I810" s="57" t="s">
        <v>948</v>
      </c>
      <c r="J810" s="58" t="s">
        <v>386</v>
      </c>
      <c r="K810" s="58"/>
    </row>
    <row r="811" spans="1:11">
      <c r="A811" s="57">
        <f t="shared" si="12"/>
        <v>809</v>
      </c>
      <c r="B811" s="57" t="s">
        <v>1946</v>
      </c>
      <c r="C811" s="30" t="s">
        <v>155</v>
      </c>
      <c r="D811" s="58" t="s">
        <v>2101</v>
      </c>
      <c r="E811" s="91" t="s">
        <v>2102</v>
      </c>
      <c r="F811" s="57"/>
      <c r="G811" s="60" t="s">
        <v>394</v>
      </c>
      <c r="H811" s="61">
        <v>1</v>
      </c>
      <c r="I811" s="57" t="s">
        <v>948</v>
      </c>
      <c r="J811" s="58" t="s">
        <v>2052</v>
      </c>
      <c r="K811" s="58"/>
    </row>
    <row r="812" spans="1:11">
      <c r="A812" s="57">
        <f t="shared" si="12"/>
        <v>810</v>
      </c>
      <c r="B812" s="57" t="s">
        <v>1946</v>
      </c>
      <c r="C812" s="30" t="s">
        <v>155</v>
      </c>
      <c r="D812" s="58" t="s">
        <v>2103</v>
      </c>
      <c r="E812" s="91" t="s">
        <v>2104</v>
      </c>
      <c r="F812" s="57"/>
      <c r="G812" s="60" t="s">
        <v>394</v>
      </c>
      <c r="H812" s="61">
        <v>1</v>
      </c>
      <c r="I812" s="57" t="s">
        <v>948</v>
      </c>
      <c r="J812" s="58" t="s">
        <v>2052</v>
      </c>
      <c r="K812" s="58"/>
    </row>
    <row r="813" spans="1:11">
      <c r="A813" s="57">
        <f t="shared" si="12"/>
        <v>811</v>
      </c>
      <c r="B813" s="57" t="s">
        <v>1946</v>
      </c>
      <c r="C813" s="30" t="s">
        <v>155</v>
      </c>
      <c r="D813" s="58" t="s">
        <v>2105</v>
      </c>
      <c r="E813" s="91" t="s">
        <v>2106</v>
      </c>
      <c r="F813" s="57"/>
      <c r="G813" s="60" t="s">
        <v>394</v>
      </c>
      <c r="H813" s="61">
        <v>1</v>
      </c>
      <c r="I813" s="57" t="s">
        <v>948</v>
      </c>
      <c r="J813" s="58" t="s">
        <v>386</v>
      </c>
      <c r="K813" s="58"/>
    </row>
    <row r="814" spans="1:11">
      <c r="A814" s="57">
        <f t="shared" si="12"/>
        <v>812</v>
      </c>
      <c r="B814" s="57" t="s">
        <v>1946</v>
      </c>
      <c r="C814" s="30" t="s">
        <v>155</v>
      </c>
      <c r="D814" s="58" t="s">
        <v>2107</v>
      </c>
      <c r="E814" s="91" t="s">
        <v>2108</v>
      </c>
      <c r="F814" s="57"/>
      <c r="G814" s="60" t="s">
        <v>394</v>
      </c>
      <c r="H814" s="61">
        <v>1</v>
      </c>
      <c r="I814" s="57"/>
      <c r="J814" s="58" t="s">
        <v>386</v>
      </c>
      <c r="K814" s="58"/>
    </row>
    <row r="815" spans="1:11">
      <c r="A815" s="57">
        <f t="shared" si="12"/>
        <v>813</v>
      </c>
      <c r="B815" s="57" t="s">
        <v>1946</v>
      </c>
      <c r="C815" s="30" t="s">
        <v>155</v>
      </c>
      <c r="D815" s="58" t="s">
        <v>2109</v>
      </c>
      <c r="E815" s="91" t="s">
        <v>2110</v>
      </c>
      <c r="F815" s="57"/>
      <c r="G815" s="60" t="s">
        <v>394</v>
      </c>
      <c r="H815" s="61">
        <v>1</v>
      </c>
      <c r="I815" s="57" t="s">
        <v>948</v>
      </c>
      <c r="J815" s="58" t="s">
        <v>386</v>
      </c>
      <c r="K815" s="58"/>
    </row>
    <row r="816" spans="1:11">
      <c r="A816" s="57">
        <f t="shared" si="12"/>
        <v>814</v>
      </c>
      <c r="B816" s="57" t="s">
        <v>1946</v>
      </c>
      <c r="C816" s="30" t="s">
        <v>155</v>
      </c>
      <c r="D816" s="58" t="s">
        <v>2111</v>
      </c>
      <c r="E816" s="91" t="s">
        <v>2112</v>
      </c>
      <c r="F816" s="57"/>
      <c r="G816" s="60" t="s">
        <v>394</v>
      </c>
      <c r="H816" s="61">
        <v>1</v>
      </c>
      <c r="I816" s="57" t="s">
        <v>948</v>
      </c>
      <c r="J816" s="58" t="s">
        <v>386</v>
      </c>
      <c r="K816" s="58"/>
    </row>
    <row r="817" spans="1:11">
      <c r="A817" s="57">
        <f t="shared" si="12"/>
        <v>815</v>
      </c>
      <c r="B817" s="57" t="s">
        <v>1946</v>
      </c>
      <c r="C817" s="30" t="s">
        <v>155</v>
      </c>
      <c r="D817" s="58" t="s">
        <v>2113</v>
      </c>
      <c r="E817" s="91" t="s">
        <v>2114</v>
      </c>
      <c r="F817" s="57"/>
      <c r="G817" s="60" t="s">
        <v>394</v>
      </c>
      <c r="H817" s="61">
        <v>1</v>
      </c>
      <c r="I817" s="57" t="s">
        <v>948</v>
      </c>
      <c r="J817" s="58" t="s">
        <v>386</v>
      </c>
      <c r="K817" s="58"/>
    </row>
    <row r="818" spans="1:11">
      <c r="A818" s="57">
        <f t="shared" si="12"/>
        <v>816</v>
      </c>
      <c r="B818" s="57" t="s">
        <v>1946</v>
      </c>
      <c r="C818" s="30" t="s">
        <v>155</v>
      </c>
      <c r="D818" s="58" t="s">
        <v>2115</v>
      </c>
      <c r="E818" s="91" t="s">
        <v>2116</v>
      </c>
      <c r="F818" s="57"/>
      <c r="G818" s="60" t="s">
        <v>394</v>
      </c>
      <c r="H818" s="61">
        <v>1</v>
      </c>
      <c r="I818" s="57" t="s">
        <v>948</v>
      </c>
      <c r="J818" s="58" t="s">
        <v>386</v>
      </c>
      <c r="K818" s="58"/>
    </row>
    <row r="819" spans="1:11">
      <c r="A819" s="57">
        <f t="shared" si="12"/>
        <v>817</v>
      </c>
      <c r="B819" s="57" t="s">
        <v>1946</v>
      </c>
      <c r="C819" s="30" t="s">
        <v>155</v>
      </c>
      <c r="D819" s="58" t="s">
        <v>2117</v>
      </c>
      <c r="E819" s="91" t="s">
        <v>2118</v>
      </c>
      <c r="F819" s="57"/>
      <c r="G819" s="60" t="s">
        <v>394</v>
      </c>
      <c r="H819" s="61">
        <v>1</v>
      </c>
      <c r="I819" s="57" t="s">
        <v>948</v>
      </c>
      <c r="J819" s="58" t="s">
        <v>386</v>
      </c>
      <c r="K819" s="58"/>
    </row>
    <row r="820" spans="1:11">
      <c r="A820" s="57">
        <f t="shared" si="12"/>
        <v>818</v>
      </c>
      <c r="B820" s="57" t="s">
        <v>1946</v>
      </c>
      <c r="C820" s="30" t="s">
        <v>155</v>
      </c>
      <c r="D820" s="58" t="s">
        <v>2119</v>
      </c>
      <c r="E820" s="91" t="s">
        <v>2120</v>
      </c>
      <c r="F820" s="57"/>
      <c r="G820" s="60" t="s">
        <v>394</v>
      </c>
      <c r="H820" s="61">
        <v>1</v>
      </c>
      <c r="I820" s="57" t="s">
        <v>948</v>
      </c>
      <c r="J820" s="58" t="s">
        <v>2045</v>
      </c>
      <c r="K820" s="58"/>
    </row>
    <row r="821" spans="1:11">
      <c r="A821" s="57">
        <f t="shared" si="12"/>
        <v>819</v>
      </c>
      <c r="B821" s="57" t="s">
        <v>1946</v>
      </c>
      <c r="C821" s="30" t="s">
        <v>155</v>
      </c>
      <c r="D821" s="58" t="s">
        <v>2121</v>
      </c>
      <c r="E821" s="91" t="s">
        <v>2122</v>
      </c>
      <c r="F821" s="57"/>
      <c r="G821" s="60" t="s">
        <v>394</v>
      </c>
      <c r="H821" s="61">
        <v>1</v>
      </c>
      <c r="I821" s="57" t="s">
        <v>948</v>
      </c>
      <c r="J821" s="58" t="s">
        <v>386</v>
      </c>
      <c r="K821" s="58"/>
    </row>
    <row r="822" spans="1:11">
      <c r="A822" s="57">
        <f t="shared" si="12"/>
        <v>820</v>
      </c>
      <c r="B822" s="57" t="s">
        <v>1946</v>
      </c>
      <c r="C822" s="30" t="s">
        <v>773</v>
      </c>
      <c r="D822" s="58" t="s">
        <v>2123</v>
      </c>
      <c r="E822" s="91" t="s">
        <v>2124</v>
      </c>
      <c r="F822" s="57"/>
      <c r="G822" s="60" t="s">
        <v>394</v>
      </c>
      <c r="H822" s="61">
        <v>1</v>
      </c>
      <c r="I822" s="57" t="s">
        <v>948</v>
      </c>
      <c r="J822" s="58" t="s">
        <v>2125</v>
      </c>
      <c r="K822" s="58"/>
    </row>
    <row r="823" spans="1:11">
      <c r="A823" s="57">
        <f t="shared" si="12"/>
        <v>821</v>
      </c>
      <c r="B823" s="57" t="s">
        <v>1946</v>
      </c>
      <c r="C823" s="30" t="s">
        <v>773</v>
      </c>
      <c r="D823" s="58" t="s">
        <v>2126</v>
      </c>
      <c r="E823" s="91" t="s">
        <v>2127</v>
      </c>
      <c r="F823" s="57"/>
      <c r="G823" s="60" t="s">
        <v>394</v>
      </c>
      <c r="H823" s="61">
        <v>1</v>
      </c>
      <c r="I823" s="57" t="s">
        <v>948</v>
      </c>
      <c r="J823" s="58" t="s">
        <v>2125</v>
      </c>
      <c r="K823" s="58"/>
    </row>
    <row r="824" spans="1:11">
      <c r="A824" s="57">
        <f t="shared" si="12"/>
        <v>822</v>
      </c>
      <c r="B824" s="57" t="s">
        <v>1946</v>
      </c>
      <c r="C824" s="30" t="s">
        <v>773</v>
      </c>
      <c r="D824" s="58" t="s">
        <v>2128</v>
      </c>
      <c r="E824" s="91" t="s">
        <v>2129</v>
      </c>
      <c r="F824" s="57"/>
      <c r="G824" s="60" t="s">
        <v>394</v>
      </c>
      <c r="H824" s="61">
        <v>1</v>
      </c>
      <c r="I824" s="57" t="s">
        <v>948</v>
      </c>
      <c r="J824" s="58" t="s">
        <v>2125</v>
      </c>
      <c r="K824" s="58"/>
    </row>
    <row r="825" spans="1:11">
      <c r="A825" s="57">
        <f t="shared" si="12"/>
        <v>823</v>
      </c>
      <c r="B825" s="57" t="s">
        <v>1946</v>
      </c>
      <c r="C825" s="30" t="s">
        <v>773</v>
      </c>
      <c r="D825" s="58" t="s">
        <v>2130</v>
      </c>
      <c r="E825" s="91" t="s">
        <v>2131</v>
      </c>
      <c r="F825" s="57"/>
      <c r="G825" s="60" t="s">
        <v>394</v>
      </c>
      <c r="H825" s="61">
        <v>1</v>
      </c>
      <c r="I825" s="57" t="s">
        <v>948</v>
      </c>
      <c r="J825" s="58" t="s">
        <v>2125</v>
      </c>
      <c r="K825" s="58"/>
    </row>
    <row r="826" spans="1:11">
      <c r="A826" s="57">
        <f t="shared" si="12"/>
        <v>824</v>
      </c>
      <c r="B826" s="57" t="s">
        <v>1946</v>
      </c>
      <c r="C826" s="30" t="s">
        <v>773</v>
      </c>
      <c r="D826" s="58" t="s">
        <v>2132</v>
      </c>
      <c r="E826" s="91" t="s">
        <v>2133</v>
      </c>
      <c r="F826" s="57"/>
      <c r="G826" s="60" t="s">
        <v>394</v>
      </c>
      <c r="H826" s="61">
        <v>1</v>
      </c>
      <c r="I826" s="57" t="s">
        <v>948</v>
      </c>
      <c r="J826" s="58" t="s">
        <v>2125</v>
      </c>
      <c r="K826" s="58"/>
    </row>
    <row r="827" spans="1:11">
      <c r="A827" s="57">
        <f t="shared" si="12"/>
        <v>825</v>
      </c>
      <c r="B827" s="57" t="s">
        <v>1946</v>
      </c>
      <c r="C827" s="30" t="s">
        <v>773</v>
      </c>
      <c r="D827" s="58" t="s">
        <v>2134</v>
      </c>
      <c r="E827" s="91" t="s">
        <v>2135</v>
      </c>
      <c r="F827" s="57"/>
      <c r="G827" s="60" t="s">
        <v>394</v>
      </c>
      <c r="H827" s="61">
        <v>1</v>
      </c>
      <c r="I827" s="57" t="s">
        <v>948</v>
      </c>
      <c r="J827" s="58" t="s">
        <v>2125</v>
      </c>
      <c r="K827" s="58"/>
    </row>
    <row r="828" spans="1:11">
      <c r="A828" s="57">
        <f t="shared" si="12"/>
        <v>826</v>
      </c>
      <c r="B828" s="57" t="s">
        <v>1946</v>
      </c>
      <c r="C828" s="30" t="s">
        <v>773</v>
      </c>
      <c r="D828" s="58" t="s">
        <v>2136</v>
      </c>
      <c r="E828" s="91" t="s">
        <v>2137</v>
      </c>
      <c r="F828" s="57"/>
      <c r="G828" s="60" t="s">
        <v>394</v>
      </c>
      <c r="H828" s="61">
        <v>1</v>
      </c>
      <c r="I828" s="57" t="s">
        <v>948</v>
      </c>
      <c r="J828" s="58" t="s">
        <v>2125</v>
      </c>
      <c r="K828" s="58"/>
    </row>
    <row r="829" spans="1:11">
      <c r="A829" s="57">
        <f t="shared" si="12"/>
        <v>827</v>
      </c>
      <c r="B829" s="57" t="s">
        <v>1946</v>
      </c>
      <c r="C829" s="30" t="s">
        <v>773</v>
      </c>
      <c r="D829" s="58" t="s">
        <v>2138</v>
      </c>
      <c r="E829" s="91" t="s">
        <v>2139</v>
      </c>
      <c r="F829" s="57"/>
      <c r="G829" s="60" t="s">
        <v>394</v>
      </c>
      <c r="H829" s="61">
        <v>1</v>
      </c>
      <c r="I829" s="57" t="s">
        <v>948</v>
      </c>
      <c r="J829" s="58" t="s">
        <v>2125</v>
      </c>
      <c r="K829" s="58"/>
    </row>
    <row r="830" spans="1:11">
      <c r="A830" s="57">
        <f t="shared" si="12"/>
        <v>828</v>
      </c>
      <c r="B830" s="57" t="s">
        <v>1946</v>
      </c>
      <c r="C830" s="30" t="s">
        <v>773</v>
      </c>
      <c r="D830" s="58" t="s">
        <v>2140</v>
      </c>
      <c r="E830" s="91" t="s">
        <v>2141</v>
      </c>
      <c r="F830" s="57"/>
      <c r="G830" s="60" t="s">
        <v>394</v>
      </c>
      <c r="H830" s="61">
        <v>1</v>
      </c>
      <c r="I830" s="57" t="s">
        <v>948</v>
      </c>
      <c r="J830" s="58" t="s">
        <v>2125</v>
      </c>
      <c r="K830" s="58"/>
    </row>
    <row r="831" spans="1:11">
      <c r="A831" s="57">
        <f t="shared" si="12"/>
        <v>829</v>
      </c>
      <c r="B831" s="57" t="s">
        <v>1946</v>
      </c>
      <c r="C831" s="30" t="s">
        <v>773</v>
      </c>
      <c r="D831" s="58" t="s">
        <v>2142</v>
      </c>
      <c r="E831" s="91" t="s">
        <v>2143</v>
      </c>
      <c r="F831" s="57"/>
      <c r="G831" s="60" t="s">
        <v>394</v>
      </c>
      <c r="H831" s="61">
        <v>1</v>
      </c>
      <c r="I831" s="57" t="s">
        <v>948</v>
      </c>
      <c r="J831" s="58" t="s">
        <v>2125</v>
      </c>
      <c r="K831" s="58"/>
    </row>
    <row r="832" spans="1:11">
      <c r="A832" s="62">
        <f t="shared" si="12"/>
        <v>830</v>
      </c>
      <c r="B832" s="62" t="s">
        <v>1946</v>
      </c>
      <c r="C832" s="31" t="s">
        <v>773</v>
      </c>
      <c r="D832" s="63" t="s">
        <v>2144</v>
      </c>
      <c r="E832" s="92" t="s">
        <v>2145</v>
      </c>
      <c r="F832" s="62"/>
      <c r="G832" s="89" t="s">
        <v>394</v>
      </c>
      <c r="H832" s="66">
        <v>1</v>
      </c>
      <c r="I832" s="62"/>
      <c r="J832" s="63" t="s">
        <v>2052</v>
      </c>
      <c r="K832" s="63"/>
    </row>
    <row r="833" spans="1:11">
      <c r="A833" s="57">
        <f t="shared" si="12"/>
        <v>831</v>
      </c>
      <c r="B833" s="57" t="s">
        <v>1946</v>
      </c>
      <c r="C833" s="30" t="s">
        <v>773</v>
      </c>
      <c r="D833" s="58" t="s">
        <v>2146</v>
      </c>
      <c r="E833" s="91" t="s">
        <v>2147</v>
      </c>
      <c r="F833" s="57"/>
      <c r="G833" s="60" t="s">
        <v>394</v>
      </c>
      <c r="H833" s="61">
        <v>1</v>
      </c>
      <c r="I833" s="57" t="s">
        <v>948</v>
      </c>
      <c r="J833" s="58" t="s">
        <v>2052</v>
      </c>
      <c r="K833" s="58"/>
    </row>
    <row r="834" spans="1:11">
      <c r="A834" s="57">
        <f t="shared" si="12"/>
        <v>832</v>
      </c>
      <c r="B834" s="57" t="s">
        <v>1946</v>
      </c>
      <c r="C834" s="30" t="s">
        <v>773</v>
      </c>
      <c r="D834" s="58" t="s">
        <v>2148</v>
      </c>
      <c r="E834" s="91" t="s">
        <v>2149</v>
      </c>
      <c r="F834" s="57"/>
      <c r="G834" s="60" t="s">
        <v>394</v>
      </c>
      <c r="H834" s="61">
        <v>1</v>
      </c>
      <c r="I834" s="57" t="s">
        <v>948</v>
      </c>
      <c r="J834" s="58" t="s">
        <v>2052</v>
      </c>
      <c r="K834" s="58"/>
    </row>
    <row r="835" spans="1:11">
      <c r="A835" s="57">
        <f t="shared" si="12"/>
        <v>833</v>
      </c>
      <c r="B835" s="57" t="s">
        <v>1946</v>
      </c>
      <c r="C835" s="30" t="s">
        <v>773</v>
      </c>
      <c r="D835" s="58" t="s">
        <v>2150</v>
      </c>
      <c r="E835" s="91" t="s">
        <v>2151</v>
      </c>
      <c r="F835" s="57"/>
      <c r="G835" s="60" t="s">
        <v>394</v>
      </c>
      <c r="H835" s="61">
        <v>1</v>
      </c>
      <c r="I835" s="57" t="s">
        <v>948</v>
      </c>
      <c r="J835" s="58" t="s">
        <v>2052</v>
      </c>
      <c r="K835" s="58"/>
    </row>
    <row r="836" spans="1:11">
      <c r="A836" s="57">
        <f t="shared" si="12"/>
        <v>834</v>
      </c>
      <c r="B836" s="57" t="s">
        <v>1946</v>
      </c>
      <c r="C836" s="30" t="s">
        <v>773</v>
      </c>
      <c r="D836" s="58" t="s">
        <v>2152</v>
      </c>
      <c r="E836" s="91" t="s">
        <v>1397</v>
      </c>
      <c r="F836" s="57"/>
      <c r="G836" s="60" t="s">
        <v>394</v>
      </c>
      <c r="H836" s="61">
        <v>1</v>
      </c>
      <c r="I836" s="57" t="s">
        <v>948</v>
      </c>
      <c r="J836" s="58" t="s">
        <v>386</v>
      </c>
      <c r="K836" s="58"/>
    </row>
    <row r="837" spans="1:11">
      <c r="A837" s="57">
        <f t="shared" si="12"/>
        <v>835</v>
      </c>
      <c r="B837" s="57" t="s">
        <v>1946</v>
      </c>
      <c r="C837" s="30" t="s">
        <v>773</v>
      </c>
      <c r="D837" s="58" t="s">
        <v>2153</v>
      </c>
      <c r="E837" s="91" t="s">
        <v>2154</v>
      </c>
      <c r="F837" s="57"/>
      <c r="G837" s="60" t="s">
        <v>394</v>
      </c>
      <c r="H837" s="61">
        <v>1</v>
      </c>
      <c r="I837" s="57" t="s">
        <v>948</v>
      </c>
      <c r="J837" s="58" t="s">
        <v>2125</v>
      </c>
      <c r="K837" s="58"/>
    </row>
    <row r="838" spans="1:11">
      <c r="A838" s="57">
        <f t="shared" si="12"/>
        <v>836</v>
      </c>
      <c r="B838" s="57" t="s">
        <v>1946</v>
      </c>
      <c r="C838" s="30" t="s">
        <v>773</v>
      </c>
      <c r="D838" s="58" t="s">
        <v>2155</v>
      </c>
      <c r="E838" s="91" t="s">
        <v>2156</v>
      </c>
      <c r="F838" s="57"/>
      <c r="G838" s="60" t="s">
        <v>394</v>
      </c>
      <c r="H838" s="61">
        <v>1</v>
      </c>
      <c r="I838" s="57" t="s">
        <v>948</v>
      </c>
      <c r="J838" s="58" t="s">
        <v>838</v>
      </c>
      <c r="K838" s="58"/>
    </row>
    <row r="839" spans="1:11">
      <c r="A839" s="57">
        <f t="shared" si="12"/>
        <v>837</v>
      </c>
      <c r="B839" s="57" t="s">
        <v>1946</v>
      </c>
      <c r="C839" s="30" t="s">
        <v>773</v>
      </c>
      <c r="D839" s="58" t="s">
        <v>2157</v>
      </c>
      <c r="E839" s="91" t="s">
        <v>2158</v>
      </c>
      <c r="F839" s="57"/>
      <c r="G839" s="60" t="s">
        <v>394</v>
      </c>
      <c r="H839" s="61">
        <v>1</v>
      </c>
      <c r="I839" s="57" t="s">
        <v>948</v>
      </c>
      <c r="J839" s="58" t="s">
        <v>838</v>
      </c>
      <c r="K839" s="58"/>
    </row>
    <row r="840" spans="1:11">
      <c r="A840" s="57">
        <f t="shared" si="12"/>
        <v>838</v>
      </c>
      <c r="B840" s="57" t="s">
        <v>1946</v>
      </c>
      <c r="C840" s="30" t="s">
        <v>773</v>
      </c>
      <c r="D840" s="58" t="s">
        <v>2159</v>
      </c>
      <c r="E840" s="91" t="s">
        <v>779</v>
      </c>
      <c r="F840" s="57"/>
      <c r="G840" s="60" t="s">
        <v>394</v>
      </c>
      <c r="H840" s="61">
        <v>1</v>
      </c>
      <c r="I840" s="57" t="s">
        <v>948</v>
      </c>
      <c r="J840" s="58" t="s">
        <v>2125</v>
      </c>
      <c r="K840" s="58"/>
    </row>
    <row r="841" spans="1:11">
      <c r="A841" s="57">
        <f t="shared" si="12"/>
        <v>839</v>
      </c>
      <c r="B841" s="57" t="s">
        <v>1946</v>
      </c>
      <c r="C841" s="30" t="s">
        <v>773</v>
      </c>
      <c r="D841" s="58" t="s">
        <v>2160</v>
      </c>
      <c r="E841" s="91" t="s">
        <v>2161</v>
      </c>
      <c r="F841" s="57"/>
      <c r="G841" s="60" t="s">
        <v>394</v>
      </c>
      <c r="H841" s="61">
        <v>1</v>
      </c>
      <c r="I841" s="57" t="s">
        <v>948</v>
      </c>
      <c r="J841" s="58" t="s">
        <v>838</v>
      </c>
      <c r="K841" s="58"/>
    </row>
    <row r="842" spans="1:11">
      <c r="A842" s="57">
        <f t="shared" ref="A842:A861" si="13">ROW()-2</f>
        <v>840</v>
      </c>
      <c r="B842" s="57" t="s">
        <v>1946</v>
      </c>
      <c r="C842" s="30" t="s">
        <v>773</v>
      </c>
      <c r="D842" s="58" t="s">
        <v>2162</v>
      </c>
      <c r="E842" s="91" t="s">
        <v>2163</v>
      </c>
      <c r="F842" s="57"/>
      <c r="G842" s="60" t="s">
        <v>394</v>
      </c>
      <c r="H842" s="61">
        <v>1</v>
      </c>
      <c r="I842" s="57" t="s">
        <v>948</v>
      </c>
      <c r="J842" s="58" t="s">
        <v>838</v>
      </c>
      <c r="K842" s="58"/>
    </row>
    <row r="843" spans="1:11">
      <c r="A843" s="57">
        <f t="shared" si="13"/>
        <v>841</v>
      </c>
      <c r="B843" s="57" t="s">
        <v>1946</v>
      </c>
      <c r="C843" s="30" t="s">
        <v>773</v>
      </c>
      <c r="D843" s="58" t="s">
        <v>2164</v>
      </c>
      <c r="E843" s="91" t="s">
        <v>2165</v>
      </c>
      <c r="F843" s="57"/>
      <c r="G843" s="60" t="s">
        <v>394</v>
      </c>
      <c r="H843" s="61">
        <v>1</v>
      </c>
      <c r="I843" s="57" t="s">
        <v>948</v>
      </c>
      <c r="J843" s="58" t="s">
        <v>838</v>
      </c>
      <c r="K843" s="58"/>
    </row>
    <row r="844" spans="1:11">
      <c r="A844" s="57">
        <f t="shared" si="13"/>
        <v>842</v>
      </c>
      <c r="B844" s="57" t="s">
        <v>1946</v>
      </c>
      <c r="C844" s="30" t="s">
        <v>773</v>
      </c>
      <c r="D844" s="58" t="s">
        <v>2166</v>
      </c>
      <c r="E844" s="91" t="s">
        <v>2167</v>
      </c>
      <c r="F844" s="57"/>
      <c r="G844" s="60" t="s">
        <v>394</v>
      </c>
      <c r="H844" s="61">
        <v>1</v>
      </c>
      <c r="I844" s="57" t="s">
        <v>948</v>
      </c>
      <c r="J844" s="58" t="s">
        <v>838</v>
      </c>
      <c r="K844" s="58"/>
    </row>
    <row r="845" spans="1:11">
      <c r="A845" s="57">
        <f t="shared" si="13"/>
        <v>843</v>
      </c>
      <c r="B845" s="57" t="s">
        <v>1946</v>
      </c>
      <c r="C845" s="30" t="s">
        <v>773</v>
      </c>
      <c r="D845" s="58" t="s">
        <v>2168</v>
      </c>
      <c r="E845" s="91" t="s">
        <v>2169</v>
      </c>
      <c r="F845" s="57"/>
      <c r="G845" s="60" t="s">
        <v>394</v>
      </c>
      <c r="H845" s="61">
        <v>1</v>
      </c>
      <c r="I845" s="57"/>
      <c r="J845" s="58" t="s">
        <v>838</v>
      </c>
      <c r="K845" s="58"/>
    </row>
    <row r="846" spans="1:11">
      <c r="A846" s="57">
        <f t="shared" si="13"/>
        <v>844</v>
      </c>
      <c r="B846" s="57" t="s">
        <v>1946</v>
      </c>
      <c r="C846" s="30" t="s">
        <v>773</v>
      </c>
      <c r="D846" s="58" t="s">
        <v>2170</v>
      </c>
      <c r="E846" s="91" t="s">
        <v>2171</v>
      </c>
      <c r="F846" s="57"/>
      <c r="G846" s="60" t="s">
        <v>394</v>
      </c>
      <c r="H846" s="61">
        <v>1</v>
      </c>
      <c r="I846" s="57" t="s">
        <v>948</v>
      </c>
      <c r="J846" s="58" t="s">
        <v>838</v>
      </c>
      <c r="K846" s="58"/>
    </row>
    <row r="847" spans="1:11">
      <c r="A847" s="57">
        <f t="shared" si="13"/>
        <v>845</v>
      </c>
      <c r="B847" s="57" t="s">
        <v>1946</v>
      </c>
      <c r="C847" s="30" t="s">
        <v>773</v>
      </c>
      <c r="D847" s="58" t="s">
        <v>2172</v>
      </c>
      <c r="E847" s="91" t="s">
        <v>2173</v>
      </c>
      <c r="F847" s="57"/>
      <c r="G847" s="60" t="s">
        <v>394</v>
      </c>
      <c r="H847" s="61">
        <v>1</v>
      </c>
      <c r="I847" s="57" t="s">
        <v>948</v>
      </c>
      <c r="J847" s="58" t="s">
        <v>2125</v>
      </c>
      <c r="K847" s="58"/>
    </row>
    <row r="848" spans="1:11">
      <c r="A848" s="57">
        <f t="shared" si="13"/>
        <v>846</v>
      </c>
      <c r="B848" s="57" t="s">
        <v>1946</v>
      </c>
      <c r="C848" s="30" t="s">
        <v>665</v>
      </c>
      <c r="D848" s="58" t="s">
        <v>2174</v>
      </c>
      <c r="E848" s="91" t="s">
        <v>2175</v>
      </c>
      <c r="F848" s="57"/>
      <c r="G848" s="60" t="s">
        <v>394</v>
      </c>
      <c r="H848" s="61">
        <v>1</v>
      </c>
      <c r="I848" s="57" t="s">
        <v>948</v>
      </c>
      <c r="J848" s="58" t="s">
        <v>2125</v>
      </c>
      <c r="K848" s="58"/>
    </row>
    <row r="849" spans="1:11">
      <c r="A849" s="57">
        <f t="shared" si="13"/>
        <v>847</v>
      </c>
      <c r="B849" s="57" t="s">
        <v>1946</v>
      </c>
      <c r="C849" s="30" t="s">
        <v>665</v>
      </c>
      <c r="D849" s="58" t="s">
        <v>2176</v>
      </c>
      <c r="E849" s="91" t="s">
        <v>2177</v>
      </c>
      <c r="F849" s="57"/>
      <c r="G849" s="60" t="s">
        <v>394</v>
      </c>
      <c r="H849" s="61">
        <v>1</v>
      </c>
      <c r="I849" s="57" t="s">
        <v>948</v>
      </c>
      <c r="J849" s="58" t="s">
        <v>2125</v>
      </c>
      <c r="K849" s="58"/>
    </row>
    <row r="850" spans="1:11">
      <c r="A850" s="57">
        <f t="shared" si="13"/>
        <v>848</v>
      </c>
      <c r="B850" s="57" t="s">
        <v>1946</v>
      </c>
      <c r="C850" s="30" t="s">
        <v>665</v>
      </c>
      <c r="D850" s="58" t="s">
        <v>2178</v>
      </c>
      <c r="E850" s="91" t="s">
        <v>749</v>
      </c>
      <c r="F850" s="57"/>
      <c r="G850" s="60" t="s">
        <v>394</v>
      </c>
      <c r="H850" s="61">
        <v>1</v>
      </c>
      <c r="I850" s="57" t="s">
        <v>948</v>
      </c>
      <c r="J850" s="58" t="s">
        <v>2125</v>
      </c>
      <c r="K850" s="58"/>
    </row>
    <row r="851" spans="1:11">
      <c r="A851" s="57">
        <f t="shared" si="13"/>
        <v>849</v>
      </c>
      <c r="B851" s="57" t="s">
        <v>1946</v>
      </c>
      <c r="C851" s="30" t="s">
        <v>665</v>
      </c>
      <c r="D851" s="58" t="s">
        <v>2179</v>
      </c>
      <c r="E851" s="91" t="s">
        <v>729</v>
      </c>
      <c r="F851" s="57"/>
      <c r="G851" s="60" t="s">
        <v>394</v>
      </c>
      <c r="H851" s="61">
        <v>1</v>
      </c>
      <c r="I851" s="57" t="s">
        <v>948</v>
      </c>
      <c r="J851" s="58" t="s">
        <v>2125</v>
      </c>
      <c r="K851" s="58"/>
    </row>
    <row r="852" spans="1:11">
      <c r="A852" s="57">
        <f t="shared" si="13"/>
        <v>850</v>
      </c>
      <c r="B852" s="57" t="s">
        <v>1946</v>
      </c>
      <c r="C852" s="30" t="s">
        <v>665</v>
      </c>
      <c r="D852" s="58" t="s">
        <v>2180</v>
      </c>
      <c r="E852" s="91" t="s">
        <v>2181</v>
      </c>
      <c r="F852" s="57"/>
      <c r="G852" s="60" t="s">
        <v>394</v>
      </c>
      <c r="H852" s="61">
        <v>1</v>
      </c>
      <c r="I852" s="57" t="s">
        <v>948</v>
      </c>
      <c r="J852" s="58" t="s">
        <v>2125</v>
      </c>
      <c r="K852" s="58"/>
    </row>
    <row r="853" spans="1:11">
      <c r="A853" s="57">
        <f t="shared" si="13"/>
        <v>851</v>
      </c>
      <c r="B853" s="57" t="s">
        <v>1946</v>
      </c>
      <c r="C853" s="30" t="s">
        <v>665</v>
      </c>
      <c r="D853" s="58" t="s">
        <v>2182</v>
      </c>
      <c r="E853" s="91" t="s">
        <v>2183</v>
      </c>
      <c r="F853" s="57"/>
      <c r="G853" s="60" t="s">
        <v>394</v>
      </c>
      <c r="H853" s="61">
        <v>1</v>
      </c>
      <c r="I853" s="57" t="s">
        <v>948</v>
      </c>
      <c r="J853" s="58" t="s">
        <v>2125</v>
      </c>
      <c r="K853" s="58"/>
    </row>
    <row r="854" spans="1:11">
      <c r="A854" s="57">
        <f t="shared" si="13"/>
        <v>852</v>
      </c>
      <c r="B854" s="57" t="s">
        <v>1946</v>
      </c>
      <c r="C854" s="30" t="s">
        <v>665</v>
      </c>
      <c r="D854" s="58" t="s">
        <v>2184</v>
      </c>
      <c r="E854" s="91" t="s">
        <v>2185</v>
      </c>
      <c r="F854" s="57"/>
      <c r="G854" s="60" t="s">
        <v>394</v>
      </c>
      <c r="H854" s="61">
        <v>1</v>
      </c>
      <c r="I854" s="57" t="s">
        <v>948</v>
      </c>
      <c r="J854" s="58" t="s">
        <v>2125</v>
      </c>
      <c r="K854" s="58"/>
    </row>
    <row r="855" spans="1:11">
      <c r="A855" s="57">
        <f t="shared" si="13"/>
        <v>853</v>
      </c>
      <c r="B855" s="57" t="s">
        <v>1946</v>
      </c>
      <c r="C855" s="30" t="s">
        <v>665</v>
      </c>
      <c r="D855" s="58" t="s">
        <v>2186</v>
      </c>
      <c r="E855" s="91" t="s">
        <v>2187</v>
      </c>
      <c r="F855" s="57"/>
      <c r="G855" s="60" t="s">
        <v>394</v>
      </c>
      <c r="H855" s="61">
        <v>1</v>
      </c>
      <c r="I855" s="57" t="s">
        <v>948</v>
      </c>
      <c r="J855" s="58" t="s">
        <v>2125</v>
      </c>
      <c r="K855" s="58"/>
    </row>
    <row r="856" spans="1:11">
      <c r="A856" s="57">
        <f t="shared" si="13"/>
        <v>854</v>
      </c>
      <c r="B856" s="57" t="s">
        <v>1946</v>
      </c>
      <c r="C856" s="30" t="s">
        <v>665</v>
      </c>
      <c r="D856" s="58" t="s">
        <v>2188</v>
      </c>
      <c r="E856" s="91" t="s">
        <v>2189</v>
      </c>
      <c r="F856" s="57"/>
      <c r="G856" s="60" t="s">
        <v>394</v>
      </c>
      <c r="H856" s="61">
        <v>1</v>
      </c>
      <c r="I856" s="57" t="s">
        <v>948</v>
      </c>
      <c r="J856" s="58" t="s">
        <v>2125</v>
      </c>
      <c r="K856" s="58"/>
    </row>
    <row r="857" spans="1:11">
      <c r="A857" s="57">
        <f t="shared" si="13"/>
        <v>855</v>
      </c>
      <c r="B857" s="57" t="s">
        <v>1946</v>
      </c>
      <c r="C857" s="30" t="s">
        <v>665</v>
      </c>
      <c r="D857" s="58" t="s">
        <v>2190</v>
      </c>
      <c r="E857" s="91" t="s">
        <v>2191</v>
      </c>
      <c r="F857" s="57"/>
      <c r="G857" s="60" t="s">
        <v>394</v>
      </c>
      <c r="H857" s="61">
        <v>1</v>
      </c>
      <c r="I857" s="57" t="s">
        <v>948</v>
      </c>
      <c r="J857" s="58" t="s">
        <v>2125</v>
      </c>
      <c r="K857" s="58"/>
    </row>
    <row r="858" spans="1:11">
      <c r="A858" s="57">
        <f t="shared" si="13"/>
        <v>856</v>
      </c>
      <c r="B858" s="57" t="s">
        <v>1946</v>
      </c>
      <c r="C858" s="30" t="s">
        <v>665</v>
      </c>
      <c r="D858" s="58" t="s">
        <v>2192</v>
      </c>
      <c r="E858" s="91" t="s">
        <v>2193</v>
      </c>
      <c r="F858" s="57"/>
      <c r="G858" s="60" t="s">
        <v>394</v>
      </c>
      <c r="H858" s="61">
        <v>1</v>
      </c>
      <c r="I858" s="57" t="s">
        <v>948</v>
      </c>
      <c r="J858" s="58" t="s">
        <v>2125</v>
      </c>
      <c r="K858" s="58"/>
    </row>
    <row r="859" spans="1:11">
      <c r="A859" s="57">
        <f t="shared" si="13"/>
        <v>857</v>
      </c>
      <c r="B859" s="57" t="s">
        <v>1946</v>
      </c>
      <c r="C859" s="30" t="s">
        <v>665</v>
      </c>
      <c r="D859" s="58" t="s">
        <v>2194</v>
      </c>
      <c r="E859" s="91" t="s">
        <v>719</v>
      </c>
      <c r="F859" s="57"/>
      <c r="G859" s="60" t="s">
        <v>394</v>
      </c>
      <c r="H859" s="61">
        <v>1</v>
      </c>
      <c r="I859" s="57" t="s">
        <v>948</v>
      </c>
      <c r="J859" s="58" t="s">
        <v>2125</v>
      </c>
      <c r="K859" s="58"/>
    </row>
    <row r="860" spans="1:11">
      <c r="A860" s="57">
        <f t="shared" si="13"/>
        <v>858</v>
      </c>
      <c r="B860" s="57" t="s">
        <v>1946</v>
      </c>
      <c r="C860" s="30" t="s">
        <v>665</v>
      </c>
      <c r="D860" s="58" t="s">
        <v>2195</v>
      </c>
      <c r="E860" s="91" t="s">
        <v>1119</v>
      </c>
      <c r="F860" s="57"/>
      <c r="G860" s="60" t="s">
        <v>394</v>
      </c>
      <c r="H860" s="61">
        <v>1</v>
      </c>
      <c r="I860" s="57" t="s">
        <v>948</v>
      </c>
      <c r="J860" s="58" t="s">
        <v>2125</v>
      </c>
      <c r="K860" s="58"/>
    </row>
    <row r="861" spans="1:11">
      <c r="A861" s="57">
        <f t="shared" si="13"/>
        <v>859</v>
      </c>
      <c r="B861" s="57" t="s">
        <v>1946</v>
      </c>
      <c r="C861" s="30" t="s">
        <v>2196</v>
      </c>
      <c r="D861" s="58" t="s">
        <v>2197</v>
      </c>
      <c r="E861" s="91" t="s">
        <v>2198</v>
      </c>
      <c r="F861" s="57"/>
      <c r="G861" s="60" t="s">
        <v>394</v>
      </c>
      <c r="H861" s="61">
        <v>1</v>
      </c>
      <c r="I861" s="57" t="s">
        <v>948</v>
      </c>
      <c r="J861" s="58" t="s">
        <v>386</v>
      </c>
      <c r="K861" s="58"/>
    </row>
    <row r="862" spans="1:11">
      <c r="A862" s="57">
        <f>ROW()-2</f>
        <v>860</v>
      </c>
      <c r="B862" s="57" t="s">
        <v>1946</v>
      </c>
      <c r="C862" s="30" t="s">
        <v>2196</v>
      </c>
      <c r="D862" s="58" t="s">
        <v>2199</v>
      </c>
      <c r="E862" s="91" t="s">
        <v>2200</v>
      </c>
      <c r="F862" s="57"/>
      <c r="G862" s="60" t="s">
        <v>394</v>
      </c>
      <c r="H862" s="61">
        <v>1</v>
      </c>
      <c r="I862" s="57"/>
      <c r="J862" s="58" t="s">
        <v>386</v>
      </c>
      <c r="K862" s="58"/>
    </row>
    <row r="863" spans="1:11">
      <c r="A863" s="8">
        <f t="shared" ref="A863:A926" si="14">ROW()-2</f>
        <v>861</v>
      </c>
      <c r="B863" s="8" t="s">
        <v>2201</v>
      </c>
      <c r="C863" s="27" t="s">
        <v>169</v>
      </c>
      <c r="D863" s="8" t="s">
        <v>2202</v>
      </c>
      <c r="E863" s="56" t="s">
        <v>3575</v>
      </c>
      <c r="F863" s="8" t="s">
        <v>2203</v>
      </c>
      <c r="G863" s="54">
        <v>46813</v>
      </c>
      <c r="H863" s="73">
        <v>0</v>
      </c>
      <c r="I863" s="12"/>
      <c r="J863" s="16" t="s">
        <v>2204</v>
      </c>
      <c r="K863" s="16"/>
    </row>
    <row r="864" spans="1:11">
      <c r="A864" s="8">
        <f t="shared" si="14"/>
        <v>862</v>
      </c>
      <c r="B864" s="8" t="s">
        <v>2201</v>
      </c>
      <c r="C864" s="27" t="s">
        <v>169</v>
      </c>
      <c r="D864" s="8" t="s">
        <v>2205</v>
      </c>
      <c r="E864" s="56" t="s">
        <v>3415</v>
      </c>
      <c r="F864" s="8" t="s">
        <v>2206</v>
      </c>
      <c r="G864" s="8"/>
      <c r="H864" s="8"/>
      <c r="I864" s="12"/>
      <c r="J864" s="16" t="s">
        <v>2204</v>
      </c>
      <c r="K864" s="16"/>
    </row>
    <row r="865" spans="1:11">
      <c r="A865" s="8">
        <f t="shared" si="14"/>
        <v>863</v>
      </c>
      <c r="B865" s="8" t="s">
        <v>2201</v>
      </c>
      <c r="C865" s="27" t="s">
        <v>169</v>
      </c>
      <c r="D865" s="8" t="s">
        <v>2207</v>
      </c>
      <c r="E865" s="56" t="s">
        <v>3416</v>
      </c>
      <c r="F865" s="8" t="s">
        <v>2208</v>
      </c>
      <c r="G865" s="8"/>
      <c r="H865" s="8"/>
      <c r="I865" s="12"/>
      <c r="J865" s="16" t="s">
        <v>2204</v>
      </c>
      <c r="K865" s="16"/>
    </row>
    <row r="866" spans="1:11">
      <c r="A866" s="8">
        <f t="shared" si="14"/>
        <v>864</v>
      </c>
      <c r="B866" s="8" t="s">
        <v>2201</v>
      </c>
      <c r="C866" s="27" t="s">
        <v>169</v>
      </c>
      <c r="D866" s="8" t="s">
        <v>2209</v>
      </c>
      <c r="E866" s="56" t="s">
        <v>3417</v>
      </c>
      <c r="F866" s="8" t="s">
        <v>2203</v>
      </c>
      <c r="G866" s="8"/>
      <c r="H866" s="8"/>
      <c r="I866" s="12"/>
      <c r="J866" s="16" t="s">
        <v>2204</v>
      </c>
      <c r="K866" s="16"/>
    </row>
    <row r="867" spans="1:11">
      <c r="A867" s="8">
        <f t="shared" si="14"/>
        <v>865</v>
      </c>
      <c r="B867" s="8" t="s">
        <v>2201</v>
      </c>
      <c r="C867" s="27" t="s">
        <v>169</v>
      </c>
      <c r="D867" s="8" t="s">
        <v>2210</v>
      </c>
      <c r="E867" s="56" t="s">
        <v>3418</v>
      </c>
      <c r="F867" s="8" t="s">
        <v>2211</v>
      </c>
      <c r="G867" s="8"/>
      <c r="H867" s="8"/>
      <c r="I867" s="12"/>
      <c r="J867" s="16" t="s">
        <v>2204</v>
      </c>
      <c r="K867" s="16"/>
    </row>
    <row r="868" spans="1:11">
      <c r="A868" s="8">
        <f t="shared" si="14"/>
        <v>866</v>
      </c>
      <c r="B868" s="8" t="s">
        <v>2201</v>
      </c>
      <c r="C868" s="27" t="s">
        <v>169</v>
      </c>
      <c r="D868" s="8" t="s">
        <v>2212</v>
      </c>
      <c r="E868" s="56" t="s">
        <v>3419</v>
      </c>
      <c r="F868" s="8" t="s">
        <v>2213</v>
      </c>
      <c r="G868" s="8"/>
      <c r="H868" s="8"/>
      <c r="I868" s="12"/>
      <c r="J868" s="16" t="s">
        <v>2204</v>
      </c>
      <c r="K868" s="16"/>
    </row>
    <row r="869" spans="1:11">
      <c r="A869" s="8">
        <f t="shared" si="14"/>
        <v>867</v>
      </c>
      <c r="B869" s="8" t="s">
        <v>2201</v>
      </c>
      <c r="C869" s="27" t="s">
        <v>169</v>
      </c>
      <c r="D869" s="8" t="s">
        <v>2214</v>
      </c>
      <c r="E869" s="56" t="s">
        <v>3576</v>
      </c>
      <c r="F869" s="8" t="s">
        <v>2215</v>
      </c>
      <c r="G869" s="8"/>
      <c r="H869" s="8"/>
      <c r="I869" s="12"/>
      <c r="J869" s="16" t="s">
        <v>2204</v>
      </c>
      <c r="K869" s="16"/>
    </row>
    <row r="870" spans="1:11">
      <c r="A870" s="8">
        <f t="shared" si="14"/>
        <v>868</v>
      </c>
      <c r="B870" s="8" t="s">
        <v>2201</v>
      </c>
      <c r="C870" s="27" t="s">
        <v>169</v>
      </c>
      <c r="D870" s="8" t="s">
        <v>2216</v>
      </c>
      <c r="E870" s="56" t="s">
        <v>3420</v>
      </c>
      <c r="F870" s="8" t="s">
        <v>2217</v>
      </c>
      <c r="G870" s="8"/>
      <c r="H870" s="8"/>
      <c r="I870" s="12"/>
      <c r="J870" s="16" t="s">
        <v>2204</v>
      </c>
      <c r="K870" s="16"/>
    </row>
    <row r="871" spans="1:11">
      <c r="A871" s="8">
        <f t="shared" si="14"/>
        <v>869</v>
      </c>
      <c r="B871" s="8" t="s">
        <v>2201</v>
      </c>
      <c r="C871" s="27" t="s">
        <v>169</v>
      </c>
      <c r="D871" s="8" t="s">
        <v>2218</v>
      </c>
      <c r="E871" s="56" t="s">
        <v>3421</v>
      </c>
      <c r="F871" s="8" t="s">
        <v>2219</v>
      </c>
      <c r="G871" s="8"/>
      <c r="H871" s="8"/>
      <c r="I871" s="12"/>
      <c r="J871" s="16" t="s">
        <v>2204</v>
      </c>
      <c r="K871" s="16"/>
    </row>
    <row r="872" spans="1:11">
      <c r="A872" s="8">
        <f t="shared" si="14"/>
        <v>870</v>
      </c>
      <c r="B872" s="8" t="s">
        <v>2201</v>
      </c>
      <c r="C872" s="27" t="s">
        <v>169</v>
      </c>
      <c r="D872" s="8" t="s">
        <v>2220</v>
      </c>
      <c r="E872" s="56" t="s">
        <v>3422</v>
      </c>
      <c r="F872" s="8" t="s">
        <v>2221</v>
      </c>
      <c r="G872" s="8"/>
      <c r="H872" s="8"/>
      <c r="I872" s="12"/>
      <c r="J872" s="16" t="s">
        <v>2204</v>
      </c>
      <c r="K872" s="16"/>
    </row>
    <row r="873" spans="1:11">
      <c r="A873" s="8">
        <f t="shared" si="14"/>
        <v>871</v>
      </c>
      <c r="B873" s="8" t="s">
        <v>2201</v>
      </c>
      <c r="C873" s="27" t="s">
        <v>169</v>
      </c>
      <c r="D873" s="8" t="s">
        <v>2222</v>
      </c>
      <c r="E873" s="56" t="s">
        <v>3423</v>
      </c>
      <c r="F873" s="8" t="s">
        <v>2223</v>
      </c>
      <c r="G873" s="8"/>
      <c r="H873" s="8"/>
      <c r="I873" s="12"/>
      <c r="J873" s="16" t="s">
        <v>2204</v>
      </c>
      <c r="K873" s="16"/>
    </row>
    <row r="874" spans="1:11">
      <c r="A874" s="8">
        <f t="shared" si="14"/>
        <v>872</v>
      </c>
      <c r="B874" s="8" t="s">
        <v>2201</v>
      </c>
      <c r="C874" s="27" t="s">
        <v>169</v>
      </c>
      <c r="D874" s="8" t="s">
        <v>2224</v>
      </c>
      <c r="E874" s="56" t="s">
        <v>3424</v>
      </c>
      <c r="F874" s="8" t="s">
        <v>2225</v>
      </c>
      <c r="G874" s="8"/>
      <c r="H874" s="8"/>
      <c r="I874" s="12"/>
      <c r="J874" s="16" t="s">
        <v>2204</v>
      </c>
      <c r="K874" s="16"/>
    </row>
    <row r="875" spans="1:11">
      <c r="A875" s="8">
        <f t="shared" si="14"/>
        <v>873</v>
      </c>
      <c r="B875" s="8" t="s">
        <v>2201</v>
      </c>
      <c r="C875" s="27" t="s">
        <v>169</v>
      </c>
      <c r="D875" s="8" t="s">
        <v>2226</v>
      </c>
      <c r="E875" s="56" t="s">
        <v>3425</v>
      </c>
      <c r="F875" s="8" t="s">
        <v>2227</v>
      </c>
      <c r="G875" s="8"/>
      <c r="H875" s="8"/>
      <c r="I875" s="12"/>
      <c r="J875" s="16" t="s">
        <v>2204</v>
      </c>
      <c r="K875" s="16"/>
    </row>
    <row r="876" spans="1:11">
      <c r="A876" s="8">
        <f t="shared" si="14"/>
        <v>874</v>
      </c>
      <c r="B876" s="8" t="s">
        <v>2201</v>
      </c>
      <c r="C876" s="27" t="s">
        <v>169</v>
      </c>
      <c r="D876" s="8" t="s">
        <v>2228</v>
      </c>
      <c r="E876" s="56" t="s">
        <v>3036</v>
      </c>
      <c r="F876" s="8" t="s">
        <v>2229</v>
      </c>
      <c r="G876" s="8"/>
      <c r="H876" s="8"/>
      <c r="I876" s="12"/>
      <c r="J876" s="16" t="s">
        <v>2230</v>
      </c>
      <c r="K876" s="16"/>
    </row>
    <row r="877" spans="1:11">
      <c r="A877" s="8">
        <f t="shared" si="14"/>
        <v>875</v>
      </c>
      <c r="B877" s="8" t="s">
        <v>2201</v>
      </c>
      <c r="C877" s="27" t="s">
        <v>169</v>
      </c>
      <c r="D877" s="8" t="s">
        <v>2231</v>
      </c>
      <c r="E877" s="56" t="s">
        <v>3426</v>
      </c>
      <c r="F877" s="8" t="s">
        <v>2232</v>
      </c>
      <c r="G877" s="8"/>
      <c r="H877" s="8"/>
      <c r="I877" s="12"/>
      <c r="J877" s="16" t="s">
        <v>2230</v>
      </c>
      <c r="K877" s="16"/>
    </row>
    <row r="878" spans="1:11">
      <c r="A878" s="8">
        <f t="shared" si="14"/>
        <v>876</v>
      </c>
      <c r="B878" s="8" t="s">
        <v>2201</v>
      </c>
      <c r="C878" s="27" t="s">
        <v>169</v>
      </c>
      <c r="D878" s="8" t="s">
        <v>2233</v>
      </c>
      <c r="E878" s="56" t="s">
        <v>3427</v>
      </c>
      <c r="F878" s="8" t="s">
        <v>894</v>
      </c>
      <c r="G878" s="8"/>
      <c r="H878" s="8"/>
      <c r="I878" s="12"/>
      <c r="J878" s="16" t="s">
        <v>2230</v>
      </c>
      <c r="K878" s="16"/>
    </row>
    <row r="879" spans="1:11" ht="84">
      <c r="A879" s="8">
        <f t="shared" si="14"/>
        <v>877</v>
      </c>
      <c r="B879" s="8" t="s">
        <v>2201</v>
      </c>
      <c r="C879" s="27" t="s">
        <v>169</v>
      </c>
      <c r="D879" s="8" t="s">
        <v>2234</v>
      </c>
      <c r="E879" s="56" t="s">
        <v>3428</v>
      </c>
      <c r="F879" s="12" t="s">
        <v>2235</v>
      </c>
      <c r="G879" s="8"/>
      <c r="H879" s="8"/>
      <c r="I879" s="12"/>
      <c r="J879" s="16" t="s">
        <v>2230</v>
      </c>
      <c r="K879" s="16"/>
    </row>
    <row r="880" spans="1:11" ht="72">
      <c r="A880" s="8">
        <f t="shared" si="14"/>
        <v>878</v>
      </c>
      <c r="B880" s="8" t="s">
        <v>2201</v>
      </c>
      <c r="C880" s="27" t="s">
        <v>169</v>
      </c>
      <c r="D880" s="8" t="s">
        <v>2236</v>
      </c>
      <c r="E880" s="56" t="s">
        <v>3429</v>
      </c>
      <c r="F880" s="12" t="s">
        <v>2237</v>
      </c>
      <c r="G880" s="8"/>
      <c r="H880" s="8"/>
      <c r="I880" s="12"/>
      <c r="J880" s="16" t="s">
        <v>2230</v>
      </c>
      <c r="K880" s="16"/>
    </row>
    <row r="881" spans="1:11">
      <c r="A881" s="8">
        <f t="shared" si="14"/>
        <v>879</v>
      </c>
      <c r="B881" s="8" t="s">
        <v>2201</v>
      </c>
      <c r="C881" s="27" t="s">
        <v>169</v>
      </c>
      <c r="D881" s="8" t="s">
        <v>2238</v>
      </c>
      <c r="E881" s="56" t="s">
        <v>3430</v>
      </c>
      <c r="F881" s="8" t="s">
        <v>2239</v>
      </c>
      <c r="G881" s="8"/>
      <c r="H881" s="8"/>
      <c r="I881" s="12"/>
      <c r="J881" s="16" t="s">
        <v>2230</v>
      </c>
      <c r="K881" s="16"/>
    </row>
    <row r="882" spans="1:11" ht="120">
      <c r="A882" s="8">
        <f t="shared" si="14"/>
        <v>880</v>
      </c>
      <c r="B882" s="8" t="s">
        <v>2201</v>
      </c>
      <c r="C882" s="27" t="s">
        <v>169</v>
      </c>
      <c r="D882" s="8" t="s">
        <v>2240</v>
      </c>
      <c r="E882" s="56" t="s">
        <v>3431</v>
      </c>
      <c r="F882" s="12" t="s">
        <v>2241</v>
      </c>
      <c r="G882" s="8"/>
      <c r="H882" s="8"/>
      <c r="I882" s="12"/>
      <c r="J882" s="16" t="s">
        <v>2230</v>
      </c>
      <c r="K882" s="16"/>
    </row>
    <row r="883" spans="1:11" ht="24">
      <c r="A883" s="8">
        <f t="shared" si="14"/>
        <v>881</v>
      </c>
      <c r="B883" s="8" t="s">
        <v>2201</v>
      </c>
      <c r="C883" s="27" t="s">
        <v>169</v>
      </c>
      <c r="D883" s="8" t="s">
        <v>2242</v>
      </c>
      <c r="E883" s="56" t="s">
        <v>3432</v>
      </c>
      <c r="F883" s="12" t="s">
        <v>2243</v>
      </c>
      <c r="G883" s="8"/>
      <c r="H883" s="8"/>
      <c r="I883" s="12"/>
      <c r="J883" s="16" t="s">
        <v>2230</v>
      </c>
      <c r="K883" s="16"/>
    </row>
    <row r="884" spans="1:11" ht="36">
      <c r="A884" s="8">
        <f t="shared" si="14"/>
        <v>882</v>
      </c>
      <c r="B884" s="8" t="s">
        <v>2201</v>
      </c>
      <c r="C884" s="27" t="s">
        <v>169</v>
      </c>
      <c r="D884" s="8" t="s">
        <v>2244</v>
      </c>
      <c r="E884" s="56" t="s">
        <v>3433</v>
      </c>
      <c r="F884" s="12" t="s">
        <v>2245</v>
      </c>
      <c r="G884" s="8"/>
      <c r="H884" s="8"/>
      <c r="I884" s="12"/>
      <c r="J884" s="16" t="s">
        <v>2230</v>
      </c>
      <c r="K884" s="16"/>
    </row>
    <row r="885" spans="1:11" ht="24">
      <c r="A885" s="8">
        <f t="shared" si="14"/>
        <v>883</v>
      </c>
      <c r="B885" s="8" t="s">
        <v>2201</v>
      </c>
      <c r="C885" s="27" t="s">
        <v>169</v>
      </c>
      <c r="D885" s="8" t="s">
        <v>2246</v>
      </c>
      <c r="E885" s="56" t="s">
        <v>3577</v>
      </c>
      <c r="F885" s="12" t="s">
        <v>2247</v>
      </c>
      <c r="G885" s="8"/>
      <c r="H885" s="8"/>
      <c r="I885" s="12"/>
      <c r="J885" s="16" t="s">
        <v>2230</v>
      </c>
      <c r="K885" s="16"/>
    </row>
    <row r="886" spans="1:11">
      <c r="A886" s="8">
        <f t="shared" si="14"/>
        <v>884</v>
      </c>
      <c r="B886" s="8" t="s">
        <v>2201</v>
      </c>
      <c r="C886" s="27" t="s">
        <v>169</v>
      </c>
      <c r="D886" s="8" t="s">
        <v>2248</v>
      </c>
      <c r="E886" s="56" t="s">
        <v>3578</v>
      </c>
      <c r="F886" s="8" t="s">
        <v>2249</v>
      </c>
      <c r="G886" s="8"/>
      <c r="H886" s="8"/>
      <c r="I886" s="12"/>
      <c r="J886" s="16" t="s">
        <v>2204</v>
      </c>
      <c r="K886" s="16"/>
    </row>
    <row r="887" spans="1:11">
      <c r="A887" s="8">
        <f t="shared" si="14"/>
        <v>885</v>
      </c>
      <c r="B887" s="8" t="s">
        <v>2201</v>
      </c>
      <c r="C887" s="27" t="s">
        <v>169</v>
      </c>
      <c r="D887" s="8" t="s">
        <v>2250</v>
      </c>
      <c r="E887" s="56" t="s">
        <v>3434</v>
      </c>
      <c r="F887" s="8" t="s">
        <v>2251</v>
      </c>
      <c r="G887" s="8"/>
      <c r="H887" s="8"/>
      <c r="I887" s="12"/>
      <c r="J887" s="16" t="s">
        <v>2204</v>
      </c>
      <c r="K887" s="16"/>
    </row>
    <row r="888" spans="1:11">
      <c r="A888" s="8">
        <f t="shared" si="14"/>
        <v>886</v>
      </c>
      <c r="B888" s="8" t="s">
        <v>2201</v>
      </c>
      <c r="C888" s="27" t="s">
        <v>169</v>
      </c>
      <c r="D888" s="8" t="s">
        <v>2252</v>
      </c>
      <c r="E888" s="56" t="s">
        <v>3579</v>
      </c>
      <c r="F888" s="8" t="s">
        <v>2253</v>
      </c>
      <c r="G888" s="8"/>
      <c r="H888" s="8"/>
      <c r="I888" s="12"/>
      <c r="J888" s="16" t="s">
        <v>2204</v>
      </c>
      <c r="K888" s="16"/>
    </row>
    <row r="889" spans="1:11">
      <c r="A889" s="8">
        <f t="shared" si="14"/>
        <v>887</v>
      </c>
      <c r="B889" s="8" t="s">
        <v>2201</v>
      </c>
      <c r="C889" s="27" t="s">
        <v>169</v>
      </c>
      <c r="D889" s="8" t="s">
        <v>2254</v>
      </c>
      <c r="E889" s="56" t="s">
        <v>3435</v>
      </c>
      <c r="F889" s="8" t="s">
        <v>2255</v>
      </c>
      <c r="G889" s="8"/>
      <c r="H889" s="8"/>
      <c r="I889" s="12"/>
      <c r="J889" s="16" t="s">
        <v>2204</v>
      </c>
      <c r="K889" s="16"/>
    </row>
    <row r="890" spans="1:11">
      <c r="A890" s="8">
        <f t="shared" si="14"/>
        <v>888</v>
      </c>
      <c r="B890" s="8" t="s">
        <v>2201</v>
      </c>
      <c r="C890" s="27" t="s">
        <v>169</v>
      </c>
      <c r="D890" s="8" t="s">
        <v>2256</v>
      </c>
      <c r="E890" s="56" t="s">
        <v>3580</v>
      </c>
      <c r="F890" s="8" t="s">
        <v>2257</v>
      </c>
      <c r="G890" s="8"/>
      <c r="H890" s="8"/>
      <c r="I890" s="12"/>
      <c r="J890" s="16" t="s">
        <v>2204</v>
      </c>
      <c r="K890" s="16"/>
    </row>
    <row r="891" spans="1:11">
      <c r="A891" s="8">
        <f t="shared" si="14"/>
        <v>889</v>
      </c>
      <c r="B891" s="8" t="s">
        <v>2201</v>
      </c>
      <c r="C891" s="27" t="s">
        <v>169</v>
      </c>
      <c r="D891" s="8" t="s">
        <v>2258</v>
      </c>
      <c r="E891" s="56" t="s">
        <v>3436</v>
      </c>
      <c r="F891" s="8" t="s">
        <v>2259</v>
      </c>
      <c r="G891" s="8"/>
      <c r="H891" s="8"/>
      <c r="I891" s="12"/>
      <c r="J891" s="16" t="s">
        <v>2230</v>
      </c>
      <c r="K891" s="16"/>
    </row>
    <row r="892" spans="1:11">
      <c r="A892" s="8">
        <f t="shared" si="14"/>
        <v>890</v>
      </c>
      <c r="B892" s="8" t="s">
        <v>2201</v>
      </c>
      <c r="C892" s="27" t="s">
        <v>169</v>
      </c>
      <c r="D892" s="8" t="s">
        <v>2260</v>
      </c>
      <c r="E892" s="56" t="s">
        <v>3437</v>
      </c>
      <c r="F892" s="8" t="s">
        <v>2261</v>
      </c>
      <c r="G892" s="8"/>
      <c r="H892" s="8"/>
      <c r="I892" s="12" t="s">
        <v>2262</v>
      </c>
      <c r="J892" s="16" t="s">
        <v>2230</v>
      </c>
      <c r="K892" s="16"/>
    </row>
    <row r="893" spans="1:11">
      <c r="A893" s="8">
        <f t="shared" si="14"/>
        <v>891</v>
      </c>
      <c r="B893" s="8" t="s">
        <v>2201</v>
      </c>
      <c r="C893" s="27" t="s">
        <v>169</v>
      </c>
      <c r="D893" s="8" t="s">
        <v>2263</v>
      </c>
      <c r="E893" s="56" t="s">
        <v>3438</v>
      </c>
      <c r="F893" s="8"/>
      <c r="G893" s="8"/>
      <c r="H893" s="8"/>
      <c r="I893" s="12" t="s">
        <v>2262</v>
      </c>
      <c r="J893" s="16" t="s">
        <v>2230</v>
      </c>
      <c r="K893" s="16"/>
    </row>
    <row r="894" spans="1:11">
      <c r="A894" s="8">
        <f t="shared" si="14"/>
        <v>892</v>
      </c>
      <c r="B894" s="8" t="s">
        <v>2201</v>
      </c>
      <c r="C894" s="27" t="s">
        <v>169</v>
      </c>
      <c r="D894" s="8" t="s">
        <v>2264</v>
      </c>
      <c r="E894" s="56" t="s">
        <v>3439</v>
      </c>
      <c r="F894" s="8" t="s">
        <v>2227</v>
      </c>
      <c r="G894" s="8"/>
      <c r="H894" s="8"/>
      <c r="I894" s="12"/>
      <c r="J894" s="16" t="s">
        <v>2204</v>
      </c>
      <c r="K894" s="16"/>
    </row>
    <row r="895" spans="1:11">
      <c r="A895" s="8">
        <f t="shared" si="14"/>
        <v>893</v>
      </c>
      <c r="B895" s="8" t="s">
        <v>2201</v>
      </c>
      <c r="C895" s="27" t="s">
        <v>2265</v>
      </c>
      <c r="D895" s="8" t="s">
        <v>2266</v>
      </c>
      <c r="E895" s="56" t="s">
        <v>3440</v>
      </c>
      <c r="F895" s="8"/>
      <c r="G895" s="8"/>
      <c r="H895" s="8"/>
      <c r="I895" s="12" t="s">
        <v>2262</v>
      </c>
      <c r="J895" s="16" t="s">
        <v>2230</v>
      </c>
      <c r="K895" s="16"/>
    </row>
    <row r="896" spans="1:11">
      <c r="A896" s="8">
        <f t="shared" si="14"/>
        <v>894</v>
      </c>
      <c r="B896" s="8" t="s">
        <v>2201</v>
      </c>
      <c r="C896" s="27" t="s">
        <v>2265</v>
      </c>
      <c r="D896" s="8" t="s">
        <v>2267</v>
      </c>
      <c r="E896" s="56" t="s">
        <v>3581</v>
      </c>
      <c r="F896" s="8"/>
      <c r="G896" s="8"/>
      <c r="H896" s="8"/>
      <c r="I896" s="12" t="s">
        <v>2262</v>
      </c>
      <c r="J896" s="16" t="s">
        <v>2230</v>
      </c>
      <c r="K896" s="16"/>
    </row>
    <row r="897" spans="1:11">
      <c r="A897" s="8">
        <f t="shared" si="14"/>
        <v>895</v>
      </c>
      <c r="B897" s="8" t="s">
        <v>2201</v>
      </c>
      <c r="C897" s="27" t="s">
        <v>184</v>
      </c>
      <c r="D897" s="8" t="s">
        <v>2268</v>
      </c>
      <c r="E897" s="56" t="s">
        <v>3441</v>
      </c>
      <c r="F897" s="46" t="s">
        <v>2269</v>
      </c>
      <c r="G897" s="8"/>
      <c r="H897" s="8"/>
      <c r="I897" s="12"/>
      <c r="J897" s="16" t="s">
        <v>2270</v>
      </c>
      <c r="K897" s="16"/>
    </row>
    <row r="898" spans="1:11">
      <c r="A898" s="8">
        <f t="shared" si="14"/>
        <v>896</v>
      </c>
      <c r="B898" s="8" t="s">
        <v>2201</v>
      </c>
      <c r="C898" s="27" t="s">
        <v>184</v>
      </c>
      <c r="D898" s="8" t="s">
        <v>2271</v>
      </c>
      <c r="E898" s="56" t="s">
        <v>3246</v>
      </c>
      <c r="F898" s="109" t="s">
        <v>2272</v>
      </c>
      <c r="G898" s="8"/>
      <c r="H898" s="8"/>
      <c r="I898" s="12"/>
      <c r="J898" s="16" t="s">
        <v>1755</v>
      </c>
      <c r="K898" s="16"/>
    </row>
    <row r="899" spans="1:11">
      <c r="A899" s="8">
        <f t="shared" si="14"/>
        <v>897</v>
      </c>
      <c r="B899" s="8" t="s">
        <v>2201</v>
      </c>
      <c r="C899" s="27" t="s">
        <v>184</v>
      </c>
      <c r="D899" s="8" t="s">
        <v>2273</v>
      </c>
      <c r="E899" s="56" t="s">
        <v>3442</v>
      </c>
      <c r="F899" s="109" t="s">
        <v>2274</v>
      </c>
      <c r="G899" s="8"/>
      <c r="H899" s="8"/>
      <c r="I899" s="12"/>
      <c r="J899" s="16" t="s">
        <v>1755</v>
      </c>
      <c r="K899" s="16"/>
    </row>
    <row r="900" spans="1:11">
      <c r="A900" s="8">
        <f t="shared" si="14"/>
        <v>898</v>
      </c>
      <c r="B900" s="8" t="s">
        <v>2201</v>
      </c>
      <c r="C900" s="27" t="s">
        <v>184</v>
      </c>
      <c r="D900" s="8" t="s">
        <v>2275</v>
      </c>
      <c r="E900" s="56" t="s">
        <v>3443</v>
      </c>
      <c r="F900" s="109" t="s">
        <v>2276</v>
      </c>
      <c r="G900" s="8"/>
      <c r="H900" s="8"/>
      <c r="I900" s="12"/>
      <c r="J900" s="16" t="s">
        <v>1755</v>
      </c>
      <c r="K900" s="16"/>
    </row>
    <row r="901" spans="1:11">
      <c r="A901" s="8">
        <f t="shared" si="14"/>
        <v>899</v>
      </c>
      <c r="B901" s="8" t="s">
        <v>2201</v>
      </c>
      <c r="C901" s="27" t="s">
        <v>184</v>
      </c>
      <c r="D901" s="8" t="s">
        <v>2277</v>
      </c>
      <c r="E901" s="56" t="s">
        <v>3444</v>
      </c>
      <c r="F901" s="109" t="s">
        <v>2278</v>
      </c>
      <c r="G901" s="8"/>
      <c r="H901" s="8"/>
      <c r="I901" s="12"/>
      <c r="J901" s="16" t="s">
        <v>1755</v>
      </c>
      <c r="K901" s="16"/>
    </row>
    <row r="902" spans="1:11">
      <c r="A902" s="8">
        <f t="shared" si="14"/>
        <v>900</v>
      </c>
      <c r="B902" s="8" t="s">
        <v>2201</v>
      </c>
      <c r="C902" s="27" t="s">
        <v>184</v>
      </c>
      <c r="D902" s="8" t="s">
        <v>2279</v>
      </c>
      <c r="E902" s="56" t="s">
        <v>2991</v>
      </c>
      <c r="F902" s="109" t="s">
        <v>2280</v>
      </c>
      <c r="G902" s="8"/>
      <c r="H902" s="8"/>
      <c r="I902" s="12"/>
      <c r="J902" s="16" t="s">
        <v>1755</v>
      </c>
      <c r="K902" s="16"/>
    </row>
    <row r="903" spans="1:11">
      <c r="A903" s="8">
        <f t="shared" si="14"/>
        <v>901</v>
      </c>
      <c r="B903" s="8" t="s">
        <v>2201</v>
      </c>
      <c r="C903" s="27" t="s">
        <v>184</v>
      </c>
      <c r="D903" s="8" t="s">
        <v>2281</v>
      </c>
      <c r="E903" s="56" t="s">
        <v>3445</v>
      </c>
      <c r="F903" s="8" t="s">
        <v>2282</v>
      </c>
      <c r="G903" s="8"/>
      <c r="H903" s="8"/>
      <c r="I903" s="12"/>
      <c r="J903" s="16" t="s">
        <v>2270</v>
      </c>
      <c r="K903" s="16"/>
    </row>
    <row r="904" spans="1:11">
      <c r="A904" s="8">
        <f t="shared" si="14"/>
        <v>902</v>
      </c>
      <c r="B904" s="8" t="s">
        <v>2201</v>
      </c>
      <c r="C904" s="27" t="s">
        <v>184</v>
      </c>
      <c r="D904" s="8" t="s">
        <v>2283</v>
      </c>
      <c r="E904" s="56" t="s">
        <v>3446</v>
      </c>
      <c r="F904" s="8" t="s">
        <v>2284</v>
      </c>
      <c r="G904" s="8"/>
      <c r="H904" s="8"/>
      <c r="I904" s="12"/>
      <c r="J904" s="16" t="s">
        <v>2270</v>
      </c>
      <c r="K904" s="16"/>
    </row>
    <row r="905" spans="1:11">
      <c r="A905" s="8">
        <f t="shared" si="14"/>
        <v>903</v>
      </c>
      <c r="B905" s="8" t="s">
        <v>2201</v>
      </c>
      <c r="C905" s="27" t="s">
        <v>184</v>
      </c>
      <c r="D905" s="8" t="s">
        <v>2285</v>
      </c>
      <c r="E905" s="56" t="s">
        <v>3447</v>
      </c>
      <c r="F905" s="8" t="s">
        <v>2286</v>
      </c>
      <c r="G905" s="8"/>
      <c r="H905" s="8"/>
      <c r="I905" s="12"/>
      <c r="J905" s="16" t="s">
        <v>2270</v>
      </c>
      <c r="K905" s="16"/>
    </row>
    <row r="906" spans="1:11">
      <c r="A906" s="8">
        <f t="shared" si="14"/>
        <v>904</v>
      </c>
      <c r="B906" s="8" t="s">
        <v>2201</v>
      </c>
      <c r="C906" s="27" t="s">
        <v>184</v>
      </c>
      <c r="D906" s="8" t="s">
        <v>2287</v>
      </c>
      <c r="E906" s="56" t="s">
        <v>3448</v>
      </c>
      <c r="F906" s="8" t="s">
        <v>2288</v>
      </c>
      <c r="G906" s="8"/>
      <c r="H906" s="8"/>
      <c r="I906" s="12"/>
      <c r="J906" s="16" t="s">
        <v>386</v>
      </c>
      <c r="K906" s="16"/>
    </row>
    <row r="907" spans="1:11">
      <c r="A907" s="8">
        <f t="shared" si="14"/>
        <v>905</v>
      </c>
      <c r="B907" s="8" t="s">
        <v>2201</v>
      </c>
      <c r="C907" s="27" t="s">
        <v>184</v>
      </c>
      <c r="D907" s="8" t="s">
        <v>2289</v>
      </c>
      <c r="E907" s="56" t="s">
        <v>3449</v>
      </c>
      <c r="F907" s="109" t="s">
        <v>2290</v>
      </c>
      <c r="G907" s="8"/>
      <c r="H907" s="8"/>
      <c r="I907" s="12"/>
      <c r="J907" s="16" t="s">
        <v>386</v>
      </c>
      <c r="K907" s="16"/>
    </row>
    <row r="908" spans="1:11">
      <c r="A908" s="8">
        <f t="shared" si="14"/>
        <v>906</v>
      </c>
      <c r="B908" s="8" t="s">
        <v>2201</v>
      </c>
      <c r="C908" s="27" t="s">
        <v>184</v>
      </c>
      <c r="D908" s="8" t="s">
        <v>2291</v>
      </c>
      <c r="E908" s="56" t="s">
        <v>3450</v>
      </c>
      <c r="F908" s="109" t="s">
        <v>2292</v>
      </c>
      <c r="G908" s="8"/>
      <c r="H908" s="8"/>
      <c r="I908" s="12"/>
      <c r="J908" s="16" t="s">
        <v>386</v>
      </c>
      <c r="K908" s="16"/>
    </row>
    <row r="909" spans="1:11">
      <c r="A909" s="8">
        <f t="shared" si="14"/>
        <v>907</v>
      </c>
      <c r="B909" s="8" t="s">
        <v>2201</v>
      </c>
      <c r="C909" s="27" t="s">
        <v>184</v>
      </c>
      <c r="D909" s="8" t="s">
        <v>2293</v>
      </c>
      <c r="E909" s="56" t="s">
        <v>3451</v>
      </c>
      <c r="F909" s="109" t="s">
        <v>2292</v>
      </c>
      <c r="G909" s="8"/>
      <c r="H909" s="8"/>
      <c r="I909" s="12"/>
      <c r="J909" s="16" t="s">
        <v>1755</v>
      </c>
      <c r="K909" s="16"/>
    </row>
    <row r="910" spans="1:11">
      <c r="A910" s="8">
        <f t="shared" si="14"/>
        <v>908</v>
      </c>
      <c r="B910" s="8" t="s">
        <v>2201</v>
      </c>
      <c r="C910" s="27" t="s">
        <v>184</v>
      </c>
      <c r="D910" s="8" t="s">
        <v>2294</v>
      </c>
      <c r="E910" s="56" t="s">
        <v>3452</v>
      </c>
      <c r="F910" s="109" t="s">
        <v>2295</v>
      </c>
      <c r="G910" s="8"/>
      <c r="H910" s="8"/>
      <c r="I910" s="12"/>
      <c r="J910" s="16" t="s">
        <v>386</v>
      </c>
      <c r="K910" s="16"/>
    </row>
    <row r="911" spans="1:11">
      <c r="A911" s="8">
        <f t="shared" si="14"/>
        <v>909</v>
      </c>
      <c r="B911" s="8" t="s">
        <v>2201</v>
      </c>
      <c r="C911" s="27" t="s">
        <v>184</v>
      </c>
      <c r="D911" s="8" t="s">
        <v>2296</v>
      </c>
      <c r="E911" s="56" t="s">
        <v>3453</v>
      </c>
      <c r="F911" s="109" t="s">
        <v>2297</v>
      </c>
      <c r="G911" s="8"/>
      <c r="H911" s="8"/>
      <c r="I911" s="12"/>
      <c r="J911" s="16" t="s">
        <v>386</v>
      </c>
      <c r="K911" s="16"/>
    </row>
    <row r="912" spans="1:11">
      <c r="A912" s="8">
        <f t="shared" si="14"/>
        <v>910</v>
      </c>
      <c r="B912" s="8" t="s">
        <v>2201</v>
      </c>
      <c r="C912" s="27" t="s">
        <v>184</v>
      </c>
      <c r="D912" s="8" t="s">
        <v>2298</v>
      </c>
      <c r="E912" s="56" t="s">
        <v>3454</v>
      </c>
      <c r="F912" s="109" t="s">
        <v>2299</v>
      </c>
      <c r="G912" s="8"/>
      <c r="H912" s="8"/>
      <c r="I912" s="12"/>
      <c r="J912" s="16" t="s">
        <v>386</v>
      </c>
      <c r="K912" s="16"/>
    </row>
    <row r="913" spans="1:11">
      <c r="A913" s="8">
        <f t="shared" si="14"/>
        <v>911</v>
      </c>
      <c r="B913" s="8" t="s">
        <v>2201</v>
      </c>
      <c r="C913" s="27" t="s">
        <v>184</v>
      </c>
      <c r="D913" s="8" t="s">
        <v>2300</v>
      </c>
      <c r="E913" s="56" t="s">
        <v>3455</v>
      </c>
      <c r="F913" s="50" t="s">
        <v>2295</v>
      </c>
      <c r="G913" s="8"/>
      <c r="H913" s="8"/>
      <c r="I913" s="12"/>
      <c r="J913" s="16" t="s">
        <v>2270</v>
      </c>
      <c r="K913" s="16"/>
    </row>
    <row r="914" spans="1:11">
      <c r="A914" s="8">
        <f t="shared" si="14"/>
        <v>912</v>
      </c>
      <c r="B914" s="8" t="s">
        <v>2201</v>
      </c>
      <c r="C914" s="27" t="s">
        <v>184</v>
      </c>
      <c r="D914" s="8" t="s">
        <v>2301</v>
      </c>
      <c r="E914" s="56" t="s">
        <v>3456</v>
      </c>
      <c r="F914" s="50" t="s">
        <v>2302</v>
      </c>
      <c r="G914" s="8"/>
      <c r="H914" s="8"/>
      <c r="I914" s="12"/>
      <c r="J914" s="16" t="s">
        <v>2270</v>
      </c>
      <c r="K914" s="16"/>
    </row>
    <row r="915" spans="1:11">
      <c r="A915" s="8">
        <f t="shared" si="14"/>
        <v>913</v>
      </c>
      <c r="B915" s="8" t="s">
        <v>2201</v>
      </c>
      <c r="C915" s="27" t="s">
        <v>184</v>
      </c>
      <c r="D915" s="8" t="s">
        <v>2303</v>
      </c>
      <c r="E915" s="56" t="s">
        <v>3582</v>
      </c>
      <c r="F915" s="109" t="s">
        <v>2304</v>
      </c>
      <c r="G915" s="8"/>
      <c r="H915" s="8"/>
      <c r="I915" s="12" t="s">
        <v>2305</v>
      </c>
      <c r="J915" s="16" t="s">
        <v>409</v>
      </c>
      <c r="K915" s="16"/>
    </row>
    <row r="916" spans="1:11">
      <c r="A916" s="8">
        <f t="shared" si="14"/>
        <v>914</v>
      </c>
      <c r="B916" s="8" t="s">
        <v>2201</v>
      </c>
      <c r="C916" s="27" t="s">
        <v>184</v>
      </c>
      <c r="D916" s="8" t="s">
        <v>2306</v>
      </c>
      <c r="E916" s="56" t="s">
        <v>3457</v>
      </c>
      <c r="F916" s="109" t="s">
        <v>2307</v>
      </c>
      <c r="G916" s="8"/>
      <c r="H916" s="8"/>
      <c r="I916" s="12"/>
      <c r="J916" s="16" t="s">
        <v>1755</v>
      </c>
      <c r="K916" s="16"/>
    </row>
    <row r="917" spans="1:11">
      <c r="A917" s="8">
        <f t="shared" si="14"/>
        <v>915</v>
      </c>
      <c r="B917" s="8" t="s">
        <v>2201</v>
      </c>
      <c r="C917" s="27" t="s">
        <v>155</v>
      </c>
      <c r="D917" s="8" t="s">
        <v>2308</v>
      </c>
      <c r="E917" s="56" t="s">
        <v>1516</v>
      </c>
      <c r="F917" s="50" t="s">
        <v>2309</v>
      </c>
      <c r="G917" s="8"/>
      <c r="H917" s="8"/>
      <c r="I917" s="12"/>
      <c r="J917" s="16" t="s">
        <v>1591</v>
      </c>
      <c r="K917" s="16"/>
    </row>
    <row r="918" spans="1:11">
      <c r="A918" s="8">
        <f t="shared" si="14"/>
        <v>916</v>
      </c>
      <c r="B918" s="8" t="s">
        <v>2201</v>
      </c>
      <c r="C918" s="27" t="s">
        <v>155</v>
      </c>
      <c r="D918" s="8" t="s">
        <v>2310</v>
      </c>
      <c r="E918" s="56" t="s">
        <v>1520</v>
      </c>
      <c r="F918" s="50" t="s">
        <v>2311</v>
      </c>
      <c r="G918" s="8"/>
      <c r="H918" s="8"/>
      <c r="I918" s="12"/>
      <c r="J918" s="16" t="s">
        <v>2312</v>
      </c>
      <c r="K918" s="16"/>
    </row>
    <row r="919" spans="1:11">
      <c r="A919" s="8">
        <f t="shared" si="14"/>
        <v>917</v>
      </c>
      <c r="B919" s="8" t="s">
        <v>2201</v>
      </c>
      <c r="C919" s="27" t="s">
        <v>155</v>
      </c>
      <c r="D919" s="8" t="s">
        <v>2313</v>
      </c>
      <c r="E919" s="56" t="s">
        <v>2314</v>
      </c>
      <c r="F919" s="50" t="s">
        <v>2315</v>
      </c>
      <c r="G919" s="8"/>
      <c r="H919" s="8"/>
      <c r="I919" s="12"/>
      <c r="J919" s="16" t="s">
        <v>1591</v>
      </c>
      <c r="K919" s="16"/>
    </row>
    <row r="920" spans="1:11">
      <c r="A920" s="8">
        <f t="shared" si="14"/>
        <v>918</v>
      </c>
      <c r="B920" s="8" t="s">
        <v>2201</v>
      </c>
      <c r="C920" s="27" t="s">
        <v>155</v>
      </c>
      <c r="D920" s="8" t="s">
        <v>2316</v>
      </c>
      <c r="E920" s="56" t="s">
        <v>2317</v>
      </c>
      <c r="F920" s="50" t="s">
        <v>2318</v>
      </c>
      <c r="G920" s="8"/>
      <c r="H920" s="8"/>
      <c r="I920" s="12"/>
      <c r="J920" s="16" t="s">
        <v>2312</v>
      </c>
      <c r="K920" s="16"/>
    </row>
    <row r="921" spans="1:11">
      <c r="A921" s="8">
        <f t="shared" si="14"/>
        <v>919</v>
      </c>
      <c r="B921" s="8" t="s">
        <v>2201</v>
      </c>
      <c r="C921" s="27" t="s">
        <v>155</v>
      </c>
      <c r="D921" s="8" t="s">
        <v>2319</v>
      </c>
      <c r="E921" s="56" t="s">
        <v>575</v>
      </c>
      <c r="F921" s="50" t="s">
        <v>2320</v>
      </c>
      <c r="G921" s="8"/>
      <c r="H921" s="8"/>
      <c r="I921" s="12"/>
      <c r="J921" s="16" t="s">
        <v>1591</v>
      </c>
      <c r="K921" s="16"/>
    </row>
    <row r="922" spans="1:11">
      <c r="A922" s="8">
        <f t="shared" si="14"/>
        <v>920</v>
      </c>
      <c r="B922" s="8" t="s">
        <v>2201</v>
      </c>
      <c r="C922" s="27" t="s">
        <v>155</v>
      </c>
      <c r="D922" s="8" t="s">
        <v>2321</v>
      </c>
      <c r="E922" s="56" t="s">
        <v>578</v>
      </c>
      <c r="F922" s="50" t="s">
        <v>2322</v>
      </c>
      <c r="G922" s="8"/>
      <c r="H922" s="8"/>
      <c r="I922" s="12"/>
      <c r="J922" s="16" t="s">
        <v>2312</v>
      </c>
      <c r="K922" s="16"/>
    </row>
    <row r="923" spans="1:11">
      <c r="A923" s="8">
        <f t="shared" si="14"/>
        <v>921</v>
      </c>
      <c r="B923" s="8" t="s">
        <v>2201</v>
      </c>
      <c r="C923" s="27" t="s">
        <v>155</v>
      </c>
      <c r="D923" s="8" t="s">
        <v>2323</v>
      </c>
      <c r="E923" s="56" t="s">
        <v>585</v>
      </c>
      <c r="F923" s="50" t="s">
        <v>2324</v>
      </c>
      <c r="G923" s="8"/>
      <c r="H923" s="8"/>
      <c r="I923" s="12"/>
      <c r="J923" s="16" t="s">
        <v>2312</v>
      </c>
      <c r="K923" s="16"/>
    </row>
    <row r="924" spans="1:11">
      <c r="A924" s="8">
        <f t="shared" si="14"/>
        <v>922</v>
      </c>
      <c r="B924" s="8" t="s">
        <v>2201</v>
      </c>
      <c r="C924" s="27" t="s">
        <v>155</v>
      </c>
      <c r="D924" s="8" t="s">
        <v>2325</v>
      </c>
      <c r="E924" s="56" t="s">
        <v>1048</v>
      </c>
      <c r="F924" s="50" t="s">
        <v>2326</v>
      </c>
      <c r="G924" s="8"/>
      <c r="H924" s="8"/>
      <c r="I924" s="12"/>
      <c r="J924" s="16" t="s">
        <v>1591</v>
      </c>
      <c r="K924" s="16"/>
    </row>
    <row r="925" spans="1:11">
      <c r="A925" s="8">
        <f t="shared" si="14"/>
        <v>923</v>
      </c>
      <c r="B925" s="8" t="s">
        <v>2201</v>
      </c>
      <c r="C925" s="27" t="s">
        <v>155</v>
      </c>
      <c r="D925" s="8" t="s">
        <v>2327</v>
      </c>
      <c r="E925" s="56" t="s">
        <v>2328</v>
      </c>
      <c r="F925" s="50" t="s">
        <v>2329</v>
      </c>
      <c r="G925" s="8"/>
      <c r="H925" s="8"/>
      <c r="I925" s="12"/>
      <c r="J925" s="16" t="s">
        <v>1591</v>
      </c>
      <c r="K925" s="16"/>
    </row>
    <row r="926" spans="1:11">
      <c r="A926" s="8">
        <f t="shared" si="14"/>
        <v>924</v>
      </c>
      <c r="B926" s="8" t="s">
        <v>2201</v>
      </c>
      <c r="C926" s="27" t="s">
        <v>155</v>
      </c>
      <c r="D926" s="8" t="s">
        <v>2330</v>
      </c>
      <c r="E926" s="56" t="s">
        <v>593</v>
      </c>
      <c r="F926" s="50" t="s">
        <v>2331</v>
      </c>
      <c r="G926" s="8"/>
      <c r="H926" s="8"/>
      <c r="I926" s="12"/>
      <c r="J926" s="16" t="s">
        <v>2312</v>
      </c>
      <c r="K926" s="16"/>
    </row>
    <row r="927" spans="1:11">
      <c r="A927" s="8">
        <f t="shared" ref="A927:A990" si="15">ROW()-2</f>
        <v>925</v>
      </c>
      <c r="B927" s="8" t="s">
        <v>2201</v>
      </c>
      <c r="C927" s="27" t="s">
        <v>155</v>
      </c>
      <c r="D927" s="8" t="s">
        <v>2332</v>
      </c>
      <c r="E927" s="56" t="s">
        <v>599</v>
      </c>
      <c r="F927" s="50" t="s">
        <v>2333</v>
      </c>
      <c r="G927" s="8"/>
      <c r="H927" s="8"/>
      <c r="I927" s="12"/>
      <c r="J927" s="16" t="s">
        <v>2312</v>
      </c>
      <c r="K927" s="16"/>
    </row>
    <row r="928" spans="1:11">
      <c r="A928" s="8">
        <f t="shared" si="15"/>
        <v>926</v>
      </c>
      <c r="B928" s="8" t="s">
        <v>2201</v>
      </c>
      <c r="C928" s="27" t="s">
        <v>155</v>
      </c>
      <c r="D928" s="8" t="s">
        <v>2334</v>
      </c>
      <c r="E928" s="56" t="s">
        <v>608</v>
      </c>
      <c r="F928" s="50" t="s">
        <v>2335</v>
      </c>
      <c r="G928" s="8"/>
      <c r="H928" s="8"/>
      <c r="I928" s="12"/>
      <c r="J928" s="16" t="s">
        <v>2312</v>
      </c>
      <c r="K928" s="16"/>
    </row>
    <row r="929" spans="1:11">
      <c r="A929" s="8">
        <f t="shared" si="15"/>
        <v>927</v>
      </c>
      <c r="B929" s="8" t="s">
        <v>2201</v>
      </c>
      <c r="C929" s="27" t="s">
        <v>155</v>
      </c>
      <c r="D929" s="8" t="s">
        <v>2336</v>
      </c>
      <c r="E929" s="56" t="s">
        <v>2337</v>
      </c>
      <c r="F929" s="50" t="s">
        <v>2338</v>
      </c>
      <c r="G929" s="8"/>
      <c r="H929" s="8"/>
      <c r="I929" s="12"/>
      <c r="J929" s="16" t="s">
        <v>2312</v>
      </c>
      <c r="K929" s="16"/>
    </row>
    <row r="930" spans="1:11">
      <c r="A930" s="8">
        <f t="shared" si="15"/>
        <v>928</v>
      </c>
      <c r="B930" s="8" t="s">
        <v>2201</v>
      </c>
      <c r="C930" s="27" t="s">
        <v>155</v>
      </c>
      <c r="D930" s="8" t="s">
        <v>2339</v>
      </c>
      <c r="E930" s="56" t="s">
        <v>611</v>
      </c>
      <c r="F930" s="50" t="s">
        <v>2340</v>
      </c>
      <c r="G930" s="8"/>
      <c r="H930" s="8"/>
      <c r="I930" s="12"/>
      <c r="J930" s="16" t="s">
        <v>2312</v>
      </c>
      <c r="K930" s="16"/>
    </row>
    <row r="931" spans="1:11">
      <c r="A931" s="8">
        <f t="shared" si="15"/>
        <v>929</v>
      </c>
      <c r="B931" s="8" t="s">
        <v>2201</v>
      </c>
      <c r="C931" s="27" t="s">
        <v>155</v>
      </c>
      <c r="D931" s="8" t="s">
        <v>2341</v>
      </c>
      <c r="E931" s="56" t="s">
        <v>605</v>
      </c>
      <c r="F931" s="50" t="s">
        <v>2342</v>
      </c>
      <c r="G931" s="8"/>
      <c r="H931" s="8"/>
      <c r="I931" s="12"/>
      <c r="J931" s="16" t="s">
        <v>2312</v>
      </c>
      <c r="K931" s="16"/>
    </row>
    <row r="932" spans="1:11">
      <c r="A932" s="8">
        <f t="shared" si="15"/>
        <v>930</v>
      </c>
      <c r="B932" s="8" t="s">
        <v>2201</v>
      </c>
      <c r="C932" s="27" t="s">
        <v>155</v>
      </c>
      <c r="D932" s="8" t="s">
        <v>2343</v>
      </c>
      <c r="E932" s="56" t="s">
        <v>617</v>
      </c>
      <c r="F932" s="50" t="s">
        <v>2344</v>
      </c>
      <c r="G932" s="8"/>
      <c r="H932" s="8"/>
      <c r="I932" s="12"/>
      <c r="J932" s="16" t="s">
        <v>2312</v>
      </c>
      <c r="K932" s="16"/>
    </row>
    <row r="933" spans="1:11">
      <c r="A933" s="8">
        <f t="shared" si="15"/>
        <v>931</v>
      </c>
      <c r="B933" s="8" t="s">
        <v>2201</v>
      </c>
      <c r="C933" s="27" t="s">
        <v>155</v>
      </c>
      <c r="D933" s="8" t="s">
        <v>2345</v>
      </c>
      <c r="E933" s="56" t="s">
        <v>2346</v>
      </c>
      <c r="F933" s="50" t="s">
        <v>2347</v>
      </c>
      <c r="G933" s="8"/>
      <c r="H933" s="8"/>
      <c r="I933" s="12"/>
      <c r="J933" s="16" t="s">
        <v>2312</v>
      </c>
      <c r="K933" s="16"/>
    </row>
    <row r="934" spans="1:11">
      <c r="A934" s="8">
        <f t="shared" si="15"/>
        <v>932</v>
      </c>
      <c r="B934" s="8" t="s">
        <v>2201</v>
      </c>
      <c r="C934" s="27" t="s">
        <v>155</v>
      </c>
      <c r="D934" s="8" t="s">
        <v>2348</v>
      </c>
      <c r="E934" s="56" t="s">
        <v>2349</v>
      </c>
      <c r="F934" s="50" t="s">
        <v>2350</v>
      </c>
      <c r="G934" s="8"/>
      <c r="H934" s="8"/>
      <c r="I934" s="12"/>
      <c r="J934" s="16" t="s">
        <v>2312</v>
      </c>
      <c r="K934" s="16"/>
    </row>
    <row r="935" spans="1:11">
      <c r="A935" s="8">
        <f t="shared" si="15"/>
        <v>933</v>
      </c>
      <c r="B935" s="8" t="s">
        <v>2201</v>
      </c>
      <c r="C935" s="27" t="s">
        <v>155</v>
      </c>
      <c r="D935" s="8" t="s">
        <v>2351</v>
      </c>
      <c r="E935" s="56" t="s">
        <v>3458</v>
      </c>
      <c r="F935" s="50" t="s">
        <v>2352</v>
      </c>
      <c r="G935" s="8"/>
      <c r="H935" s="8"/>
      <c r="I935" s="12"/>
      <c r="J935" s="16" t="s">
        <v>1591</v>
      </c>
      <c r="K935" s="16"/>
    </row>
    <row r="936" spans="1:11">
      <c r="A936" s="8">
        <f t="shared" si="15"/>
        <v>934</v>
      </c>
      <c r="B936" s="8" t="s">
        <v>2201</v>
      </c>
      <c r="C936" s="27" t="s">
        <v>155</v>
      </c>
      <c r="D936" s="8" t="s">
        <v>2353</v>
      </c>
      <c r="E936" s="56" t="s">
        <v>3583</v>
      </c>
      <c r="F936" s="50" t="s">
        <v>2354</v>
      </c>
      <c r="G936" s="8"/>
      <c r="H936" s="8"/>
      <c r="I936" s="12"/>
      <c r="J936" s="16" t="s">
        <v>1591</v>
      </c>
      <c r="K936" s="16"/>
    </row>
    <row r="937" spans="1:11">
      <c r="A937" s="8">
        <f t="shared" si="15"/>
        <v>935</v>
      </c>
      <c r="B937" s="8" t="s">
        <v>2201</v>
      </c>
      <c r="C937" s="27" t="s">
        <v>155</v>
      </c>
      <c r="D937" s="8" t="s">
        <v>2355</v>
      </c>
      <c r="E937" s="56" t="s">
        <v>3584</v>
      </c>
      <c r="F937" s="50" t="s">
        <v>2356</v>
      </c>
      <c r="G937" s="8"/>
      <c r="H937" s="8"/>
      <c r="I937" s="12"/>
      <c r="J937" s="16" t="s">
        <v>1591</v>
      </c>
      <c r="K937" s="16"/>
    </row>
    <row r="938" spans="1:11">
      <c r="A938" s="8">
        <f t="shared" si="15"/>
        <v>936</v>
      </c>
      <c r="B938" s="8" t="s">
        <v>2201</v>
      </c>
      <c r="C938" s="27" t="s">
        <v>155</v>
      </c>
      <c r="D938" s="8" t="s">
        <v>2357</v>
      </c>
      <c r="E938" s="56" t="s">
        <v>3449</v>
      </c>
      <c r="F938" s="109" t="s">
        <v>2358</v>
      </c>
      <c r="G938" s="8"/>
      <c r="H938" s="8"/>
      <c r="I938" s="12"/>
      <c r="J938" s="16" t="s">
        <v>2312</v>
      </c>
      <c r="K938" s="16"/>
    </row>
    <row r="939" spans="1:11">
      <c r="A939" s="8">
        <f t="shared" si="15"/>
        <v>937</v>
      </c>
      <c r="B939" s="8" t="s">
        <v>2201</v>
      </c>
      <c r="C939" s="27" t="s">
        <v>155</v>
      </c>
      <c r="D939" s="8" t="s">
        <v>2359</v>
      </c>
      <c r="E939" s="56" t="s">
        <v>3459</v>
      </c>
      <c r="F939" s="50" t="s">
        <v>2360</v>
      </c>
      <c r="G939" s="8"/>
      <c r="H939" s="8"/>
      <c r="I939" s="12"/>
      <c r="J939" s="16" t="s">
        <v>1591</v>
      </c>
      <c r="K939" s="16"/>
    </row>
    <row r="940" spans="1:11">
      <c r="A940" s="8">
        <f t="shared" si="15"/>
        <v>938</v>
      </c>
      <c r="B940" s="8" t="s">
        <v>2201</v>
      </c>
      <c r="C940" s="27" t="s">
        <v>155</v>
      </c>
      <c r="D940" s="8" t="s">
        <v>2361</v>
      </c>
      <c r="E940" s="56" t="s">
        <v>3585</v>
      </c>
      <c r="F940" s="50" t="s">
        <v>2362</v>
      </c>
      <c r="G940" s="8"/>
      <c r="H940" s="8"/>
      <c r="I940" s="12"/>
      <c r="J940" s="16" t="s">
        <v>1591</v>
      </c>
      <c r="K940" s="16"/>
    </row>
    <row r="941" spans="1:11">
      <c r="A941" s="8">
        <f t="shared" si="15"/>
        <v>939</v>
      </c>
      <c r="B941" s="8" t="s">
        <v>2201</v>
      </c>
      <c r="C941" s="27" t="s">
        <v>155</v>
      </c>
      <c r="D941" s="8" t="s">
        <v>2363</v>
      </c>
      <c r="E941" s="56" t="s">
        <v>2364</v>
      </c>
      <c r="F941" s="50" t="s">
        <v>2365</v>
      </c>
      <c r="G941" s="8"/>
      <c r="H941" s="8"/>
      <c r="I941" s="12"/>
      <c r="J941" s="16" t="s">
        <v>1591</v>
      </c>
      <c r="K941" s="16"/>
    </row>
    <row r="942" spans="1:11">
      <c r="A942" s="8">
        <f t="shared" si="15"/>
        <v>940</v>
      </c>
      <c r="B942" s="8" t="s">
        <v>2201</v>
      </c>
      <c r="C942" s="27" t="s">
        <v>155</v>
      </c>
      <c r="D942" s="8" t="s">
        <v>2366</v>
      </c>
      <c r="E942" s="56" t="s">
        <v>2367</v>
      </c>
      <c r="F942" s="109" t="s">
        <v>2368</v>
      </c>
      <c r="G942" s="8"/>
      <c r="H942" s="8"/>
      <c r="I942" s="12"/>
      <c r="J942" s="16" t="s">
        <v>2312</v>
      </c>
      <c r="K942" s="16"/>
    </row>
    <row r="943" spans="1:11">
      <c r="A943" s="8">
        <f t="shared" si="15"/>
        <v>941</v>
      </c>
      <c r="B943" s="8" t="s">
        <v>2201</v>
      </c>
      <c r="C943" s="27" t="s">
        <v>155</v>
      </c>
      <c r="D943" s="8" t="s">
        <v>2369</v>
      </c>
      <c r="E943" s="56" t="s">
        <v>638</v>
      </c>
      <c r="F943" s="109" t="s">
        <v>2370</v>
      </c>
      <c r="G943" s="8"/>
      <c r="H943" s="8"/>
      <c r="I943" s="12"/>
      <c r="J943" s="16" t="s">
        <v>2312</v>
      </c>
      <c r="K943" s="16"/>
    </row>
    <row r="944" spans="1:11">
      <c r="A944" s="8">
        <f t="shared" si="15"/>
        <v>942</v>
      </c>
      <c r="B944" s="8" t="s">
        <v>2201</v>
      </c>
      <c r="C944" s="27" t="s">
        <v>155</v>
      </c>
      <c r="D944" s="8" t="s">
        <v>2371</v>
      </c>
      <c r="E944" s="56" t="s">
        <v>1087</v>
      </c>
      <c r="F944" s="109" t="s">
        <v>2372</v>
      </c>
      <c r="G944" s="8"/>
      <c r="H944" s="8"/>
      <c r="I944" s="12"/>
      <c r="J944" s="16" t="s">
        <v>2312</v>
      </c>
      <c r="K944" s="16"/>
    </row>
    <row r="945" spans="1:11">
      <c r="A945" s="8">
        <f t="shared" si="15"/>
        <v>943</v>
      </c>
      <c r="B945" s="8" t="s">
        <v>2201</v>
      </c>
      <c r="C945" s="27" t="s">
        <v>155</v>
      </c>
      <c r="D945" s="8" t="s">
        <v>2373</v>
      </c>
      <c r="E945" s="56" t="s">
        <v>2374</v>
      </c>
      <c r="F945" s="109" t="s">
        <v>2375</v>
      </c>
      <c r="G945" s="8"/>
      <c r="H945" s="8"/>
      <c r="I945" s="12"/>
      <c r="J945" s="16" t="s">
        <v>2312</v>
      </c>
      <c r="K945" s="16"/>
    </row>
    <row r="946" spans="1:11">
      <c r="A946" s="8">
        <f t="shared" si="15"/>
        <v>944</v>
      </c>
      <c r="B946" s="8" t="s">
        <v>2201</v>
      </c>
      <c r="C946" s="27" t="s">
        <v>155</v>
      </c>
      <c r="D946" s="8" t="s">
        <v>2376</v>
      </c>
      <c r="E946" s="56" t="s">
        <v>2377</v>
      </c>
      <c r="F946" s="109" t="s">
        <v>2378</v>
      </c>
      <c r="G946" s="8"/>
      <c r="H946" s="8"/>
      <c r="I946" s="12"/>
      <c r="J946" s="16" t="s">
        <v>2312</v>
      </c>
      <c r="K946" s="16"/>
    </row>
    <row r="947" spans="1:11">
      <c r="A947" s="8">
        <f t="shared" si="15"/>
        <v>945</v>
      </c>
      <c r="B947" s="8" t="s">
        <v>2201</v>
      </c>
      <c r="C947" s="27" t="s">
        <v>155</v>
      </c>
      <c r="D947" s="8" t="s">
        <v>2379</v>
      </c>
      <c r="E947" s="56" t="s">
        <v>3460</v>
      </c>
      <c r="F947" s="109" t="s">
        <v>2380</v>
      </c>
      <c r="G947" s="8"/>
      <c r="H947" s="8"/>
      <c r="I947" s="12"/>
      <c r="J947" s="16" t="s">
        <v>2312</v>
      </c>
      <c r="K947" s="16"/>
    </row>
    <row r="948" spans="1:11">
      <c r="A948" s="8">
        <f t="shared" si="15"/>
        <v>946</v>
      </c>
      <c r="B948" s="8" t="s">
        <v>2201</v>
      </c>
      <c r="C948" s="27" t="s">
        <v>155</v>
      </c>
      <c r="D948" s="8" t="s">
        <v>2381</v>
      </c>
      <c r="E948" s="56" t="s">
        <v>3586</v>
      </c>
      <c r="F948" s="50" t="s">
        <v>2362</v>
      </c>
      <c r="G948" s="8"/>
      <c r="H948" s="8"/>
      <c r="I948" s="12"/>
      <c r="J948" s="16" t="s">
        <v>1591</v>
      </c>
      <c r="K948" s="16"/>
    </row>
    <row r="949" spans="1:11">
      <c r="A949" s="8">
        <f t="shared" si="15"/>
        <v>947</v>
      </c>
      <c r="B949" s="8" t="s">
        <v>2201</v>
      </c>
      <c r="C949" s="27" t="s">
        <v>283</v>
      </c>
      <c r="D949" s="8" t="s">
        <v>2382</v>
      </c>
      <c r="E949" s="56" t="s">
        <v>2382</v>
      </c>
      <c r="F949" s="109" t="s">
        <v>2383</v>
      </c>
      <c r="G949" s="8"/>
      <c r="H949" s="8"/>
      <c r="I949" s="12"/>
      <c r="J949" s="16" t="s">
        <v>386</v>
      </c>
      <c r="K949" s="16"/>
    </row>
    <row r="950" spans="1:11">
      <c r="A950" s="8">
        <f t="shared" si="15"/>
        <v>948</v>
      </c>
      <c r="B950" s="8" t="s">
        <v>2201</v>
      </c>
      <c r="C950" s="27" t="s">
        <v>2384</v>
      </c>
      <c r="D950" s="8" t="s">
        <v>2385</v>
      </c>
      <c r="E950" s="56" t="s">
        <v>3461</v>
      </c>
      <c r="F950" s="8"/>
      <c r="G950" s="8"/>
      <c r="H950" s="8"/>
      <c r="I950" s="12"/>
      <c r="J950" s="16" t="s">
        <v>2230</v>
      </c>
      <c r="K950" s="16" t="s">
        <v>705</v>
      </c>
    </row>
    <row r="951" spans="1:11">
      <c r="A951" s="8">
        <f t="shared" si="15"/>
        <v>949</v>
      </c>
      <c r="B951" s="8" t="s">
        <v>2201</v>
      </c>
      <c r="C951" s="27" t="s">
        <v>219</v>
      </c>
      <c r="D951" s="8" t="s">
        <v>2386</v>
      </c>
      <c r="E951" s="56" t="s">
        <v>3462</v>
      </c>
      <c r="F951" s="8" t="s">
        <v>2388</v>
      </c>
      <c r="G951" s="8"/>
      <c r="H951" s="8"/>
      <c r="I951" s="12"/>
      <c r="J951" s="16" t="s">
        <v>705</v>
      </c>
      <c r="K951" s="16" t="s">
        <v>736</v>
      </c>
    </row>
    <row r="952" spans="1:11">
      <c r="A952" s="8">
        <f t="shared" si="15"/>
        <v>950</v>
      </c>
      <c r="B952" s="8" t="s">
        <v>2201</v>
      </c>
      <c r="C952" s="27" t="s">
        <v>219</v>
      </c>
      <c r="D952" s="8" t="s">
        <v>2389</v>
      </c>
      <c r="E952" s="56" t="s">
        <v>3463</v>
      </c>
      <c r="F952" s="8"/>
      <c r="G952" s="8"/>
      <c r="H952" s="8"/>
      <c r="I952" s="12"/>
      <c r="J952" s="16" t="s">
        <v>705</v>
      </c>
      <c r="K952" s="16" t="s">
        <v>736</v>
      </c>
    </row>
    <row r="953" spans="1:11">
      <c r="A953" s="8">
        <f t="shared" si="15"/>
        <v>951</v>
      </c>
      <c r="B953" s="8" t="s">
        <v>2201</v>
      </c>
      <c r="C953" s="27" t="s">
        <v>219</v>
      </c>
      <c r="D953" s="8" t="s">
        <v>2390</v>
      </c>
      <c r="E953" s="56" t="s">
        <v>3464</v>
      </c>
      <c r="F953" s="8"/>
      <c r="G953" s="8"/>
      <c r="H953" s="8"/>
      <c r="I953" s="12"/>
      <c r="J953" s="16" t="s">
        <v>705</v>
      </c>
      <c r="K953" s="16" t="s">
        <v>736</v>
      </c>
    </row>
    <row r="954" spans="1:11">
      <c r="A954" s="8">
        <f t="shared" si="15"/>
        <v>952</v>
      </c>
      <c r="B954" s="8" t="s">
        <v>2201</v>
      </c>
      <c r="C954" s="27" t="s">
        <v>219</v>
      </c>
      <c r="D954" s="8" t="s">
        <v>2391</v>
      </c>
      <c r="E954" s="56" t="s">
        <v>2392</v>
      </c>
      <c r="F954" s="8"/>
      <c r="G954" s="8"/>
      <c r="H954" s="8"/>
      <c r="I954" s="12"/>
      <c r="J954" s="16" t="s">
        <v>705</v>
      </c>
      <c r="K954" s="16" t="s">
        <v>736</v>
      </c>
    </row>
    <row r="955" spans="1:11">
      <c r="A955" s="8">
        <f t="shared" si="15"/>
        <v>953</v>
      </c>
      <c r="B955" s="8" t="s">
        <v>2201</v>
      </c>
      <c r="C955" s="27" t="s">
        <v>219</v>
      </c>
      <c r="D955" s="8" t="s">
        <v>2393</v>
      </c>
      <c r="E955" s="56" t="s">
        <v>3587</v>
      </c>
      <c r="F955" s="8" t="s">
        <v>2394</v>
      </c>
      <c r="G955" s="8"/>
      <c r="H955" s="8"/>
      <c r="I955" s="12"/>
      <c r="J955" s="16" t="s">
        <v>705</v>
      </c>
      <c r="K955" s="16" t="s">
        <v>736</v>
      </c>
    </row>
    <row r="956" spans="1:11">
      <c r="A956" s="8">
        <f t="shared" si="15"/>
        <v>954</v>
      </c>
      <c r="B956" s="8" t="s">
        <v>2201</v>
      </c>
      <c r="C956" s="27" t="s">
        <v>219</v>
      </c>
      <c r="D956" s="8" t="s">
        <v>2395</v>
      </c>
      <c r="E956" s="56" t="s">
        <v>3465</v>
      </c>
      <c r="F956" s="8"/>
      <c r="G956" s="8"/>
      <c r="H956" s="8"/>
      <c r="I956" s="12"/>
      <c r="J956" s="16" t="s">
        <v>705</v>
      </c>
      <c r="K956" s="16" t="s">
        <v>736</v>
      </c>
    </row>
    <row r="957" spans="1:11">
      <c r="A957" s="8">
        <f t="shared" si="15"/>
        <v>955</v>
      </c>
      <c r="B957" s="8" t="s">
        <v>2201</v>
      </c>
      <c r="C957" s="27" t="s">
        <v>219</v>
      </c>
      <c r="D957" s="8" t="s">
        <v>2396</v>
      </c>
      <c r="E957" s="56" t="s">
        <v>3027</v>
      </c>
      <c r="F957" s="8"/>
      <c r="G957" s="8"/>
      <c r="H957" s="8"/>
      <c r="I957" s="12"/>
      <c r="J957" s="16" t="s">
        <v>705</v>
      </c>
      <c r="K957" s="16" t="s">
        <v>736</v>
      </c>
    </row>
    <row r="958" spans="1:11">
      <c r="A958" s="8">
        <f t="shared" si="15"/>
        <v>956</v>
      </c>
      <c r="B958" s="8" t="s">
        <v>2201</v>
      </c>
      <c r="C958" s="27" t="s">
        <v>219</v>
      </c>
      <c r="D958" s="8" t="s">
        <v>2397</v>
      </c>
      <c r="E958" s="56" t="s">
        <v>3588</v>
      </c>
      <c r="F958" s="8"/>
      <c r="G958" s="8"/>
      <c r="H958" s="8"/>
      <c r="I958" s="12"/>
      <c r="J958" s="16" t="s">
        <v>705</v>
      </c>
      <c r="K958" s="16" t="s">
        <v>736</v>
      </c>
    </row>
    <row r="959" spans="1:11">
      <c r="A959" s="8">
        <f t="shared" si="15"/>
        <v>957</v>
      </c>
      <c r="B959" s="8" t="s">
        <v>2201</v>
      </c>
      <c r="C959" s="27" t="s">
        <v>219</v>
      </c>
      <c r="D959" s="8" t="s">
        <v>2398</v>
      </c>
      <c r="E959" s="56" t="s">
        <v>3589</v>
      </c>
      <c r="F959" s="8"/>
      <c r="G959" s="8"/>
      <c r="H959" s="8"/>
      <c r="I959" s="12"/>
      <c r="J959" s="16" t="s">
        <v>705</v>
      </c>
      <c r="K959" s="16" t="s">
        <v>736</v>
      </c>
    </row>
    <row r="960" spans="1:11">
      <c r="A960" s="8">
        <f t="shared" si="15"/>
        <v>958</v>
      </c>
      <c r="B960" s="8" t="s">
        <v>2201</v>
      </c>
      <c r="C960" s="27" t="s">
        <v>219</v>
      </c>
      <c r="D960" s="8" t="s">
        <v>2399</v>
      </c>
      <c r="E960" s="56" t="s">
        <v>3590</v>
      </c>
      <c r="F960" s="8"/>
      <c r="G960" s="8"/>
      <c r="H960" s="8"/>
      <c r="I960" s="12"/>
      <c r="J960" s="16" t="s">
        <v>705</v>
      </c>
      <c r="K960" s="16" t="s">
        <v>736</v>
      </c>
    </row>
    <row r="961" spans="1:11">
      <c r="A961" s="8">
        <f t="shared" si="15"/>
        <v>959</v>
      </c>
      <c r="B961" s="8" t="s">
        <v>2201</v>
      </c>
      <c r="C961" s="27" t="s">
        <v>219</v>
      </c>
      <c r="D961" s="8" t="s">
        <v>2400</v>
      </c>
      <c r="E961" s="56" t="s">
        <v>3466</v>
      </c>
      <c r="F961" s="8"/>
      <c r="G961" s="8"/>
      <c r="H961" s="8"/>
      <c r="I961" s="12"/>
      <c r="J961" s="16" t="s">
        <v>887</v>
      </c>
      <c r="K961" s="16" t="s">
        <v>705</v>
      </c>
    </row>
    <row r="962" spans="1:11">
      <c r="A962" s="8">
        <f t="shared" si="15"/>
        <v>960</v>
      </c>
      <c r="B962" s="8" t="s">
        <v>2201</v>
      </c>
      <c r="C962" s="27" t="s">
        <v>219</v>
      </c>
      <c r="D962" s="8" t="s">
        <v>2401</v>
      </c>
      <c r="E962" s="56" t="s">
        <v>3467</v>
      </c>
      <c r="F962" s="8"/>
      <c r="G962" s="8"/>
      <c r="H962" s="8"/>
      <c r="I962" s="12"/>
      <c r="J962" s="16" t="s">
        <v>887</v>
      </c>
      <c r="K962" s="16" t="s">
        <v>705</v>
      </c>
    </row>
    <row r="963" spans="1:11">
      <c r="A963" s="8">
        <f t="shared" si="15"/>
        <v>961</v>
      </c>
      <c r="B963" s="8" t="s">
        <v>2201</v>
      </c>
      <c r="C963" s="27" t="s">
        <v>219</v>
      </c>
      <c r="D963" s="8" t="s">
        <v>2402</v>
      </c>
      <c r="E963" s="56" t="s">
        <v>3591</v>
      </c>
      <c r="F963" s="8"/>
      <c r="G963" s="8"/>
      <c r="H963" s="8"/>
      <c r="I963" s="12"/>
      <c r="J963" s="16" t="s">
        <v>887</v>
      </c>
      <c r="K963" s="16" t="s">
        <v>705</v>
      </c>
    </row>
    <row r="964" spans="1:11">
      <c r="A964" s="8">
        <f t="shared" si="15"/>
        <v>962</v>
      </c>
      <c r="B964" s="8" t="s">
        <v>2201</v>
      </c>
      <c r="C964" s="27" t="s">
        <v>219</v>
      </c>
      <c r="D964" s="8" t="s">
        <v>2403</v>
      </c>
      <c r="E964" s="56" t="s">
        <v>3592</v>
      </c>
      <c r="F964" s="8"/>
      <c r="G964" s="8"/>
      <c r="H964" s="8"/>
      <c r="I964" s="12"/>
      <c r="J964" s="16" t="s">
        <v>705</v>
      </c>
      <c r="K964" s="16" t="s">
        <v>736</v>
      </c>
    </row>
    <row r="965" spans="1:11">
      <c r="A965" s="8">
        <f t="shared" si="15"/>
        <v>963</v>
      </c>
      <c r="B965" s="8" t="s">
        <v>2201</v>
      </c>
      <c r="C965" s="27" t="s">
        <v>219</v>
      </c>
      <c r="D965" s="8" t="s">
        <v>2404</v>
      </c>
      <c r="E965" s="56" t="s">
        <v>3468</v>
      </c>
      <c r="F965" s="8"/>
      <c r="G965" s="8"/>
      <c r="H965" s="8"/>
      <c r="I965" s="12"/>
      <c r="J965" s="16" t="s">
        <v>887</v>
      </c>
      <c r="K965" s="16" t="s">
        <v>705</v>
      </c>
    </row>
    <row r="966" spans="1:11">
      <c r="A966" s="8">
        <f t="shared" si="15"/>
        <v>964</v>
      </c>
      <c r="B966" s="8" t="s">
        <v>2201</v>
      </c>
      <c r="C966" s="27" t="s">
        <v>219</v>
      </c>
      <c r="D966" s="8" t="s">
        <v>2405</v>
      </c>
      <c r="E966" s="56" t="s">
        <v>3469</v>
      </c>
      <c r="F966" s="8"/>
      <c r="G966" s="8"/>
      <c r="H966" s="8"/>
      <c r="I966" s="12"/>
      <c r="J966" s="16" t="s">
        <v>887</v>
      </c>
      <c r="K966" s="16" t="s">
        <v>705</v>
      </c>
    </row>
    <row r="967" spans="1:11">
      <c r="A967" s="8">
        <f t="shared" si="15"/>
        <v>965</v>
      </c>
      <c r="B967" s="8" t="s">
        <v>2201</v>
      </c>
      <c r="C967" s="27" t="s">
        <v>219</v>
      </c>
      <c r="D967" s="8" t="s">
        <v>2406</v>
      </c>
      <c r="E967" s="56" t="s">
        <v>3470</v>
      </c>
      <c r="F967" s="8"/>
      <c r="G967" s="8"/>
      <c r="H967" s="8"/>
      <c r="I967" s="12"/>
      <c r="J967" s="16" t="s">
        <v>705</v>
      </c>
      <c r="K967" s="16" t="s">
        <v>736</v>
      </c>
    </row>
    <row r="968" spans="1:11">
      <c r="A968" s="8">
        <f t="shared" si="15"/>
        <v>966</v>
      </c>
      <c r="B968" s="8" t="s">
        <v>2201</v>
      </c>
      <c r="C968" s="27" t="s">
        <v>219</v>
      </c>
      <c r="D968" s="8" t="s">
        <v>2407</v>
      </c>
      <c r="E968" s="56" t="s">
        <v>3471</v>
      </c>
      <c r="F968" s="8"/>
      <c r="G968" s="8"/>
      <c r="H968" s="8"/>
      <c r="I968" s="12"/>
      <c r="J968" s="16" t="s">
        <v>705</v>
      </c>
      <c r="K968" s="16" t="s">
        <v>736</v>
      </c>
    </row>
    <row r="969" spans="1:11">
      <c r="A969" s="8">
        <f t="shared" si="15"/>
        <v>967</v>
      </c>
      <c r="B969" s="8" t="s">
        <v>2201</v>
      </c>
      <c r="C969" s="27" t="s">
        <v>219</v>
      </c>
      <c r="D969" s="8" t="s">
        <v>2408</v>
      </c>
      <c r="E969" s="56" t="s">
        <v>3593</v>
      </c>
      <c r="F969" s="8"/>
      <c r="G969" s="8"/>
      <c r="H969" s="8"/>
      <c r="I969" s="12"/>
      <c r="J969" s="16" t="s">
        <v>887</v>
      </c>
      <c r="K969" s="16" t="s">
        <v>705</v>
      </c>
    </row>
    <row r="970" spans="1:11">
      <c r="A970" s="8">
        <f t="shared" si="15"/>
        <v>968</v>
      </c>
      <c r="B970" s="8" t="s">
        <v>2201</v>
      </c>
      <c r="C970" s="27" t="s">
        <v>219</v>
      </c>
      <c r="D970" s="8" t="s">
        <v>2409</v>
      </c>
      <c r="E970" s="56" t="s">
        <v>3472</v>
      </c>
      <c r="F970" s="8"/>
      <c r="G970" s="8"/>
      <c r="H970" s="8"/>
      <c r="I970" s="12"/>
      <c r="J970" s="16" t="s">
        <v>887</v>
      </c>
      <c r="K970" s="16" t="s">
        <v>705</v>
      </c>
    </row>
    <row r="971" spans="1:11">
      <c r="A971" s="8">
        <f t="shared" si="15"/>
        <v>969</v>
      </c>
      <c r="B971" s="8" t="s">
        <v>2201</v>
      </c>
      <c r="C971" s="27" t="s">
        <v>219</v>
      </c>
      <c r="D971" s="8" t="s">
        <v>2410</v>
      </c>
      <c r="E971" s="56" t="s">
        <v>3594</v>
      </c>
      <c r="F971" s="8"/>
      <c r="G971" s="8"/>
      <c r="H971" s="8"/>
      <c r="I971" s="12"/>
      <c r="J971" s="16" t="s">
        <v>887</v>
      </c>
      <c r="K971" s="16" t="s">
        <v>705</v>
      </c>
    </row>
    <row r="972" spans="1:11">
      <c r="A972" s="8">
        <f t="shared" si="15"/>
        <v>970</v>
      </c>
      <c r="B972" s="8" t="s">
        <v>2201</v>
      </c>
      <c r="C972" s="27" t="s">
        <v>219</v>
      </c>
      <c r="D972" s="8" t="s">
        <v>2411</v>
      </c>
      <c r="E972" s="56" t="s">
        <v>3473</v>
      </c>
      <c r="F972" s="8"/>
      <c r="G972" s="8"/>
      <c r="H972" s="8"/>
      <c r="I972" s="12"/>
      <c r="J972" s="16" t="s">
        <v>887</v>
      </c>
      <c r="K972" s="16" t="s">
        <v>705</v>
      </c>
    </row>
    <row r="973" spans="1:11">
      <c r="A973" s="8">
        <f t="shared" si="15"/>
        <v>971</v>
      </c>
      <c r="B973" s="8" t="s">
        <v>2201</v>
      </c>
      <c r="C973" s="27" t="s">
        <v>219</v>
      </c>
      <c r="D973" s="8" t="s">
        <v>2412</v>
      </c>
      <c r="E973" s="56" t="s">
        <v>3474</v>
      </c>
      <c r="F973" s="8"/>
      <c r="G973" s="8"/>
      <c r="H973" s="8"/>
      <c r="I973" s="12"/>
      <c r="J973" s="16" t="s">
        <v>887</v>
      </c>
      <c r="K973" s="16" t="s">
        <v>705</v>
      </c>
    </row>
    <row r="974" spans="1:11">
      <c r="A974" s="8">
        <f t="shared" si="15"/>
        <v>972</v>
      </c>
      <c r="B974" s="8" t="s">
        <v>2201</v>
      </c>
      <c r="C974" s="27" t="s">
        <v>2413</v>
      </c>
      <c r="D974" s="8" t="s">
        <v>2414</v>
      </c>
      <c r="E974" s="56" t="s">
        <v>3475</v>
      </c>
      <c r="F974" s="8"/>
      <c r="G974" s="8"/>
      <c r="H974" s="8"/>
      <c r="I974" s="12"/>
      <c r="J974" s="16" t="s">
        <v>705</v>
      </c>
      <c r="K974" s="16" t="s">
        <v>736</v>
      </c>
    </row>
    <row r="975" spans="1:11">
      <c r="A975" s="8">
        <f t="shared" si="15"/>
        <v>973</v>
      </c>
      <c r="B975" s="8" t="s">
        <v>2201</v>
      </c>
      <c r="C975" s="27" t="s">
        <v>1861</v>
      </c>
      <c r="D975" s="8" t="s">
        <v>2415</v>
      </c>
      <c r="E975" s="56" t="s">
        <v>3476</v>
      </c>
      <c r="F975" s="8"/>
      <c r="G975" s="8"/>
      <c r="H975" s="8"/>
      <c r="I975" s="12"/>
      <c r="J975" s="16" t="s">
        <v>670</v>
      </c>
      <c r="K975" s="16" t="s">
        <v>2416</v>
      </c>
    </row>
    <row r="976" spans="1:11">
      <c r="A976" s="8">
        <f t="shared" si="15"/>
        <v>974</v>
      </c>
      <c r="B976" s="8" t="s">
        <v>2201</v>
      </c>
      <c r="C976" s="27" t="s">
        <v>1861</v>
      </c>
      <c r="D976" s="8" t="s">
        <v>2417</v>
      </c>
      <c r="E976" s="56" t="s">
        <v>3477</v>
      </c>
      <c r="F976" s="8"/>
      <c r="G976" s="8"/>
      <c r="H976" s="8"/>
      <c r="I976" s="12"/>
      <c r="J976" s="16" t="s">
        <v>670</v>
      </c>
      <c r="K976" s="16" t="s">
        <v>2416</v>
      </c>
    </row>
    <row r="977" spans="1:11">
      <c r="A977" s="8">
        <f t="shared" si="15"/>
        <v>975</v>
      </c>
      <c r="B977" s="8" t="s">
        <v>2201</v>
      </c>
      <c r="C977" s="27" t="s">
        <v>1861</v>
      </c>
      <c r="D977" s="8" t="s">
        <v>2418</v>
      </c>
      <c r="E977" s="56" t="s">
        <v>3595</v>
      </c>
      <c r="F977" s="8"/>
      <c r="G977" s="8"/>
      <c r="H977" s="8"/>
      <c r="I977" s="12"/>
      <c r="J977" s="16" t="s">
        <v>671</v>
      </c>
      <c r="K977" s="16" t="s">
        <v>705</v>
      </c>
    </row>
    <row r="978" spans="1:11">
      <c r="A978" s="8">
        <f t="shared" si="15"/>
        <v>976</v>
      </c>
      <c r="B978" s="8" t="s">
        <v>2201</v>
      </c>
      <c r="C978" s="27" t="s">
        <v>1861</v>
      </c>
      <c r="D978" s="8" t="s">
        <v>2419</v>
      </c>
      <c r="E978" s="56" t="s">
        <v>3478</v>
      </c>
      <c r="F978" s="8"/>
      <c r="G978" s="8"/>
      <c r="H978" s="8"/>
      <c r="I978" s="12"/>
      <c r="J978" s="16" t="s">
        <v>671</v>
      </c>
      <c r="K978" s="16" t="s">
        <v>705</v>
      </c>
    </row>
    <row r="979" spans="1:11">
      <c r="A979" s="8">
        <f t="shared" si="15"/>
        <v>977</v>
      </c>
      <c r="B979" s="8" t="s">
        <v>2201</v>
      </c>
      <c r="C979" s="27" t="s">
        <v>1861</v>
      </c>
      <c r="D979" s="8" t="s">
        <v>2420</v>
      </c>
      <c r="E979" s="56" t="s">
        <v>3479</v>
      </c>
      <c r="F979" s="8"/>
      <c r="G979" s="8"/>
      <c r="H979" s="8"/>
      <c r="I979" s="12"/>
      <c r="J979" s="16" t="s">
        <v>671</v>
      </c>
      <c r="K979" s="16" t="s">
        <v>705</v>
      </c>
    </row>
    <row r="980" spans="1:11">
      <c r="A980" s="8">
        <f t="shared" si="15"/>
        <v>978</v>
      </c>
      <c r="B980" s="8" t="s">
        <v>2201</v>
      </c>
      <c r="C980" s="27" t="s">
        <v>1861</v>
      </c>
      <c r="D980" s="8" t="s">
        <v>2421</v>
      </c>
      <c r="E980" s="56" t="s">
        <v>3480</v>
      </c>
      <c r="F980" s="8"/>
      <c r="G980" s="8"/>
      <c r="H980" s="8"/>
      <c r="I980" s="12"/>
      <c r="J980" s="16" t="s">
        <v>2312</v>
      </c>
      <c r="K980" s="16"/>
    </row>
    <row r="981" spans="1:11">
      <c r="A981" s="8">
        <f t="shared" si="15"/>
        <v>979</v>
      </c>
      <c r="B981" s="8" t="s">
        <v>2201</v>
      </c>
      <c r="C981" s="27" t="s">
        <v>1861</v>
      </c>
      <c r="D981" s="8" t="s">
        <v>2422</v>
      </c>
      <c r="E981" s="56" t="s">
        <v>3481</v>
      </c>
      <c r="F981" s="8"/>
      <c r="G981" s="8"/>
      <c r="H981" s="8"/>
      <c r="I981" s="12"/>
      <c r="J981" s="16" t="s">
        <v>2312</v>
      </c>
      <c r="K981" s="16"/>
    </row>
    <row r="982" spans="1:11">
      <c r="A982" s="8">
        <f t="shared" si="15"/>
        <v>980</v>
      </c>
      <c r="B982" s="8" t="s">
        <v>2201</v>
      </c>
      <c r="C982" s="27" t="s">
        <v>1861</v>
      </c>
      <c r="D982" s="8" t="s">
        <v>2423</v>
      </c>
      <c r="E982" s="56" t="s">
        <v>3482</v>
      </c>
      <c r="F982" s="8"/>
      <c r="G982" s="8"/>
      <c r="H982" s="8"/>
      <c r="I982" s="12"/>
      <c r="J982" s="16" t="s">
        <v>2312</v>
      </c>
      <c r="K982" s="16"/>
    </row>
    <row r="983" spans="1:11">
      <c r="A983" s="8">
        <f t="shared" si="15"/>
        <v>981</v>
      </c>
      <c r="B983" s="8" t="s">
        <v>2201</v>
      </c>
      <c r="C983" s="27" t="s">
        <v>1861</v>
      </c>
      <c r="D983" s="8" t="s">
        <v>2424</v>
      </c>
      <c r="E983" s="56" t="s">
        <v>3483</v>
      </c>
      <c r="F983" s="8"/>
      <c r="G983" s="8"/>
      <c r="H983" s="8"/>
      <c r="I983" s="12"/>
      <c r="J983" s="16" t="s">
        <v>2312</v>
      </c>
      <c r="K983" s="16"/>
    </row>
    <row r="984" spans="1:11">
      <c r="A984" s="8">
        <f t="shared" si="15"/>
        <v>982</v>
      </c>
      <c r="B984" s="8" t="s">
        <v>2201</v>
      </c>
      <c r="C984" s="27" t="s">
        <v>1861</v>
      </c>
      <c r="D984" s="8" t="s">
        <v>2425</v>
      </c>
      <c r="E984" s="56" t="s">
        <v>3484</v>
      </c>
      <c r="F984" s="8"/>
      <c r="G984" s="8"/>
      <c r="H984" s="8"/>
      <c r="I984" s="12"/>
      <c r="J984" s="16" t="s">
        <v>2312</v>
      </c>
      <c r="K984" s="16"/>
    </row>
    <row r="985" spans="1:11">
      <c r="A985" s="8">
        <f t="shared" si="15"/>
        <v>983</v>
      </c>
      <c r="B985" s="8" t="s">
        <v>2201</v>
      </c>
      <c r="C985" s="27" t="s">
        <v>1861</v>
      </c>
      <c r="D985" s="8" t="s">
        <v>2426</v>
      </c>
      <c r="E985" s="56" t="s">
        <v>3596</v>
      </c>
      <c r="F985" s="8"/>
      <c r="G985" s="8"/>
      <c r="H985" s="8"/>
      <c r="I985" s="12"/>
      <c r="J985" s="16" t="s">
        <v>2312</v>
      </c>
      <c r="K985" s="16"/>
    </row>
    <row r="986" spans="1:11">
      <c r="A986" s="8">
        <f t="shared" si="15"/>
        <v>984</v>
      </c>
      <c r="B986" s="8" t="s">
        <v>2201</v>
      </c>
      <c r="C986" s="27" t="s">
        <v>1861</v>
      </c>
      <c r="D986" s="8" t="s">
        <v>2427</v>
      </c>
      <c r="E986" s="56" t="s">
        <v>3597</v>
      </c>
      <c r="F986" s="8"/>
      <c r="G986" s="8"/>
      <c r="H986" s="8"/>
      <c r="I986" s="12"/>
      <c r="J986" s="16" t="s">
        <v>2312</v>
      </c>
      <c r="K986" s="16"/>
    </row>
    <row r="987" spans="1:11">
      <c r="A987" s="8">
        <f t="shared" si="15"/>
        <v>985</v>
      </c>
      <c r="B987" s="8" t="s">
        <v>2201</v>
      </c>
      <c r="C987" s="27" t="s">
        <v>1861</v>
      </c>
      <c r="D987" s="8" t="s">
        <v>2428</v>
      </c>
      <c r="E987" s="56" t="s">
        <v>3485</v>
      </c>
      <c r="F987" s="8"/>
      <c r="G987" s="8"/>
      <c r="H987" s="8"/>
      <c r="I987" s="12"/>
      <c r="J987" s="16" t="s">
        <v>2312</v>
      </c>
      <c r="K987" s="16"/>
    </row>
    <row r="988" spans="1:11">
      <c r="A988" s="8">
        <f t="shared" si="15"/>
        <v>986</v>
      </c>
      <c r="B988" s="8" t="s">
        <v>2201</v>
      </c>
      <c r="C988" s="27" t="s">
        <v>1861</v>
      </c>
      <c r="D988" s="8" t="s">
        <v>2429</v>
      </c>
      <c r="E988" s="56" t="s">
        <v>3598</v>
      </c>
      <c r="F988" s="8"/>
      <c r="G988" s="8"/>
      <c r="H988" s="8"/>
      <c r="I988" s="12"/>
      <c r="J988" s="16" t="s">
        <v>671</v>
      </c>
      <c r="K988" s="16" t="s">
        <v>705</v>
      </c>
    </row>
    <row r="989" spans="1:11">
      <c r="A989" s="8">
        <f t="shared" si="15"/>
        <v>987</v>
      </c>
      <c r="B989" s="8" t="s">
        <v>2201</v>
      </c>
      <c r="C989" s="27" t="s">
        <v>1861</v>
      </c>
      <c r="D989" s="8" t="s">
        <v>2430</v>
      </c>
      <c r="E989" s="56" t="s">
        <v>3599</v>
      </c>
      <c r="F989" s="8"/>
      <c r="G989" s="8"/>
      <c r="H989" s="8"/>
      <c r="I989" s="12"/>
      <c r="J989" s="16" t="s">
        <v>671</v>
      </c>
      <c r="K989" s="16" t="s">
        <v>705</v>
      </c>
    </row>
    <row r="990" spans="1:11">
      <c r="A990" s="8">
        <f t="shared" si="15"/>
        <v>988</v>
      </c>
      <c r="B990" s="8" t="s">
        <v>2201</v>
      </c>
      <c r="C990" s="27" t="s">
        <v>1861</v>
      </c>
      <c r="D990" s="8" t="s">
        <v>2431</v>
      </c>
      <c r="E990" s="56" t="s">
        <v>3486</v>
      </c>
      <c r="F990" s="8"/>
      <c r="G990" s="8"/>
      <c r="H990" s="8"/>
      <c r="I990" s="12"/>
      <c r="J990" s="16" t="s">
        <v>2312</v>
      </c>
      <c r="K990" s="16"/>
    </row>
    <row r="991" spans="1:11">
      <c r="A991" s="8">
        <f t="shared" ref="A991:A1038" si="16">ROW()-2</f>
        <v>989</v>
      </c>
      <c r="B991" s="8" t="s">
        <v>2201</v>
      </c>
      <c r="C991" s="27" t="s">
        <v>1861</v>
      </c>
      <c r="D991" s="8" t="s">
        <v>2432</v>
      </c>
      <c r="E991" s="56" t="s">
        <v>3600</v>
      </c>
      <c r="F991" s="8"/>
      <c r="G991" s="8"/>
      <c r="H991" s="8"/>
      <c r="I991" s="12"/>
      <c r="J991" s="16" t="s">
        <v>671</v>
      </c>
      <c r="K991" s="16" t="s">
        <v>705</v>
      </c>
    </row>
    <row r="992" spans="1:11">
      <c r="A992" s="8">
        <f t="shared" si="16"/>
        <v>990</v>
      </c>
      <c r="B992" s="8" t="s">
        <v>2201</v>
      </c>
      <c r="C992" s="27" t="s">
        <v>1861</v>
      </c>
      <c r="D992" s="8" t="s">
        <v>2433</v>
      </c>
      <c r="E992" s="56" t="s">
        <v>3487</v>
      </c>
      <c r="F992" s="8"/>
      <c r="G992" s="8"/>
      <c r="H992" s="8"/>
      <c r="I992" s="12"/>
      <c r="J992" s="16" t="s">
        <v>887</v>
      </c>
      <c r="K992" s="16" t="s">
        <v>705</v>
      </c>
    </row>
    <row r="993" spans="1:11">
      <c r="A993" s="8">
        <f t="shared" si="16"/>
        <v>991</v>
      </c>
      <c r="B993" s="8" t="s">
        <v>2201</v>
      </c>
      <c r="C993" s="27" t="s">
        <v>1861</v>
      </c>
      <c r="D993" s="8" t="s">
        <v>2434</v>
      </c>
      <c r="E993" s="56" t="s">
        <v>3488</v>
      </c>
      <c r="F993" s="8"/>
      <c r="G993" s="8"/>
      <c r="H993" s="8"/>
      <c r="I993" s="12"/>
      <c r="J993" s="16" t="s">
        <v>671</v>
      </c>
      <c r="K993" s="16" t="s">
        <v>705</v>
      </c>
    </row>
    <row r="994" spans="1:11">
      <c r="A994" s="8">
        <f t="shared" si="16"/>
        <v>992</v>
      </c>
      <c r="B994" s="8" t="s">
        <v>2201</v>
      </c>
      <c r="C994" s="27" t="s">
        <v>1861</v>
      </c>
      <c r="D994" s="8" t="s">
        <v>2435</v>
      </c>
      <c r="E994" s="56" t="s">
        <v>3489</v>
      </c>
      <c r="F994" s="8"/>
      <c r="G994" s="8"/>
      <c r="H994" s="8"/>
      <c r="I994" s="12"/>
      <c r="J994" s="16" t="s">
        <v>671</v>
      </c>
      <c r="K994" s="16" t="s">
        <v>705</v>
      </c>
    </row>
    <row r="995" spans="1:11">
      <c r="A995" s="8">
        <f t="shared" si="16"/>
        <v>993</v>
      </c>
      <c r="B995" s="8" t="s">
        <v>2201</v>
      </c>
      <c r="C995" s="27" t="s">
        <v>1861</v>
      </c>
      <c r="D995" s="8" t="s">
        <v>2436</v>
      </c>
      <c r="E995" s="56" t="s">
        <v>3490</v>
      </c>
      <c r="F995" s="8"/>
      <c r="G995" s="8"/>
      <c r="H995" s="8"/>
      <c r="I995" s="12"/>
      <c r="J995" s="16" t="s">
        <v>671</v>
      </c>
      <c r="K995" s="16" t="s">
        <v>705</v>
      </c>
    </row>
    <row r="996" spans="1:11">
      <c r="A996" s="8">
        <f t="shared" si="16"/>
        <v>994</v>
      </c>
      <c r="B996" s="8" t="s">
        <v>2201</v>
      </c>
      <c r="C996" s="27" t="s">
        <v>1861</v>
      </c>
      <c r="D996" s="8" t="s">
        <v>2437</v>
      </c>
      <c r="E996" s="56" t="s">
        <v>3491</v>
      </c>
      <c r="F996" s="8"/>
      <c r="G996" s="8"/>
      <c r="H996" s="8"/>
      <c r="I996" s="12"/>
      <c r="J996" s="16" t="s">
        <v>887</v>
      </c>
      <c r="K996" s="16" t="s">
        <v>705</v>
      </c>
    </row>
    <row r="997" spans="1:11">
      <c r="A997" s="8">
        <f t="shared" si="16"/>
        <v>995</v>
      </c>
      <c r="B997" s="8" t="s">
        <v>2201</v>
      </c>
      <c r="C997" s="27" t="s">
        <v>1861</v>
      </c>
      <c r="D997" s="8" t="s">
        <v>2438</v>
      </c>
      <c r="E997" s="56" t="s">
        <v>3601</v>
      </c>
      <c r="F997" s="8"/>
      <c r="G997" s="8"/>
      <c r="H997" s="8"/>
      <c r="I997" s="12"/>
      <c r="J997" s="16" t="s">
        <v>671</v>
      </c>
      <c r="K997" s="16" t="s">
        <v>705</v>
      </c>
    </row>
    <row r="998" spans="1:11">
      <c r="A998" s="8">
        <f t="shared" si="16"/>
        <v>996</v>
      </c>
      <c r="B998" s="8" t="s">
        <v>2201</v>
      </c>
      <c r="C998" s="27" t="s">
        <v>1861</v>
      </c>
      <c r="D998" s="8" t="s">
        <v>2439</v>
      </c>
      <c r="E998" s="56" t="s">
        <v>3492</v>
      </c>
      <c r="F998" s="8"/>
      <c r="G998" s="8"/>
      <c r="H998" s="8"/>
      <c r="I998" s="12"/>
      <c r="J998" s="16" t="s">
        <v>887</v>
      </c>
      <c r="K998" s="16" t="s">
        <v>705</v>
      </c>
    </row>
    <row r="999" spans="1:11">
      <c r="A999" s="8">
        <f t="shared" si="16"/>
        <v>997</v>
      </c>
      <c r="B999" s="8" t="s">
        <v>2201</v>
      </c>
      <c r="C999" s="27" t="s">
        <v>1861</v>
      </c>
      <c r="D999" s="8" t="s">
        <v>2440</v>
      </c>
      <c r="E999" s="56" t="s">
        <v>3493</v>
      </c>
      <c r="F999" s="8"/>
      <c r="G999" s="8"/>
      <c r="H999" s="8"/>
      <c r="I999" s="12"/>
      <c r="J999" s="16" t="s">
        <v>887</v>
      </c>
      <c r="K999" s="16" t="s">
        <v>705</v>
      </c>
    </row>
    <row r="1000" spans="1:11">
      <c r="A1000" s="8">
        <f t="shared" si="16"/>
        <v>998</v>
      </c>
      <c r="B1000" s="8" t="s">
        <v>2201</v>
      </c>
      <c r="C1000" s="27" t="s">
        <v>1861</v>
      </c>
      <c r="D1000" s="8" t="s">
        <v>2441</v>
      </c>
      <c r="E1000" s="56" t="s">
        <v>3494</v>
      </c>
      <c r="F1000" s="8"/>
      <c r="G1000" s="8"/>
      <c r="H1000" s="8"/>
      <c r="I1000" s="12"/>
      <c r="J1000" s="16" t="s">
        <v>887</v>
      </c>
      <c r="K1000" s="16" t="s">
        <v>705</v>
      </c>
    </row>
    <row r="1001" spans="1:11">
      <c r="A1001" s="8">
        <f t="shared" si="16"/>
        <v>999</v>
      </c>
      <c r="B1001" s="8" t="s">
        <v>2201</v>
      </c>
      <c r="C1001" s="27" t="s">
        <v>1861</v>
      </c>
      <c r="D1001" s="8" t="s">
        <v>2442</v>
      </c>
      <c r="E1001" s="56" t="s">
        <v>3495</v>
      </c>
      <c r="F1001" s="8"/>
      <c r="G1001" s="8"/>
      <c r="H1001" s="8"/>
      <c r="I1001" s="12"/>
      <c r="J1001" s="16" t="s">
        <v>887</v>
      </c>
      <c r="K1001" s="16" t="s">
        <v>705</v>
      </c>
    </row>
    <row r="1002" spans="1:11">
      <c r="A1002" s="8">
        <f t="shared" si="16"/>
        <v>1000</v>
      </c>
      <c r="B1002" s="8" t="s">
        <v>2201</v>
      </c>
      <c r="C1002" s="27" t="s">
        <v>1861</v>
      </c>
      <c r="D1002" s="8" t="s">
        <v>2443</v>
      </c>
      <c r="E1002" s="56" t="s">
        <v>3496</v>
      </c>
      <c r="F1002" s="8"/>
      <c r="G1002" s="8"/>
      <c r="H1002" s="8"/>
      <c r="I1002" s="12"/>
      <c r="J1002" s="16" t="s">
        <v>671</v>
      </c>
      <c r="K1002" s="16" t="s">
        <v>705</v>
      </c>
    </row>
    <row r="1003" spans="1:11">
      <c r="A1003" s="8">
        <f t="shared" si="16"/>
        <v>1001</v>
      </c>
      <c r="B1003" s="8" t="s">
        <v>2201</v>
      </c>
      <c r="C1003" s="27" t="s">
        <v>1861</v>
      </c>
      <c r="D1003" s="8" t="s">
        <v>2444</v>
      </c>
      <c r="E1003" s="56" t="s">
        <v>3497</v>
      </c>
      <c r="F1003" s="8"/>
      <c r="G1003" s="8"/>
      <c r="H1003" s="8"/>
      <c r="I1003" s="12"/>
      <c r="J1003" s="16" t="s">
        <v>671</v>
      </c>
      <c r="K1003" s="16" t="s">
        <v>705</v>
      </c>
    </row>
    <row r="1004" spans="1:11">
      <c r="A1004" s="8">
        <f t="shared" si="16"/>
        <v>1002</v>
      </c>
      <c r="B1004" s="8" t="s">
        <v>2201</v>
      </c>
      <c r="C1004" s="27" t="s">
        <v>1861</v>
      </c>
      <c r="D1004" s="8" t="s">
        <v>2445</v>
      </c>
      <c r="E1004" s="56" t="s">
        <v>3498</v>
      </c>
      <c r="F1004" s="8"/>
      <c r="G1004" s="8"/>
      <c r="H1004" s="8"/>
      <c r="I1004" s="12"/>
      <c r="J1004" s="16" t="s">
        <v>887</v>
      </c>
      <c r="K1004" s="16" t="s">
        <v>705</v>
      </c>
    </row>
    <row r="1005" spans="1:11">
      <c r="A1005" s="8">
        <f t="shared" si="16"/>
        <v>1003</v>
      </c>
      <c r="B1005" s="8" t="s">
        <v>2201</v>
      </c>
      <c r="C1005" s="27" t="s">
        <v>1861</v>
      </c>
      <c r="D1005" s="8" t="s">
        <v>2446</v>
      </c>
      <c r="E1005" s="56" t="s">
        <v>3602</v>
      </c>
      <c r="F1005" s="8"/>
      <c r="G1005" s="8"/>
      <c r="H1005" s="8"/>
      <c r="I1005" s="12"/>
      <c r="J1005" s="16" t="s">
        <v>671</v>
      </c>
      <c r="K1005" s="16" t="s">
        <v>705</v>
      </c>
    </row>
    <row r="1006" spans="1:11">
      <c r="A1006" s="8">
        <f t="shared" si="16"/>
        <v>1004</v>
      </c>
      <c r="B1006" s="8" t="s">
        <v>2201</v>
      </c>
      <c r="C1006" s="8" t="s">
        <v>1861</v>
      </c>
      <c r="D1006" s="8" t="s">
        <v>2447</v>
      </c>
      <c r="E1006" s="53" t="s">
        <v>3603</v>
      </c>
      <c r="F1006" s="8"/>
      <c r="G1006" s="8"/>
      <c r="H1006" s="8"/>
      <c r="I1006" s="12"/>
      <c r="J1006" s="16" t="s">
        <v>887</v>
      </c>
      <c r="K1006" s="16" t="s">
        <v>705</v>
      </c>
    </row>
    <row r="1007" spans="1:11">
      <c r="A1007" s="8">
        <f t="shared" si="16"/>
        <v>1005</v>
      </c>
      <c r="B1007" s="8" t="s">
        <v>2201</v>
      </c>
      <c r="C1007" s="8" t="s">
        <v>1861</v>
      </c>
      <c r="D1007" s="8" t="s">
        <v>2448</v>
      </c>
      <c r="E1007" s="53" t="s">
        <v>3604</v>
      </c>
      <c r="F1007" s="8"/>
      <c r="G1007" s="8"/>
      <c r="H1007" s="8"/>
      <c r="I1007" s="12"/>
      <c r="J1007" s="16" t="s">
        <v>887</v>
      </c>
      <c r="K1007" s="16" t="s">
        <v>705</v>
      </c>
    </row>
    <row r="1008" spans="1:11">
      <c r="A1008" s="8">
        <f t="shared" si="16"/>
        <v>1006</v>
      </c>
      <c r="B1008" s="8" t="s">
        <v>2201</v>
      </c>
      <c r="C1008" s="8" t="s">
        <v>2449</v>
      </c>
      <c r="D1008" s="16" t="s">
        <v>2450</v>
      </c>
      <c r="E1008" s="53" t="s">
        <v>3605</v>
      </c>
      <c r="F1008" s="8"/>
      <c r="G1008" s="8"/>
      <c r="H1008" s="8"/>
      <c r="I1008" s="12"/>
      <c r="J1008" s="16" t="s">
        <v>2230</v>
      </c>
      <c r="K1008" s="16"/>
    </row>
    <row r="1009" spans="1:11">
      <c r="A1009" s="8">
        <f t="shared" si="16"/>
        <v>1007</v>
      </c>
      <c r="B1009" s="8" t="s">
        <v>2201</v>
      </c>
      <c r="C1009" s="8" t="s">
        <v>2449</v>
      </c>
      <c r="D1009" s="16" t="s">
        <v>2451</v>
      </c>
      <c r="E1009" s="53" t="s">
        <v>3606</v>
      </c>
      <c r="F1009" s="8"/>
      <c r="G1009" s="8"/>
      <c r="H1009" s="8"/>
      <c r="I1009" s="12"/>
      <c r="J1009" s="16" t="s">
        <v>2230</v>
      </c>
      <c r="K1009" s="16"/>
    </row>
    <row r="1010" spans="1:11">
      <c r="A1010" s="8">
        <f t="shared" si="16"/>
        <v>1008</v>
      </c>
      <c r="B1010" s="8" t="s">
        <v>2201</v>
      </c>
      <c r="C1010" s="8" t="s">
        <v>2449</v>
      </c>
      <c r="D1010" s="16" t="s">
        <v>2452</v>
      </c>
      <c r="E1010" s="53" t="s">
        <v>3499</v>
      </c>
      <c r="F1010" s="8"/>
      <c r="G1010" s="8"/>
      <c r="H1010" s="8"/>
      <c r="I1010" s="12" t="s">
        <v>2262</v>
      </c>
      <c r="J1010" s="16" t="s">
        <v>2230</v>
      </c>
      <c r="K1010" s="16"/>
    </row>
    <row r="1011" spans="1:11">
      <c r="A1011" s="8">
        <f t="shared" si="16"/>
        <v>1009</v>
      </c>
      <c r="B1011" s="8" t="s">
        <v>2453</v>
      </c>
      <c r="C1011" s="27" t="s">
        <v>283</v>
      </c>
      <c r="D1011" s="8" t="s">
        <v>2454</v>
      </c>
      <c r="E1011" s="56" t="s">
        <v>3500</v>
      </c>
      <c r="F1011" s="8" t="s">
        <v>158</v>
      </c>
      <c r="G1011" s="8"/>
      <c r="H1011" s="8"/>
      <c r="I1011" s="12"/>
      <c r="J1011" s="16" t="s">
        <v>386</v>
      </c>
      <c r="K1011" s="16" t="s">
        <v>868</v>
      </c>
    </row>
    <row r="1012" spans="1:11">
      <c r="A1012" s="51">
        <f t="shared" si="16"/>
        <v>1010</v>
      </c>
      <c r="B1012" s="51" t="s">
        <v>2453</v>
      </c>
      <c r="C1012" s="51" t="s">
        <v>283</v>
      </c>
      <c r="D1012" s="51" t="s">
        <v>2455</v>
      </c>
      <c r="E1012" s="52" t="s">
        <v>3607</v>
      </c>
      <c r="F1012" s="8"/>
      <c r="G1012" s="8"/>
      <c r="H1012" s="8"/>
      <c r="I1012" s="12"/>
      <c r="J1012" s="16" t="s">
        <v>386</v>
      </c>
      <c r="K1012" s="16" t="s">
        <v>868</v>
      </c>
    </row>
    <row r="1013" spans="1:11">
      <c r="A1013" s="8">
        <f t="shared" si="16"/>
        <v>1011</v>
      </c>
      <c r="B1013" s="8" t="s">
        <v>2453</v>
      </c>
      <c r="C1013" s="27" t="s">
        <v>184</v>
      </c>
      <c r="D1013" s="8" t="s">
        <v>2456</v>
      </c>
      <c r="E1013" s="56" t="s">
        <v>3501</v>
      </c>
      <c r="F1013" s="8">
        <v>2</v>
      </c>
      <c r="G1013" s="8"/>
      <c r="H1013" s="8"/>
      <c r="I1013" s="12"/>
      <c r="J1013" s="16" t="s">
        <v>868</v>
      </c>
      <c r="K1013" s="16" t="s">
        <v>386</v>
      </c>
    </row>
    <row r="1014" spans="1:11">
      <c r="A1014" s="8">
        <f t="shared" si="16"/>
        <v>1012</v>
      </c>
      <c r="B1014" s="8" t="s">
        <v>2453</v>
      </c>
      <c r="C1014" s="27" t="s">
        <v>169</v>
      </c>
      <c r="D1014" s="8" t="s">
        <v>2457</v>
      </c>
      <c r="E1014" s="56" t="s">
        <v>3502</v>
      </c>
      <c r="F1014" s="8">
        <v>5</v>
      </c>
      <c r="G1014" s="9"/>
      <c r="H1014" s="8"/>
      <c r="I1014" s="12"/>
      <c r="J1014" s="16" t="s">
        <v>469</v>
      </c>
      <c r="K1014" s="16" t="s">
        <v>944</v>
      </c>
    </row>
    <row r="1015" spans="1:11">
      <c r="A1015" s="8">
        <f t="shared" si="16"/>
        <v>1013</v>
      </c>
      <c r="B1015" s="8" t="s">
        <v>2453</v>
      </c>
      <c r="C1015" s="27" t="s">
        <v>169</v>
      </c>
      <c r="D1015" s="8" t="s">
        <v>2458</v>
      </c>
      <c r="E1015" s="56" t="s">
        <v>3503</v>
      </c>
      <c r="F1015" s="8">
        <v>3</v>
      </c>
      <c r="G1015" s="8"/>
      <c r="H1015" s="8"/>
      <c r="I1015" s="12"/>
      <c r="J1015" s="16" t="s">
        <v>944</v>
      </c>
      <c r="K1015" s="16" t="s">
        <v>469</v>
      </c>
    </row>
    <row r="1016" spans="1:11">
      <c r="A1016" s="8">
        <f t="shared" si="16"/>
        <v>1014</v>
      </c>
      <c r="B1016" s="8" t="s">
        <v>2453</v>
      </c>
      <c r="C1016" s="27" t="s">
        <v>169</v>
      </c>
      <c r="D1016" s="8" t="s">
        <v>2459</v>
      </c>
      <c r="E1016" s="56" t="s">
        <v>3504</v>
      </c>
      <c r="F1016" s="8">
        <v>1</v>
      </c>
      <c r="G1016" s="8"/>
      <c r="H1016" s="8"/>
      <c r="I1016" s="12"/>
      <c r="J1016" s="16" t="s">
        <v>944</v>
      </c>
      <c r="K1016" s="16" t="s">
        <v>469</v>
      </c>
    </row>
    <row r="1017" spans="1:11">
      <c r="A1017" s="8">
        <f t="shared" si="16"/>
        <v>1015</v>
      </c>
      <c r="B1017" s="8" t="s">
        <v>2453</v>
      </c>
      <c r="C1017" s="27" t="s">
        <v>169</v>
      </c>
      <c r="D1017" s="8" t="s">
        <v>2460</v>
      </c>
      <c r="E1017" s="56" t="s">
        <v>3505</v>
      </c>
      <c r="F1017" s="8" t="s">
        <v>2461</v>
      </c>
      <c r="G1017" s="8"/>
      <c r="H1017" s="8"/>
      <c r="I1017" s="12"/>
      <c r="J1017" s="16" t="s">
        <v>944</v>
      </c>
      <c r="K1017" s="16" t="s">
        <v>469</v>
      </c>
    </row>
    <row r="1018" spans="1:11">
      <c r="A1018" s="8">
        <f t="shared" si="16"/>
        <v>1016</v>
      </c>
      <c r="B1018" s="8" t="s">
        <v>2453</v>
      </c>
      <c r="C1018" s="27" t="s">
        <v>169</v>
      </c>
      <c r="D1018" s="8" t="s">
        <v>2462</v>
      </c>
      <c r="E1018" s="56" t="s">
        <v>3506</v>
      </c>
      <c r="F1018" s="8">
        <v>3</v>
      </c>
      <c r="G1018" s="8"/>
      <c r="H1018" s="8"/>
      <c r="I1018" s="12"/>
      <c r="J1018" s="16" t="s">
        <v>944</v>
      </c>
      <c r="K1018" s="16" t="s">
        <v>469</v>
      </c>
    </row>
    <row r="1019" spans="1:11">
      <c r="A1019" s="8">
        <f t="shared" si="16"/>
        <v>1017</v>
      </c>
      <c r="B1019" s="8" t="s">
        <v>2453</v>
      </c>
      <c r="C1019" s="27" t="s">
        <v>169</v>
      </c>
      <c r="D1019" s="8" t="s">
        <v>2463</v>
      </c>
      <c r="E1019" s="56" t="s">
        <v>3507</v>
      </c>
      <c r="F1019" s="8">
        <v>7</v>
      </c>
      <c r="G1019" s="8"/>
      <c r="H1019" s="8"/>
      <c r="I1019" s="12"/>
      <c r="J1019" s="16" t="s">
        <v>944</v>
      </c>
      <c r="K1019" s="16" t="s">
        <v>469</v>
      </c>
    </row>
    <row r="1020" spans="1:11">
      <c r="A1020" s="8">
        <f t="shared" si="16"/>
        <v>1018</v>
      </c>
      <c r="B1020" s="8" t="s">
        <v>2453</v>
      </c>
      <c r="C1020" s="27" t="s">
        <v>169</v>
      </c>
      <c r="D1020" s="8" t="s">
        <v>2464</v>
      </c>
      <c r="E1020" s="56" t="s">
        <v>3508</v>
      </c>
      <c r="F1020" s="8">
        <v>2</v>
      </c>
      <c r="G1020" s="8"/>
      <c r="H1020" s="8"/>
      <c r="I1020" s="12"/>
      <c r="J1020" s="16" t="s">
        <v>469</v>
      </c>
      <c r="K1020" s="16" t="s">
        <v>944</v>
      </c>
    </row>
    <row r="1021" spans="1:11">
      <c r="A1021" s="8">
        <f t="shared" si="16"/>
        <v>1019</v>
      </c>
      <c r="B1021" s="8" t="s">
        <v>2453</v>
      </c>
      <c r="C1021" s="27" t="s">
        <v>169</v>
      </c>
      <c r="D1021" s="8" t="s">
        <v>2465</v>
      </c>
      <c r="E1021" s="56" t="s">
        <v>3509</v>
      </c>
      <c r="F1021" s="8">
        <v>3</v>
      </c>
      <c r="G1021" s="8"/>
      <c r="H1021" s="8"/>
      <c r="I1021" s="12"/>
      <c r="J1021" s="16" t="s">
        <v>469</v>
      </c>
      <c r="K1021" s="16" t="s">
        <v>944</v>
      </c>
    </row>
    <row r="1022" spans="1:11">
      <c r="A1022" s="8">
        <f t="shared" si="16"/>
        <v>1020</v>
      </c>
      <c r="B1022" s="8" t="s">
        <v>2453</v>
      </c>
      <c r="C1022" s="27" t="s">
        <v>184</v>
      </c>
      <c r="D1022" s="8" t="s">
        <v>2466</v>
      </c>
      <c r="E1022" s="56" t="s">
        <v>3510</v>
      </c>
      <c r="F1022" s="8">
        <v>2</v>
      </c>
      <c r="G1022" s="8"/>
      <c r="H1022" s="8"/>
      <c r="I1022" s="12"/>
      <c r="J1022" s="16" t="s">
        <v>868</v>
      </c>
      <c r="K1022" s="16" t="s">
        <v>386</v>
      </c>
    </row>
    <row r="1023" spans="1:11">
      <c r="A1023" s="8">
        <f t="shared" si="16"/>
        <v>1021</v>
      </c>
      <c r="B1023" s="8" t="s">
        <v>2453</v>
      </c>
      <c r="C1023" s="27" t="s">
        <v>184</v>
      </c>
      <c r="D1023" s="8" t="s">
        <v>2467</v>
      </c>
      <c r="E1023" s="56" t="s">
        <v>3511</v>
      </c>
      <c r="F1023" s="8">
        <v>1</v>
      </c>
      <c r="G1023" s="8"/>
      <c r="H1023" s="8"/>
      <c r="I1023" s="12"/>
      <c r="J1023" s="16" t="s">
        <v>868</v>
      </c>
      <c r="K1023" s="16" t="s">
        <v>386</v>
      </c>
    </row>
    <row r="1024" spans="1:11">
      <c r="A1024" s="8">
        <f t="shared" si="16"/>
        <v>1022</v>
      </c>
      <c r="B1024" s="8" t="s">
        <v>2453</v>
      </c>
      <c r="C1024" s="27" t="s">
        <v>169</v>
      </c>
      <c r="D1024" s="8" t="s">
        <v>2468</v>
      </c>
      <c r="E1024" s="110" t="s">
        <v>3512</v>
      </c>
      <c r="F1024" s="8">
        <v>2</v>
      </c>
      <c r="G1024" s="8"/>
      <c r="H1024" s="8"/>
      <c r="I1024" s="12"/>
      <c r="J1024" s="16" t="s">
        <v>469</v>
      </c>
      <c r="K1024" s="16" t="s">
        <v>944</v>
      </c>
    </row>
    <row r="1025" spans="1:11">
      <c r="A1025" s="8">
        <f t="shared" si="16"/>
        <v>1023</v>
      </c>
      <c r="B1025" s="8" t="s">
        <v>2453</v>
      </c>
      <c r="C1025" s="27" t="s">
        <v>169</v>
      </c>
      <c r="D1025" s="8" t="s">
        <v>2469</v>
      </c>
      <c r="E1025" s="56" t="s">
        <v>3036</v>
      </c>
      <c r="F1025" s="8">
        <v>3</v>
      </c>
      <c r="G1025" s="8"/>
      <c r="H1025" s="8"/>
      <c r="I1025" s="12"/>
      <c r="J1025" s="16" t="s">
        <v>469</v>
      </c>
      <c r="K1025" s="16" t="s">
        <v>944</v>
      </c>
    </row>
    <row r="1026" spans="1:11">
      <c r="A1026" s="8">
        <f t="shared" si="16"/>
        <v>1024</v>
      </c>
      <c r="B1026" s="8" t="s">
        <v>2453</v>
      </c>
      <c r="C1026" s="27" t="s">
        <v>184</v>
      </c>
      <c r="D1026" s="8" t="s">
        <v>2470</v>
      </c>
      <c r="E1026" s="56" t="s">
        <v>3513</v>
      </c>
      <c r="F1026" s="8">
        <v>3</v>
      </c>
      <c r="G1026" s="8"/>
      <c r="H1026" s="8"/>
      <c r="I1026" s="12"/>
      <c r="J1026" s="16" t="s">
        <v>868</v>
      </c>
      <c r="K1026" s="16" t="s">
        <v>386</v>
      </c>
    </row>
    <row r="1027" spans="1:11">
      <c r="A1027" s="8">
        <f t="shared" si="16"/>
        <v>1025</v>
      </c>
      <c r="B1027" s="8" t="s">
        <v>2453</v>
      </c>
      <c r="C1027" s="27" t="s">
        <v>184</v>
      </c>
      <c r="D1027" s="8" t="s">
        <v>2471</v>
      </c>
      <c r="E1027" s="56" t="s">
        <v>250</v>
      </c>
      <c r="F1027" s="8">
        <v>1</v>
      </c>
      <c r="G1027" s="8"/>
      <c r="H1027" s="8"/>
      <c r="I1027" s="12"/>
      <c r="J1027" s="16" t="s">
        <v>386</v>
      </c>
      <c r="K1027" s="16" t="s">
        <v>868</v>
      </c>
    </row>
    <row r="1028" spans="1:11">
      <c r="A1028" s="8">
        <f t="shared" si="16"/>
        <v>1026</v>
      </c>
      <c r="B1028" s="8" t="s">
        <v>2453</v>
      </c>
      <c r="C1028" s="27" t="s">
        <v>184</v>
      </c>
      <c r="D1028" s="8" t="s">
        <v>2472</v>
      </c>
      <c r="E1028" s="56" t="s">
        <v>3514</v>
      </c>
      <c r="F1028" s="8" t="s">
        <v>2461</v>
      </c>
      <c r="G1028" s="8"/>
      <c r="H1028" s="8"/>
      <c r="I1028" s="12"/>
      <c r="J1028" s="16" t="s">
        <v>868</v>
      </c>
      <c r="K1028" s="16" t="s">
        <v>386</v>
      </c>
    </row>
    <row r="1029" spans="1:11">
      <c r="A1029" s="8">
        <f t="shared" si="16"/>
        <v>1027</v>
      </c>
      <c r="B1029" s="8" t="s">
        <v>2453</v>
      </c>
      <c r="C1029" s="27" t="s">
        <v>155</v>
      </c>
      <c r="D1029" s="8" t="s">
        <v>2473</v>
      </c>
      <c r="E1029" s="56" t="s">
        <v>3515</v>
      </c>
      <c r="F1029" s="8" t="s">
        <v>2461</v>
      </c>
      <c r="G1029" s="8"/>
      <c r="H1029" s="8"/>
      <c r="I1029" s="12"/>
      <c r="J1029" s="16" t="s">
        <v>1588</v>
      </c>
      <c r="K1029" s="16" t="s">
        <v>944</v>
      </c>
    </row>
    <row r="1030" spans="1:11">
      <c r="A1030" s="8">
        <f t="shared" si="16"/>
        <v>1028</v>
      </c>
      <c r="B1030" s="8" t="s">
        <v>2453</v>
      </c>
      <c r="C1030" s="27" t="s">
        <v>155</v>
      </c>
      <c r="D1030" s="8" t="s">
        <v>2474</v>
      </c>
      <c r="E1030" s="56" t="s">
        <v>3516</v>
      </c>
      <c r="F1030" s="8">
        <v>6</v>
      </c>
      <c r="G1030" s="8"/>
      <c r="H1030" s="8"/>
      <c r="I1030" s="12"/>
      <c r="J1030" s="16" t="s">
        <v>1588</v>
      </c>
      <c r="K1030" s="16" t="s">
        <v>944</v>
      </c>
    </row>
    <row r="1031" spans="1:11">
      <c r="A1031" s="8">
        <f t="shared" si="16"/>
        <v>1029</v>
      </c>
      <c r="B1031" s="8" t="s">
        <v>2453</v>
      </c>
      <c r="C1031" s="27" t="s">
        <v>155</v>
      </c>
      <c r="D1031" s="8" t="s">
        <v>2475</v>
      </c>
      <c r="E1031" s="56" t="s">
        <v>3517</v>
      </c>
      <c r="F1031" s="8" t="s">
        <v>2461</v>
      </c>
      <c r="G1031" s="8"/>
      <c r="H1031" s="8"/>
      <c r="I1031" s="12"/>
      <c r="J1031" s="16" t="s">
        <v>470</v>
      </c>
      <c r="K1031" s="16" t="s">
        <v>2476</v>
      </c>
    </row>
    <row r="1032" spans="1:11">
      <c r="A1032" s="8">
        <f t="shared" si="16"/>
        <v>1030</v>
      </c>
      <c r="B1032" s="8" t="s">
        <v>2453</v>
      </c>
      <c r="C1032" s="27" t="s">
        <v>155</v>
      </c>
      <c r="D1032" s="8" t="s">
        <v>2477</v>
      </c>
      <c r="E1032" s="56" t="s">
        <v>3518</v>
      </c>
      <c r="F1032" s="8">
        <v>4</v>
      </c>
      <c r="G1032" s="8"/>
      <c r="H1032" s="8"/>
      <c r="I1032" s="12"/>
      <c r="J1032" s="16" t="s">
        <v>2476</v>
      </c>
      <c r="K1032" s="16" t="s">
        <v>470</v>
      </c>
    </row>
    <row r="1033" spans="1:11">
      <c r="A1033" s="51">
        <f t="shared" si="16"/>
        <v>1031</v>
      </c>
      <c r="B1033" s="51" t="s">
        <v>2453</v>
      </c>
      <c r="C1033" s="51" t="s">
        <v>155</v>
      </c>
      <c r="D1033" s="51" t="s">
        <v>2478</v>
      </c>
      <c r="E1033" s="52" t="s">
        <v>3608</v>
      </c>
      <c r="F1033" s="8"/>
      <c r="G1033" s="8"/>
      <c r="H1033" s="8"/>
      <c r="I1033" s="12"/>
      <c r="J1033" s="16" t="s">
        <v>470</v>
      </c>
      <c r="K1033" s="16" t="s">
        <v>2476</v>
      </c>
    </row>
    <row r="1034" spans="1:11">
      <c r="A1034" s="51">
        <f t="shared" si="16"/>
        <v>1032</v>
      </c>
      <c r="B1034" s="51" t="s">
        <v>2453</v>
      </c>
      <c r="C1034" s="51" t="s">
        <v>531</v>
      </c>
      <c r="D1034" s="51" t="s">
        <v>2479</v>
      </c>
      <c r="E1034" s="52" t="s">
        <v>3609</v>
      </c>
      <c r="F1034" s="8"/>
      <c r="G1034" s="8"/>
      <c r="H1034" s="8"/>
      <c r="I1034" s="12"/>
      <c r="J1034" s="16" t="s">
        <v>470</v>
      </c>
      <c r="K1034" s="16" t="s">
        <v>2476</v>
      </c>
    </row>
    <row r="1035" spans="1:11">
      <c r="A1035" s="51">
        <f t="shared" si="16"/>
        <v>1033</v>
      </c>
      <c r="B1035" s="51" t="s">
        <v>2453</v>
      </c>
      <c r="C1035" s="51" t="s">
        <v>531</v>
      </c>
      <c r="D1035" s="51" t="s">
        <v>2480</v>
      </c>
      <c r="E1035" s="52" t="s">
        <v>3610</v>
      </c>
      <c r="F1035" s="8"/>
      <c r="G1035" s="8"/>
      <c r="H1035" s="8"/>
      <c r="I1035" s="12"/>
      <c r="J1035" s="16" t="s">
        <v>470</v>
      </c>
      <c r="K1035" s="16" t="s">
        <v>2476</v>
      </c>
    </row>
    <row r="1036" spans="1:11">
      <c r="A1036" s="8">
        <f t="shared" si="16"/>
        <v>1034</v>
      </c>
      <c r="B1036" s="8" t="s">
        <v>2453</v>
      </c>
      <c r="C1036" s="27" t="s">
        <v>1861</v>
      </c>
      <c r="D1036" s="8" t="s">
        <v>2481</v>
      </c>
      <c r="E1036" s="56" t="s">
        <v>3519</v>
      </c>
      <c r="F1036" s="8"/>
      <c r="G1036" s="8"/>
      <c r="H1036" s="8"/>
      <c r="I1036" s="12"/>
      <c r="J1036" s="16" t="s">
        <v>1591</v>
      </c>
      <c r="K1036" s="16" t="s">
        <v>2312</v>
      </c>
    </row>
    <row r="1037" spans="1:11">
      <c r="A1037" s="8">
        <f t="shared" si="16"/>
        <v>1035</v>
      </c>
      <c r="B1037" s="8" t="s">
        <v>2453</v>
      </c>
      <c r="C1037" s="27" t="s">
        <v>1861</v>
      </c>
      <c r="D1037" s="8" t="s">
        <v>2482</v>
      </c>
      <c r="E1037" s="56" t="s">
        <v>3520</v>
      </c>
      <c r="F1037" s="8"/>
      <c r="G1037" s="8"/>
      <c r="H1037" s="8"/>
      <c r="I1037" s="12"/>
      <c r="J1037" s="16" t="s">
        <v>1591</v>
      </c>
      <c r="K1037" s="16" t="s">
        <v>2312</v>
      </c>
    </row>
    <row r="1038" spans="1:11">
      <c r="A1038" s="8">
        <f t="shared" si="16"/>
        <v>1036</v>
      </c>
      <c r="B1038" s="8" t="s">
        <v>2453</v>
      </c>
      <c r="C1038" s="8" t="s">
        <v>2449</v>
      </c>
      <c r="D1038" s="16" t="s">
        <v>2483</v>
      </c>
      <c r="E1038" s="53" t="s">
        <v>3521</v>
      </c>
      <c r="F1038" s="8" t="s">
        <v>158</v>
      </c>
      <c r="G1038" s="8"/>
      <c r="H1038" s="8"/>
      <c r="I1038" s="12"/>
      <c r="J1038" s="16" t="s">
        <v>1588</v>
      </c>
      <c r="K1038" s="16" t="s">
        <v>944</v>
      </c>
    </row>
  </sheetData>
  <autoFilter ref="A1:K1038" xr:uid="{00000000-0001-0000-0900-000000000000}"/>
  <phoneticPr fontId="4" type="noConversion"/>
  <dataValidations count="1">
    <dataValidation showDropDown="1" showInputMessage="1" showErrorMessage="1" sqref="C734:C780 C783:C862" xr:uid="{1CF12FE0-C242-4AC3-B68E-AC148F1CAABD}"/>
  </dataValidation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9"/>
  <sheetViews>
    <sheetView workbookViewId="0">
      <pane ySplit="1" topLeftCell="A30" activePane="bottomLeft" state="frozen"/>
      <selection pane="bottomLeft" activeCell="H49" sqref="H49"/>
    </sheetView>
  </sheetViews>
  <sheetFormatPr defaultRowHeight="16.5"/>
  <cols>
    <col min="1" max="1" width="18" customWidth="1"/>
    <col min="2" max="3" width="14" customWidth="1"/>
    <col min="4" max="4" width="32" customWidth="1"/>
    <col min="5" max="5" width="24" customWidth="1"/>
    <col min="6" max="8" width="14" customWidth="1"/>
  </cols>
  <sheetData>
    <row r="1" spans="1:8" ht="26.1" customHeight="1">
      <c r="A1" s="3" t="s">
        <v>98</v>
      </c>
      <c r="B1" s="3" t="s">
        <v>99</v>
      </c>
      <c r="C1" s="3" t="s">
        <v>26</v>
      </c>
      <c r="D1" s="3" t="s">
        <v>63</v>
      </c>
      <c r="E1" s="3" t="s">
        <v>100</v>
      </c>
      <c r="F1" s="3" t="s">
        <v>32</v>
      </c>
      <c r="G1" s="3" t="s">
        <v>101</v>
      </c>
      <c r="H1" s="3" t="s">
        <v>102</v>
      </c>
    </row>
    <row r="2" spans="1:8">
      <c r="A2" s="4" t="s">
        <v>353</v>
      </c>
      <c r="B2" s="4" t="s">
        <v>2484</v>
      </c>
      <c r="C2" s="4" t="s">
        <v>2485</v>
      </c>
      <c r="D2" s="4" t="s">
        <v>1762</v>
      </c>
      <c r="E2" s="4" t="s">
        <v>2486</v>
      </c>
      <c r="F2" s="4" t="s">
        <v>230</v>
      </c>
      <c r="G2" s="39">
        <v>45662</v>
      </c>
      <c r="H2" s="39">
        <v>45668</v>
      </c>
    </row>
    <row r="3" spans="1:8">
      <c r="A3" s="4" t="s">
        <v>366</v>
      </c>
      <c r="B3" s="4" t="s">
        <v>2487</v>
      </c>
      <c r="C3" s="4" t="s">
        <v>170</v>
      </c>
      <c r="D3" s="4" t="s">
        <v>2488</v>
      </c>
      <c r="E3" s="4" t="s">
        <v>2489</v>
      </c>
      <c r="F3" s="4" t="s">
        <v>230</v>
      </c>
      <c r="G3" s="39">
        <v>45663</v>
      </c>
      <c r="H3" s="39">
        <v>45666</v>
      </c>
    </row>
    <row r="4" spans="1:8">
      <c r="A4" s="4" t="s">
        <v>122</v>
      </c>
      <c r="B4" s="4" t="s">
        <v>2484</v>
      </c>
      <c r="C4" s="4" t="s">
        <v>2490</v>
      </c>
      <c r="D4" s="4" t="s">
        <v>2491</v>
      </c>
      <c r="E4" s="4" t="s">
        <v>2492</v>
      </c>
      <c r="F4" s="4" t="s">
        <v>2493</v>
      </c>
      <c r="G4" s="39">
        <v>45676</v>
      </c>
      <c r="H4" s="39">
        <v>45680</v>
      </c>
    </row>
    <row r="5" spans="1:8">
      <c r="A5" s="4" t="s">
        <v>335</v>
      </c>
      <c r="B5" s="4" t="s">
        <v>2487</v>
      </c>
      <c r="C5" s="4" t="s">
        <v>170</v>
      </c>
      <c r="D5" s="4" t="s">
        <v>2494</v>
      </c>
      <c r="E5" s="4" t="s">
        <v>2495</v>
      </c>
      <c r="F5" s="4" t="s">
        <v>3611</v>
      </c>
      <c r="G5" s="39">
        <v>45677</v>
      </c>
      <c r="H5" s="39">
        <v>45678</v>
      </c>
    </row>
    <row r="6" spans="1:8">
      <c r="A6" s="4" t="s">
        <v>136</v>
      </c>
      <c r="B6" s="4" t="s">
        <v>2487</v>
      </c>
      <c r="C6" s="4" t="s">
        <v>2496</v>
      </c>
      <c r="D6" s="4" t="s">
        <v>779</v>
      </c>
      <c r="E6" s="4" t="s">
        <v>2497</v>
      </c>
      <c r="F6" s="4" t="s">
        <v>3611</v>
      </c>
      <c r="G6" s="39">
        <v>45677</v>
      </c>
      <c r="H6" s="39">
        <v>45681</v>
      </c>
    </row>
    <row r="7" spans="1:8">
      <c r="A7" s="4" t="s">
        <v>341</v>
      </c>
      <c r="B7" s="4" t="s">
        <v>2487</v>
      </c>
      <c r="C7" s="4" t="s">
        <v>170</v>
      </c>
      <c r="D7" s="4" t="s">
        <v>2498</v>
      </c>
      <c r="E7" s="4" t="s">
        <v>2499</v>
      </c>
      <c r="F7" s="4" t="s">
        <v>3611</v>
      </c>
      <c r="G7" s="39">
        <v>45678</v>
      </c>
      <c r="H7" s="39">
        <v>45681</v>
      </c>
    </row>
    <row r="8" spans="1:8">
      <c r="A8" s="4" t="s">
        <v>335</v>
      </c>
      <c r="B8" s="4" t="s">
        <v>2487</v>
      </c>
      <c r="C8" s="4" t="s">
        <v>170</v>
      </c>
      <c r="D8" s="4" t="s">
        <v>2500</v>
      </c>
      <c r="E8" s="4" t="s">
        <v>2501</v>
      </c>
      <c r="F8" s="4" t="s">
        <v>3611</v>
      </c>
      <c r="G8" s="39">
        <v>45679</v>
      </c>
      <c r="H8" s="39">
        <v>45680</v>
      </c>
    </row>
    <row r="9" spans="1:8">
      <c r="A9" s="4" t="s">
        <v>140</v>
      </c>
      <c r="B9" s="4" t="s">
        <v>2487</v>
      </c>
      <c r="C9" s="4" t="s">
        <v>170</v>
      </c>
      <c r="D9" s="4" t="s">
        <v>2502</v>
      </c>
      <c r="E9" s="4" t="s">
        <v>2503</v>
      </c>
      <c r="F9" s="4" t="s">
        <v>2504</v>
      </c>
      <c r="G9" s="39">
        <v>45680</v>
      </c>
      <c r="H9" s="39">
        <v>45682</v>
      </c>
    </row>
    <row r="10" spans="1:8">
      <c r="A10" s="4" t="s">
        <v>140</v>
      </c>
      <c r="B10" s="4" t="s">
        <v>2487</v>
      </c>
      <c r="C10" s="4" t="s">
        <v>170</v>
      </c>
      <c r="D10" s="4" t="s">
        <v>2505</v>
      </c>
      <c r="E10" s="4" t="s">
        <v>2506</v>
      </c>
      <c r="F10" s="4" t="s">
        <v>3611</v>
      </c>
      <c r="G10" s="39">
        <v>45691</v>
      </c>
      <c r="H10" s="39">
        <v>45695</v>
      </c>
    </row>
    <row r="11" spans="1:8">
      <c r="A11" s="4" t="s">
        <v>133</v>
      </c>
      <c r="B11" s="4" t="s">
        <v>2487</v>
      </c>
      <c r="C11" s="4" t="s">
        <v>170</v>
      </c>
      <c r="D11" s="4" t="s">
        <v>2505</v>
      </c>
      <c r="E11" s="4" t="s">
        <v>2506</v>
      </c>
      <c r="F11" s="4" t="s">
        <v>3611</v>
      </c>
      <c r="G11" s="39">
        <v>45691</v>
      </c>
      <c r="H11" s="39">
        <v>45695</v>
      </c>
    </row>
    <row r="12" spans="1:8">
      <c r="A12" s="4" t="s">
        <v>140</v>
      </c>
      <c r="B12" s="4" t="s">
        <v>2487</v>
      </c>
      <c r="C12" s="4" t="s">
        <v>170</v>
      </c>
      <c r="D12" s="4" t="s">
        <v>2507</v>
      </c>
      <c r="E12" s="4" t="s">
        <v>2506</v>
      </c>
      <c r="F12" s="4" t="s">
        <v>3611</v>
      </c>
      <c r="G12" s="39">
        <v>45691</v>
      </c>
      <c r="H12" s="39">
        <v>45695</v>
      </c>
    </row>
    <row r="13" spans="1:8">
      <c r="A13" s="4" t="s">
        <v>133</v>
      </c>
      <c r="B13" s="4" t="s">
        <v>2487</v>
      </c>
      <c r="C13" s="4" t="s">
        <v>170</v>
      </c>
      <c r="D13" s="4" t="s">
        <v>2507</v>
      </c>
      <c r="E13" s="4" t="s">
        <v>2506</v>
      </c>
      <c r="F13" s="4" t="s">
        <v>3611</v>
      </c>
      <c r="G13" s="39">
        <v>45691</v>
      </c>
      <c r="H13" s="39">
        <v>45695</v>
      </c>
    </row>
    <row r="14" spans="1:8">
      <c r="A14" s="4" t="s">
        <v>347</v>
      </c>
      <c r="B14" s="4" t="s">
        <v>2508</v>
      </c>
      <c r="C14" s="4" t="s">
        <v>2490</v>
      </c>
      <c r="D14" s="4" t="s">
        <v>2509</v>
      </c>
      <c r="E14" s="4" t="s">
        <v>2510</v>
      </c>
      <c r="F14" s="4" t="s">
        <v>2511</v>
      </c>
      <c r="G14" s="39">
        <v>45694</v>
      </c>
      <c r="H14" s="39">
        <v>45694</v>
      </c>
    </row>
    <row r="15" spans="1:8">
      <c r="A15" s="4" t="s">
        <v>122</v>
      </c>
      <c r="B15" s="4" t="s">
        <v>2508</v>
      </c>
      <c r="C15" s="4" t="s">
        <v>2490</v>
      </c>
      <c r="D15" s="4" t="s">
        <v>152</v>
      </c>
      <c r="E15" s="4" t="s">
        <v>2512</v>
      </c>
      <c r="F15" s="4" t="s">
        <v>2511</v>
      </c>
      <c r="G15" s="39">
        <v>45700</v>
      </c>
      <c r="H15" s="39">
        <v>45700</v>
      </c>
    </row>
    <row r="16" spans="1:8">
      <c r="A16" s="4" t="s">
        <v>126</v>
      </c>
      <c r="B16" s="4" t="s">
        <v>2484</v>
      </c>
      <c r="C16" s="4" t="s">
        <v>2490</v>
      </c>
      <c r="D16" s="4" t="s">
        <v>2513</v>
      </c>
      <c r="E16" s="4" t="s">
        <v>2514</v>
      </c>
      <c r="F16" s="4" t="s">
        <v>2511</v>
      </c>
      <c r="G16" s="39">
        <v>45705</v>
      </c>
      <c r="H16" s="39">
        <v>45707</v>
      </c>
    </row>
    <row r="17" spans="1:8">
      <c r="A17" s="4" t="s">
        <v>347</v>
      </c>
      <c r="B17" s="4" t="s">
        <v>2515</v>
      </c>
      <c r="C17" s="4" t="s">
        <v>2490</v>
      </c>
      <c r="D17" s="4" t="s">
        <v>2516</v>
      </c>
      <c r="E17" s="4" t="s">
        <v>2517</v>
      </c>
      <c r="F17" s="4" t="s">
        <v>2511</v>
      </c>
      <c r="G17" s="39">
        <v>45705</v>
      </c>
      <c r="H17" s="39">
        <v>45705</v>
      </c>
    </row>
    <row r="18" spans="1:8">
      <c r="A18" s="4" t="s">
        <v>122</v>
      </c>
      <c r="B18" s="4" t="s">
        <v>2484</v>
      </c>
      <c r="C18" s="4" t="s">
        <v>2490</v>
      </c>
      <c r="D18" s="4" t="s">
        <v>2518</v>
      </c>
      <c r="E18" s="4" t="s">
        <v>2519</v>
      </c>
      <c r="F18" s="4" t="s">
        <v>2511</v>
      </c>
      <c r="G18" s="39">
        <v>45705</v>
      </c>
      <c r="H18" s="39">
        <v>45706</v>
      </c>
    </row>
    <row r="19" spans="1:8">
      <c r="A19" s="4" t="s">
        <v>144</v>
      </c>
      <c r="B19" s="4" t="s">
        <v>2487</v>
      </c>
      <c r="C19" s="4" t="s">
        <v>2490</v>
      </c>
      <c r="D19" s="4" t="s">
        <v>2520</v>
      </c>
      <c r="E19" s="4" t="s">
        <v>2521</v>
      </c>
      <c r="F19" s="4" t="s">
        <v>2511</v>
      </c>
      <c r="G19" s="39">
        <v>45707</v>
      </c>
      <c r="H19" s="39">
        <v>45708</v>
      </c>
    </row>
    <row r="20" spans="1:8">
      <c r="A20" s="4" t="s">
        <v>366</v>
      </c>
      <c r="B20" s="4" t="s">
        <v>2515</v>
      </c>
      <c r="C20" s="4" t="s">
        <v>170</v>
      </c>
      <c r="D20" s="4" t="s">
        <v>663</v>
      </c>
      <c r="E20" s="4" t="s">
        <v>2522</v>
      </c>
      <c r="F20" s="4" t="s">
        <v>2511</v>
      </c>
      <c r="G20" s="39">
        <v>45720</v>
      </c>
      <c r="H20" s="39">
        <v>45721</v>
      </c>
    </row>
    <row r="21" spans="1:8">
      <c r="A21" s="4" t="s">
        <v>133</v>
      </c>
      <c r="B21" s="4" t="s">
        <v>2515</v>
      </c>
      <c r="C21" s="4" t="s">
        <v>170</v>
      </c>
      <c r="D21" s="4" t="s">
        <v>663</v>
      </c>
      <c r="E21" s="4" t="s">
        <v>2522</v>
      </c>
      <c r="F21" s="4" t="s">
        <v>2511</v>
      </c>
      <c r="G21" s="39">
        <v>45720</v>
      </c>
      <c r="H21" s="39">
        <v>45721</v>
      </c>
    </row>
    <row r="22" spans="1:8">
      <c r="A22" s="4" t="s">
        <v>366</v>
      </c>
      <c r="B22" s="4" t="s">
        <v>2508</v>
      </c>
      <c r="C22" s="4" t="s">
        <v>2523</v>
      </c>
      <c r="D22" s="4" t="s">
        <v>1595</v>
      </c>
      <c r="E22" s="4" t="s">
        <v>2524</v>
      </c>
      <c r="F22" s="4" t="s">
        <v>204</v>
      </c>
      <c r="G22" s="39">
        <v>45725</v>
      </c>
      <c r="H22" s="39">
        <v>45732</v>
      </c>
    </row>
    <row r="23" spans="1:8">
      <c r="A23" s="4" t="s">
        <v>366</v>
      </c>
      <c r="B23" s="4" t="s">
        <v>2508</v>
      </c>
      <c r="C23" s="4" t="s">
        <v>156</v>
      </c>
      <c r="D23" s="4" t="s">
        <v>1595</v>
      </c>
      <c r="E23" s="4" t="s">
        <v>2524</v>
      </c>
      <c r="F23" s="4" t="s">
        <v>204</v>
      </c>
      <c r="G23" s="39">
        <v>45725</v>
      </c>
      <c r="H23" s="39">
        <v>45732</v>
      </c>
    </row>
    <row r="24" spans="1:8">
      <c r="A24" s="4" t="s">
        <v>126</v>
      </c>
      <c r="B24" s="4" t="s">
        <v>2484</v>
      </c>
      <c r="C24" s="4" t="s">
        <v>170</v>
      </c>
      <c r="D24" s="4" t="s">
        <v>2525</v>
      </c>
      <c r="E24" s="4" t="s">
        <v>2526</v>
      </c>
      <c r="F24" s="4" t="s">
        <v>230</v>
      </c>
      <c r="G24" s="39">
        <v>45733</v>
      </c>
      <c r="H24" s="39">
        <v>45736</v>
      </c>
    </row>
    <row r="25" spans="1:8">
      <c r="A25" s="4" t="s">
        <v>140</v>
      </c>
      <c r="B25" s="4" t="s">
        <v>2487</v>
      </c>
      <c r="C25" s="4" t="s">
        <v>170</v>
      </c>
      <c r="D25" s="4" t="s">
        <v>435</v>
      </c>
      <c r="E25" s="4" t="s">
        <v>2527</v>
      </c>
      <c r="F25" s="4" t="s">
        <v>2528</v>
      </c>
      <c r="G25" s="39">
        <v>45740</v>
      </c>
      <c r="H25" s="39">
        <v>45742</v>
      </c>
    </row>
    <row r="26" spans="1:8">
      <c r="A26" s="4" t="s">
        <v>133</v>
      </c>
      <c r="B26" s="4" t="s">
        <v>2487</v>
      </c>
      <c r="C26" s="4" t="s">
        <v>170</v>
      </c>
      <c r="D26" s="4" t="s">
        <v>435</v>
      </c>
      <c r="E26" s="4" t="s">
        <v>2527</v>
      </c>
      <c r="F26" s="4" t="s">
        <v>2528</v>
      </c>
      <c r="G26" s="39">
        <v>45740</v>
      </c>
      <c r="H26" s="39">
        <v>45742</v>
      </c>
    </row>
    <row r="27" spans="1:8">
      <c r="A27" s="4" t="s">
        <v>140</v>
      </c>
      <c r="B27" s="4" t="s">
        <v>2508</v>
      </c>
      <c r="C27" s="4" t="s">
        <v>170</v>
      </c>
      <c r="D27" s="4" t="s">
        <v>2529</v>
      </c>
      <c r="E27" s="4" t="s">
        <v>2489</v>
      </c>
      <c r="F27" s="4" t="s">
        <v>230</v>
      </c>
      <c r="G27" s="39">
        <v>45743</v>
      </c>
      <c r="H27" s="39">
        <v>45744</v>
      </c>
    </row>
    <row r="28" spans="1:8">
      <c r="A28" s="4" t="s">
        <v>133</v>
      </c>
      <c r="B28" s="4" t="s">
        <v>2508</v>
      </c>
      <c r="C28" s="4" t="s">
        <v>170</v>
      </c>
      <c r="D28" s="4" t="s">
        <v>2529</v>
      </c>
      <c r="E28" s="4" t="s">
        <v>2489</v>
      </c>
      <c r="F28" s="4" t="s">
        <v>230</v>
      </c>
      <c r="G28" s="39">
        <v>45743</v>
      </c>
      <c r="H28" s="39">
        <v>45744</v>
      </c>
    </row>
    <row r="29" spans="1:8">
      <c r="A29" s="4" t="s">
        <v>122</v>
      </c>
      <c r="B29" s="4" t="s">
        <v>2530</v>
      </c>
      <c r="C29" s="4" t="s">
        <v>2490</v>
      </c>
      <c r="D29" s="4" t="s">
        <v>696</v>
      </c>
      <c r="E29" s="4" t="s">
        <v>2531</v>
      </c>
      <c r="F29" s="4" t="s">
        <v>2511</v>
      </c>
      <c r="G29" s="39">
        <v>45750</v>
      </c>
      <c r="H29" s="39">
        <v>45751</v>
      </c>
    </row>
    <row r="30" spans="1:8">
      <c r="A30" s="4" t="s">
        <v>140</v>
      </c>
      <c r="B30" s="4" t="s">
        <v>2487</v>
      </c>
      <c r="C30" s="4" t="s">
        <v>170</v>
      </c>
      <c r="D30" s="4" t="s">
        <v>435</v>
      </c>
      <c r="E30" s="4" t="s">
        <v>2532</v>
      </c>
      <c r="F30" s="4" t="s">
        <v>3622</v>
      </c>
      <c r="G30" s="39">
        <v>45754</v>
      </c>
      <c r="H30" s="39">
        <v>45757</v>
      </c>
    </row>
    <row r="31" spans="1:8">
      <c r="A31" s="4" t="s">
        <v>133</v>
      </c>
      <c r="B31" s="4" t="s">
        <v>2487</v>
      </c>
      <c r="C31" s="4" t="s">
        <v>170</v>
      </c>
      <c r="D31" s="4" t="s">
        <v>435</v>
      </c>
      <c r="E31" s="4" t="s">
        <v>2532</v>
      </c>
      <c r="F31" s="4" t="s">
        <v>3622</v>
      </c>
      <c r="G31" s="39">
        <v>45754</v>
      </c>
      <c r="H31" s="39">
        <v>45757</v>
      </c>
    </row>
    <row r="32" spans="1:8">
      <c r="A32" s="4" t="s">
        <v>341</v>
      </c>
      <c r="B32" s="4" t="s">
        <v>2530</v>
      </c>
      <c r="C32" s="4" t="s">
        <v>170</v>
      </c>
      <c r="D32" s="4" t="s">
        <v>2533</v>
      </c>
      <c r="E32" s="4" t="s">
        <v>2534</v>
      </c>
      <c r="F32" s="4" t="s">
        <v>2528</v>
      </c>
      <c r="G32" s="39">
        <v>45760</v>
      </c>
      <c r="H32" s="39">
        <v>45763</v>
      </c>
    </row>
    <row r="33" spans="1:8">
      <c r="A33" s="4" t="s">
        <v>126</v>
      </c>
      <c r="B33" s="4" t="s">
        <v>2484</v>
      </c>
      <c r="C33" s="4" t="s">
        <v>2490</v>
      </c>
      <c r="D33" s="4" t="s">
        <v>2387</v>
      </c>
      <c r="E33" s="4" t="s">
        <v>2514</v>
      </c>
      <c r="F33" s="4" t="s">
        <v>2511</v>
      </c>
      <c r="G33" s="39">
        <v>45760</v>
      </c>
      <c r="H33" s="39">
        <v>45765</v>
      </c>
    </row>
    <row r="34" spans="1:8">
      <c r="A34" s="4" t="s">
        <v>122</v>
      </c>
      <c r="B34" s="4" t="s">
        <v>2530</v>
      </c>
      <c r="C34" s="4" t="s">
        <v>2490</v>
      </c>
      <c r="D34" s="4" t="s">
        <v>2535</v>
      </c>
      <c r="E34" s="4" t="s">
        <v>2536</v>
      </c>
      <c r="F34" s="4" t="s">
        <v>2511</v>
      </c>
      <c r="G34" s="39">
        <v>45768</v>
      </c>
      <c r="H34" s="39">
        <v>45768</v>
      </c>
    </row>
    <row r="35" spans="1:8">
      <c r="A35" s="4" t="s">
        <v>133</v>
      </c>
      <c r="B35" s="4" t="s">
        <v>2515</v>
      </c>
      <c r="C35" s="4" t="s">
        <v>170</v>
      </c>
      <c r="D35" s="4" t="s">
        <v>2537</v>
      </c>
      <c r="E35" s="4" t="s">
        <v>2538</v>
      </c>
      <c r="F35" s="4" t="s">
        <v>230</v>
      </c>
      <c r="G35" s="39">
        <v>45768</v>
      </c>
      <c r="H35" s="39">
        <v>45771</v>
      </c>
    </row>
    <row r="36" spans="1:8">
      <c r="A36" s="4" t="s">
        <v>114</v>
      </c>
      <c r="B36" s="4" t="s">
        <v>2539</v>
      </c>
      <c r="C36" s="4" t="s">
        <v>110</v>
      </c>
      <c r="D36" s="4" t="s">
        <v>2540</v>
      </c>
      <c r="E36" s="4" t="s">
        <v>2541</v>
      </c>
      <c r="F36" s="4" t="s">
        <v>2511</v>
      </c>
      <c r="G36" s="39">
        <v>45771</v>
      </c>
      <c r="H36" s="39">
        <v>45772</v>
      </c>
    </row>
    <row r="37" spans="1:8">
      <c r="A37" s="4" t="s">
        <v>122</v>
      </c>
      <c r="B37" s="4" t="s">
        <v>2484</v>
      </c>
      <c r="C37" s="4" t="s">
        <v>2490</v>
      </c>
      <c r="D37" s="4" t="s">
        <v>2542</v>
      </c>
      <c r="E37" s="4" t="s">
        <v>2543</v>
      </c>
      <c r="F37" s="4" t="s">
        <v>2511</v>
      </c>
      <c r="G37" s="39">
        <v>45775</v>
      </c>
      <c r="H37" s="39">
        <v>45776</v>
      </c>
    </row>
    <row r="38" spans="1:8">
      <c r="A38" s="4" t="s">
        <v>347</v>
      </c>
      <c r="B38" s="4" t="s">
        <v>2487</v>
      </c>
      <c r="C38" s="4" t="s">
        <v>2490</v>
      </c>
      <c r="D38" s="4" t="s">
        <v>2520</v>
      </c>
      <c r="E38" s="4" t="s">
        <v>2544</v>
      </c>
      <c r="F38" s="4" t="s">
        <v>2511</v>
      </c>
      <c r="G38" s="39">
        <v>45785</v>
      </c>
      <c r="H38" s="39">
        <v>45786</v>
      </c>
    </row>
    <row r="39" spans="1:8">
      <c r="A39" s="4" t="s">
        <v>347</v>
      </c>
      <c r="B39" s="4" t="s">
        <v>2508</v>
      </c>
      <c r="C39" s="4" t="s">
        <v>2490</v>
      </c>
      <c r="D39" s="4" t="s">
        <v>1207</v>
      </c>
      <c r="E39" s="4" t="s">
        <v>286</v>
      </c>
      <c r="F39" s="4" t="s">
        <v>2511</v>
      </c>
      <c r="G39" s="39">
        <v>45806</v>
      </c>
      <c r="H39" s="39">
        <v>45806</v>
      </c>
    </row>
    <row r="40" spans="1:8">
      <c r="A40" s="4" t="s">
        <v>133</v>
      </c>
      <c r="B40" s="4" t="s">
        <v>2515</v>
      </c>
      <c r="C40" s="4" t="s">
        <v>170</v>
      </c>
      <c r="D40" s="4" t="s">
        <v>2545</v>
      </c>
      <c r="E40" s="4" t="s">
        <v>2546</v>
      </c>
      <c r="F40" s="4" t="s">
        <v>3611</v>
      </c>
      <c r="G40" s="39">
        <v>45790</v>
      </c>
      <c r="H40" s="39">
        <v>45799</v>
      </c>
    </row>
    <row r="41" spans="1:8">
      <c r="A41" s="4" t="s">
        <v>140</v>
      </c>
      <c r="B41" s="4" t="s">
        <v>2487</v>
      </c>
      <c r="C41" s="4" t="s">
        <v>170</v>
      </c>
      <c r="D41" s="4" t="s">
        <v>2547</v>
      </c>
      <c r="E41" s="4" t="s">
        <v>2548</v>
      </c>
      <c r="F41" s="4" t="s">
        <v>230</v>
      </c>
      <c r="G41" s="39">
        <v>45797</v>
      </c>
      <c r="H41" s="39">
        <v>45799</v>
      </c>
    </row>
    <row r="42" spans="1:8">
      <c r="A42" s="4" t="s">
        <v>341</v>
      </c>
      <c r="B42" s="4" t="s">
        <v>2484</v>
      </c>
      <c r="C42" s="4" t="s">
        <v>170</v>
      </c>
      <c r="D42" s="4" t="s">
        <v>2549</v>
      </c>
      <c r="E42" s="4" t="s">
        <v>2550</v>
      </c>
      <c r="F42" s="4" t="s">
        <v>2551</v>
      </c>
      <c r="G42" s="39">
        <v>45823</v>
      </c>
      <c r="H42" s="39">
        <v>45825</v>
      </c>
    </row>
    <row r="43" spans="1:8">
      <c r="A43" s="4" t="s">
        <v>122</v>
      </c>
      <c r="B43" s="4" t="s">
        <v>2487</v>
      </c>
      <c r="C43" s="4" t="s">
        <v>2490</v>
      </c>
      <c r="D43" s="4" t="s">
        <v>2535</v>
      </c>
      <c r="E43" s="4" t="s">
        <v>2536</v>
      </c>
      <c r="F43" s="4" t="s">
        <v>2511</v>
      </c>
      <c r="G43" s="39">
        <v>45818</v>
      </c>
      <c r="H43" s="39">
        <v>45818</v>
      </c>
    </row>
    <row r="44" spans="1:8">
      <c r="A44" s="4" t="s">
        <v>341</v>
      </c>
      <c r="B44" s="4" t="s">
        <v>2530</v>
      </c>
      <c r="C44" s="4" t="s">
        <v>170</v>
      </c>
      <c r="D44" s="4" t="s">
        <v>2552</v>
      </c>
      <c r="E44" s="4" t="s">
        <v>2553</v>
      </c>
      <c r="F44" s="4" t="s">
        <v>2511</v>
      </c>
      <c r="G44" s="39">
        <v>45853</v>
      </c>
      <c r="H44" s="39">
        <v>45853</v>
      </c>
    </row>
    <row r="45" spans="1:8">
      <c r="A45" s="4" t="s">
        <v>341</v>
      </c>
      <c r="B45" s="4" t="s">
        <v>2554</v>
      </c>
      <c r="C45" s="4" t="s">
        <v>170</v>
      </c>
      <c r="D45" s="4" t="s">
        <v>2552</v>
      </c>
      <c r="E45" s="4" t="s">
        <v>2555</v>
      </c>
      <c r="F45" s="4" t="s">
        <v>2511</v>
      </c>
      <c r="G45" s="39">
        <v>45867</v>
      </c>
      <c r="H45" s="39">
        <v>45867</v>
      </c>
    </row>
    <row r="46" spans="1:8">
      <c r="A46" s="4" t="s">
        <v>330</v>
      </c>
      <c r="B46" s="4" t="s">
        <v>2515</v>
      </c>
      <c r="C46" s="4" t="s">
        <v>170</v>
      </c>
      <c r="D46" s="4" t="s">
        <v>2556</v>
      </c>
      <c r="E46" s="4" t="s">
        <v>2557</v>
      </c>
      <c r="F46" s="4" t="s">
        <v>2511</v>
      </c>
      <c r="G46" s="39">
        <v>45869</v>
      </c>
      <c r="H46" s="39">
        <v>45870</v>
      </c>
    </row>
    <row r="47" spans="1:8">
      <c r="A47" s="4" t="s">
        <v>347</v>
      </c>
      <c r="B47" s="4" t="s">
        <v>2484</v>
      </c>
      <c r="C47" s="4" t="s">
        <v>2490</v>
      </c>
      <c r="D47" s="4" t="s">
        <v>2558</v>
      </c>
      <c r="E47" s="4" t="s">
        <v>2559</v>
      </c>
      <c r="F47" s="4" t="s">
        <v>2511</v>
      </c>
      <c r="G47" s="39">
        <v>45853</v>
      </c>
      <c r="H47" s="39">
        <v>45853</v>
      </c>
    </row>
    <row r="48" spans="1:8">
      <c r="A48" s="4" t="s">
        <v>347</v>
      </c>
      <c r="B48" s="4" t="s">
        <v>2484</v>
      </c>
      <c r="C48" s="4" t="s">
        <v>2490</v>
      </c>
      <c r="D48" s="4" t="s">
        <v>2516</v>
      </c>
      <c r="E48" s="4" t="s">
        <v>2560</v>
      </c>
      <c r="F48" s="4" t="s">
        <v>2511</v>
      </c>
      <c r="G48" s="39">
        <v>45863</v>
      </c>
      <c r="H48" s="39">
        <v>45866</v>
      </c>
    </row>
    <row r="49" spans="1:8">
      <c r="A49" s="4" t="s">
        <v>126</v>
      </c>
      <c r="B49" s="4" t="s">
        <v>2530</v>
      </c>
      <c r="C49" s="4" t="s">
        <v>170</v>
      </c>
      <c r="D49" s="4" t="s">
        <v>2561</v>
      </c>
      <c r="E49" s="4" t="s">
        <v>2562</v>
      </c>
      <c r="F49" s="4" t="s">
        <v>3611</v>
      </c>
      <c r="G49" s="39">
        <v>45877</v>
      </c>
      <c r="H49" s="39">
        <v>45881</v>
      </c>
    </row>
    <row r="50" spans="1:8">
      <c r="A50" s="4" t="s">
        <v>126</v>
      </c>
      <c r="B50" s="4" t="s">
        <v>2530</v>
      </c>
      <c r="C50" s="4" t="s">
        <v>170</v>
      </c>
      <c r="D50" s="4" t="s">
        <v>2563</v>
      </c>
      <c r="E50" s="4" t="s">
        <v>2564</v>
      </c>
      <c r="F50" s="4" t="s">
        <v>3611</v>
      </c>
      <c r="G50" s="39">
        <v>45882</v>
      </c>
      <c r="H50" s="39">
        <v>45885</v>
      </c>
    </row>
    <row r="51" spans="1:8">
      <c r="A51" s="4" t="s">
        <v>341</v>
      </c>
      <c r="B51" s="4" t="s">
        <v>2515</v>
      </c>
      <c r="C51" s="4" t="s">
        <v>170</v>
      </c>
      <c r="D51" s="4" t="s">
        <v>527</v>
      </c>
      <c r="E51" s="4" t="s">
        <v>2565</v>
      </c>
      <c r="F51" s="4" t="s">
        <v>2511</v>
      </c>
      <c r="G51" s="39">
        <v>45881</v>
      </c>
      <c r="H51" s="39">
        <v>45881</v>
      </c>
    </row>
    <row r="52" spans="1:8">
      <c r="A52" s="4" t="s">
        <v>341</v>
      </c>
      <c r="B52" s="4" t="s">
        <v>2530</v>
      </c>
      <c r="C52" s="4" t="s">
        <v>170</v>
      </c>
      <c r="D52" s="4" t="s">
        <v>2552</v>
      </c>
      <c r="E52" s="4" t="s">
        <v>2555</v>
      </c>
      <c r="F52" s="4" t="s">
        <v>2511</v>
      </c>
      <c r="G52" s="39">
        <v>45889</v>
      </c>
      <c r="H52" s="39">
        <v>45889</v>
      </c>
    </row>
    <row r="53" spans="1:8">
      <c r="A53" s="4" t="s">
        <v>341</v>
      </c>
      <c r="B53" s="4" t="s">
        <v>2484</v>
      </c>
      <c r="C53" s="4" t="s">
        <v>170</v>
      </c>
      <c r="D53" s="4" t="s">
        <v>2552</v>
      </c>
      <c r="E53" s="4" t="s">
        <v>2555</v>
      </c>
      <c r="F53" s="4" t="s">
        <v>2511</v>
      </c>
      <c r="G53" s="39">
        <v>45901</v>
      </c>
      <c r="H53" s="39">
        <v>45902</v>
      </c>
    </row>
    <row r="54" spans="1:8">
      <c r="A54" s="4" t="s">
        <v>341</v>
      </c>
      <c r="B54" s="4" t="s">
        <v>2530</v>
      </c>
      <c r="C54" s="4" t="s">
        <v>170</v>
      </c>
      <c r="D54" s="4" t="s">
        <v>2552</v>
      </c>
      <c r="E54" s="4" t="s">
        <v>2555</v>
      </c>
      <c r="F54" s="4" t="s">
        <v>2511</v>
      </c>
      <c r="G54" s="39">
        <v>45904</v>
      </c>
      <c r="H54" s="39">
        <v>45904</v>
      </c>
    </row>
    <row r="55" spans="1:8">
      <c r="A55" s="4" t="s">
        <v>140</v>
      </c>
      <c r="B55" s="4" t="s">
        <v>2530</v>
      </c>
      <c r="C55" s="4" t="s">
        <v>170</v>
      </c>
      <c r="D55" s="4" t="s">
        <v>396</v>
      </c>
      <c r="E55" s="4" t="s">
        <v>2566</v>
      </c>
      <c r="F55" s="4" t="s">
        <v>230</v>
      </c>
      <c r="G55" s="39">
        <v>45902</v>
      </c>
      <c r="H55" s="39">
        <v>45904</v>
      </c>
    </row>
    <row r="56" spans="1:8">
      <c r="A56" s="4" t="s">
        <v>341</v>
      </c>
      <c r="B56" s="4" t="s">
        <v>2484</v>
      </c>
      <c r="C56" s="4" t="s">
        <v>170</v>
      </c>
      <c r="D56" s="4" t="s">
        <v>2552</v>
      </c>
      <c r="E56" s="4" t="s">
        <v>2555</v>
      </c>
      <c r="F56" s="4" t="s">
        <v>2511</v>
      </c>
      <c r="G56" s="39">
        <v>45908</v>
      </c>
      <c r="H56" s="39">
        <v>45909</v>
      </c>
    </row>
    <row r="57" spans="1:8">
      <c r="A57" s="4" t="s">
        <v>126</v>
      </c>
      <c r="B57" s="4" t="s">
        <v>2508</v>
      </c>
      <c r="C57" s="4" t="s">
        <v>2490</v>
      </c>
      <c r="D57" s="4" t="s">
        <v>2567</v>
      </c>
      <c r="E57" s="4" t="s">
        <v>2568</v>
      </c>
      <c r="F57" s="4" t="s">
        <v>2511</v>
      </c>
      <c r="G57" s="39">
        <v>45924</v>
      </c>
      <c r="H57" s="39">
        <v>45924</v>
      </c>
    </row>
    <row r="58" spans="1:8">
      <c r="A58" s="4" t="s">
        <v>341</v>
      </c>
      <c r="B58" s="4" t="s">
        <v>2530</v>
      </c>
      <c r="C58" s="4" t="s">
        <v>170</v>
      </c>
      <c r="D58" s="4" t="s">
        <v>2552</v>
      </c>
      <c r="E58" s="4" t="s">
        <v>2555</v>
      </c>
      <c r="F58" s="4" t="s">
        <v>2511</v>
      </c>
      <c r="G58" s="39">
        <v>45926</v>
      </c>
      <c r="H58" s="39">
        <v>45926</v>
      </c>
    </row>
    <row r="59" spans="1:8">
      <c r="A59" s="4" t="s">
        <v>341</v>
      </c>
      <c r="B59" s="4" t="s">
        <v>2530</v>
      </c>
      <c r="C59" s="4" t="s">
        <v>170</v>
      </c>
      <c r="D59" s="4" t="s">
        <v>2552</v>
      </c>
      <c r="E59" s="4" t="s">
        <v>2555</v>
      </c>
      <c r="F59" s="4" t="s">
        <v>2511</v>
      </c>
      <c r="G59" s="39">
        <v>45930</v>
      </c>
      <c r="H59" s="39">
        <v>45930</v>
      </c>
    </row>
    <row r="60" spans="1:8">
      <c r="A60" s="4" t="s">
        <v>341</v>
      </c>
      <c r="B60" s="4" t="s">
        <v>2484</v>
      </c>
      <c r="C60" s="4" t="s">
        <v>170</v>
      </c>
      <c r="D60" s="4" t="s">
        <v>2552</v>
      </c>
      <c r="E60" s="4" t="s">
        <v>2555</v>
      </c>
      <c r="F60" s="4" t="s">
        <v>2511</v>
      </c>
      <c r="G60" s="39">
        <v>45943</v>
      </c>
      <c r="H60" s="39">
        <v>45944</v>
      </c>
    </row>
    <row r="61" spans="1:8">
      <c r="A61" s="4" t="s">
        <v>114</v>
      </c>
      <c r="B61" s="4" t="s">
        <v>2530</v>
      </c>
      <c r="C61" s="4" t="s">
        <v>170</v>
      </c>
      <c r="D61" s="4" t="s">
        <v>657</v>
      </c>
      <c r="E61" s="4" t="s">
        <v>2569</v>
      </c>
      <c r="F61" s="4" t="s">
        <v>2511</v>
      </c>
      <c r="G61" s="39">
        <v>45952</v>
      </c>
      <c r="H61" s="39">
        <v>45952</v>
      </c>
    </row>
    <row r="62" spans="1:8">
      <c r="A62" s="4" t="s">
        <v>140</v>
      </c>
      <c r="B62" s="4" t="s">
        <v>2530</v>
      </c>
      <c r="C62" s="4" t="s">
        <v>170</v>
      </c>
      <c r="D62" s="4" t="s">
        <v>428</v>
      </c>
      <c r="E62" s="4" t="s">
        <v>2570</v>
      </c>
      <c r="F62" s="4" t="s">
        <v>2511</v>
      </c>
      <c r="G62" s="39">
        <v>45954</v>
      </c>
      <c r="H62" s="39">
        <v>45954</v>
      </c>
    </row>
    <row r="63" spans="1:8">
      <c r="A63" s="4" t="s">
        <v>341</v>
      </c>
      <c r="B63" s="4" t="s">
        <v>2530</v>
      </c>
      <c r="C63" s="4" t="s">
        <v>170</v>
      </c>
      <c r="D63" s="4" t="s">
        <v>2552</v>
      </c>
      <c r="E63" s="4" t="s">
        <v>2555</v>
      </c>
      <c r="F63" s="4" t="s">
        <v>2511</v>
      </c>
      <c r="G63" s="39">
        <v>45967</v>
      </c>
      <c r="H63" s="39">
        <v>45967</v>
      </c>
    </row>
    <row r="64" spans="1:8">
      <c r="A64" s="4" t="s">
        <v>144</v>
      </c>
      <c r="B64" s="4" t="s">
        <v>2571</v>
      </c>
      <c r="C64" s="4" t="s">
        <v>2572</v>
      </c>
      <c r="D64" s="4" t="s">
        <v>1612</v>
      </c>
      <c r="E64" s="4" t="s">
        <v>2573</v>
      </c>
      <c r="F64" s="4" t="s">
        <v>2511</v>
      </c>
      <c r="G64" s="39">
        <v>45946</v>
      </c>
      <c r="H64" s="39">
        <v>45947</v>
      </c>
    </row>
    <row r="65" spans="1:8">
      <c r="A65" s="4" t="s">
        <v>144</v>
      </c>
      <c r="B65" s="4" t="s">
        <v>2571</v>
      </c>
      <c r="C65" s="4" t="s">
        <v>2572</v>
      </c>
      <c r="D65" s="4" t="s">
        <v>1612</v>
      </c>
      <c r="E65" s="4" t="s">
        <v>2573</v>
      </c>
      <c r="F65" s="4" t="s">
        <v>2511</v>
      </c>
      <c r="G65" s="39">
        <v>45953</v>
      </c>
      <c r="H65" s="39">
        <v>45953</v>
      </c>
    </row>
    <row r="66" spans="1:8">
      <c r="A66" s="4" t="s">
        <v>347</v>
      </c>
      <c r="B66" s="4" t="s">
        <v>2487</v>
      </c>
      <c r="C66" s="4" t="s">
        <v>2572</v>
      </c>
      <c r="D66" s="4" t="s">
        <v>2574</v>
      </c>
      <c r="E66" s="4" t="s">
        <v>2575</v>
      </c>
      <c r="F66" s="4" t="s">
        <v>230</v>
      </c>
      <c r="G66" s="39">
        <v>45965</v>
      </c>
      <c r="H66" s="39">
        <v>45968</v>
      </c>
    </row>
    <row r="67" spans="1:8">
      <c r="A67" s="4" t="s">
        <v>144</v>
      </c>
      <c r="B67" s="4" t="s">
        <v>2530</v>
      </c>
      <c r="C67" s="4" t="s">
        <v>170</v>
      </c>
      <c r="D67" s="4" t="s">
        <v>578</v>
      </c>
      <c r="E67" s="4" t="s">
        <v>2576</v>
      </c>
      <c r="F67" s="4" t="s">
        <v>2511</v>
      </c>
      <c r="G67" s="39">
        <v>45967</v>
      </c>
      <c r="H67" s="39">
        <v>45967</v>
      </c>
    </row>
    <row r="68" spans="1:8">
      <c r="A68" s="4" t="s">
        <v>144</v>
      </c>
      <c r="B68" s="4" t="s">
        <v>2530</v>
      </c>
      <c r="C68" s="4" t="s">
        <v>170</v>
      </c>
      <c r="D68" s="4" t="s">
        <v>2577</v>
      </c>
      <c r="E68" s="4" t="s">
        <v>2578</v>
      </c>
      <c r="F68" s="4" t="s">
        <v>2511</v>
      </c>
      <c r="G68" s="39">
        <v>45978</v>
      </c>
      <c r="H68" s="39">
        <v>45978</v>
      </c>
    </row>
    <row r="69" spans="1:8">
      <c r="A69" s="4" t="s">
        <v>341</v>
      </c>
      <c r="B69" s="4" t="s">
        <v>2530</v>
      </c>
      <c r="C69" s="4" t="s">
        <v>170</v>
      </c>
      <c r="D69" s="4" t="s">
        <v>2552</v>
      </c>
      <c r="E69" s="4" t="s">
        <v>2555</v>
      </c>
      <c r="F69" s="4" t="s">
        <v>2511</v>
      </c>
      <c r="G69" s="39">
        <v>45979</v>
      </c>
      <c r="H69" s="39">
        <v>45980</v>
      </c>
    </row>
    <row r="70" spans="1:8">
      <c r="A70" s="4" t="s">
        <v>341</v>
      </c>
      <c r="B70" s="4" t="s">
        <v>2530</v>
      </c>
      <c r="C70" s="4" t="s">
        <v>170</v>
      </c>
      <c r="D70" s="4" t="s">
        <v>2552</v>
      </c>
      <c r="E70" s="4" t="s">
        <v>2555</v>
      </c>
      <c r="F70" s="4" t="s">
        <v>2511</v>
      </c>
      <c r="G70" s="39">
        <v>45982</v>
      </c>
      <c r="H70" s="39">
        <v>45982</v>
      </c>
    </row>
    <row r="71" spans="1:8">
      <c r="A71" s="4" t="s">
        <v>144</v>
      </c>
      <c r="B71" s="4" t="s">
        <v>2515</v>
      </c>
      <c r="C71" s="4" t="s">
        <v>2579</v>
      </c>
      <c r="D71" s="4" t="s">
        <v>2580</v>
      </c>
      <c r="E71" s="4" t="s">
        <v>2581</v>
      </c>
      <c r="F71" s="4" t="s">
        <v>230</v>
      </c>
      <c r="G71" s="39">
        <v>45985</v>
      </c>
      <c r="H71" s="39">
        <v>45985</v>
      </c>
    </row>
    <row r="72" spans="1:8">
      <c r="A72" s="4" t="s">
        <v>144</v>
      </c>
      <c r="B72" s="4" t="s">
        <v>2515</v>
      </c>
      <c r="C72" s="4" t="s">
        <v>2579</v>
      </c>
      <c r="D72" s="4" t="s">
        <v>2580</v>
      </c>
      <c r="E72" s="4" t="s">
        <v>2582</v>
      </c>
      <c r="F72" s="4" t="s">
        <v>230</v>
      </c>
      <c r="G72" s="39">
        <v>45986</v>
      </c>
      <c r="H72" s="39">
        <v>45986</v>
      </c>
    </row>
    <row r="73" spans="1:8">
      <c r="A73" s="4" t="s">
        <v>144</v>
      </c>
      <c r="B73" s="4" t="s">
        <v>2515</v>
      </c>
      <c r="C73" s="4" t="s">
        <v>2579</v>
      </c>
      <c r="D73" s="4" t="s">
        <v>2580</v>
      </c>
      <c r="E73" s="4" t="s">
        <v>2583</v>
      </c>
      <c r="F73" s="4" t="s">
        <v>230</v>
      </c>
      <c r="G73" s="39">
        <v>45987</v>
      </c>
      <c r="H73" s="39">
        <v>45987</v>
      </c>
    </row>
    <row r="74" spans="1:8">
      <c r="A74" s="4" t="s">
        <v>144</v>
      </c>
      <c r="B74" s="4" t="s">
        <v>2515</v>
      </c>
      <c r="C74" s="4" t="s">
        <v>2579</v>
      </c>
      <c r="D74" s="4" t="s">
        <v>2577</v>
      </c>
      <c r="E74" s="4" t="s">
        <v>2584</v>
      </c>
      <c r="F74" s="4" t="s">
        <v>230</v>
      </c>
      <c r="G74" s="39">
        <v>45988</v>
      </c>
      <c r="H74" s="39">
        <v>45988</v>
      </c>
    </row>
    <row r="75" spans="1:8">
      <c r="A75" s="4" t="s">
        <v>144</v>
      </c>
      <c r="B75" s="4" t="s">
        <v>2515</v>
      </c>
      <c r="C75" s="4" t="s">
        <v>2579</v>
      </c>
      <c r="D75" s="4" t="s">
        <v>2585</v>
      </c>
      <c r="E75" s="4" t="s">
        <v>2586</v>
      </c>
      <c r="F75" s="4" t="s">
        <v>230</v>
      </c>
      <c r="G75" s="39">
        <v>45989</v>
      </c>
      <c r="H75" s="39">
        <v>45989</v>
      </c>
    </row>
    <row r="76" spans="1:8">
      <c r="A76" s="4" t="s">
        <v>341</v>
      </c>
      <c r="B76" s="4" t="s">
        <v>2530</v>
      </c>
      <c r="C76" s="4" t="s">
        <v>170</v>
      </c>
      <c r="D76" s="4" t="s">
        <v>2552</v>
      </c>
      <c r="E76" s="4" t="s">
        <v>2555</v>
      </c>
      <c r="F76" s="4" t="s">
        <v>2511</v>
      </c>
      <c r="G76" s="39">
        <v>45987</v>
      </c>
      <c r="H76" s="39">
        <v>45988</v>
      </c>
    </row>
    <row r="77" spans="1:8">
      <c r="A77" s="4" t="s">
        <v>363</v>
      </c>
      <c r="B77" s="4" t="s">
        <v>2530</v>
      </c>
      <c r="C77" s="4" t="s">
        <v>170</v>
      </c>
      <c r="D77" s="4" t="s">
        <v>2587</v>
      </c>
      <c r="E77" s="4" t="s">
        <v>2588</v>
      </c>
      <c r="F77" s="4" t="s">
        <v>3611</v>
      </c>
      <c r="G77" s="39">
        <v>45986</v>
      </c>
      <c r="H77" s="39">
        <v>46002</v>
      </c>
    </row>
    <row r="78" spans="1:8">
      <c r="A78" s="4" t="s">
        <v>363</v>
      </c>
      <c r="B78" s="4" t="s">
        <v>2530</v>
      </c>
      <c r="C78" s="4" t="s">
        <v>170</v>
      </c>
      <c r="D78" s="4" t="s">
        <v>2561</v>
      </c>
      <c r="E78" s="4" t="s">
        <v>2589</v>
      </c>
      <c r="F78" s="4" t="s">
        <v>3611</v>
      </c>
      <c r="G78" s="39">
        <v>45992</v>
      </c>
      <c r="H78" s="39">
        <v>45992</v>
      </c>
    </row>
    <row r="79" spans="1:8">
      <c r="A79" s="4" t="s">
        <v>363</v>
      </c>
      <c r="B79" s="4" t="s">
        <v>2530</v>
      </c>
      <c r="C79" s="4" t="s">
        <v>170</v>
      </c>
      <c r="D79" s="4" t="s">
        <v>2590</v>
      </c>
      <c r="E79" s="4" t="s">
        <v>2591</v>
      </c>
      <c r="F79" s="4" t="s">
        <v>3611</v>
      </c>
      <c r="G79" s="39">
        <v>45994</v>
      </c>
      <c r="H79" s="39">
        <v>45994</v>
      </c>
    </row>
    <row r="80" spans="1:8">
      <c r="A80" s="4" t="s">
        <v>126</v>
      </c>
      <c r="B80" s="4" t="s">
        <v>2530</v>
      </c>
      <c r="C80" s="4" t="s">
        <v>170</v>
      </c>
      <c r="D80" s="4" t="s">
        <v>2592</v>
      </c>
      <c r="E80" s="4" t="s">
        <v>2593</v>
      </c>
      <c r="F80" s="4" t="s">
        <v>2551</v>
      </c>
      <c r="G80" s="39">
        <v>45998</v>
      </c>
      <c r="H80" s="39">
        <v>46001</v>
      </c>
    </row>
    <row r="81" spans="1:8">
      <c r="A81" s="4" t="s">
        <v>335</v>
      </c>
      <c r="B81" s="4" t="s">
        <v>2508</v>
      </c>
      <c r="C81" s="4" t="s">
        <v>170</v>
      </c>
      <c r="D81" s="4" t="s">
        <v>657</v>
      </c>
      <c r="E81" s="4" t="s">
        <v>2569</v>
      </c>
      <c r="F81" s="4" t="s">
        <v>2511</v>
      </c>
      <c r="G81" s="39">
        <v>46014</v>
      </c>
      <c r="H81" s="39">
        <v>46014</v>
      </c>
    </row>
    <row r="82" spans="1:8">
      <c r="A82" s="4" t="s">
        <v>347</v>
      </c>
      <c r="B82" s="4" t="s">
        <v>2508</v>
      </c>
      <c r="C82" s="4" t="s">
        <v>2523</v>
      </c>
      <c r="D82" s="4" t="s">
        <v>1595</v>
      </c>
      <c r="E82" s="4" t="s">
        <v>2594</v>
      </c>
      <c r="F82" s="4" t="s">
        <v>204</v>
      </c>
      <c r="G82" s="39">
        <v>46042</v>
      </c>
      <c r="H82" s="39">
        <v>46059</v>
      </c>
    </row>
    <row r="83" spans="1:8">
      <c r="A83" s="4" t="s">
        <v>335</v>
      </c>
      <c r="B83" s="4" t="s">
        <v>2530</v>
      </c>
      <c r="C83" s="4" t="s">
        <v>170</v>
      </c>
      <c r="D83" s="4" t="s">
        <v>657</v>
      </c>
      <c r="E83" s="4" t="s">
        <v>2569</v>
      </c>
      <c r="F83" s="4" t="s">
        <v>2511</v>
      </c>
      <c r="G83" s="39">
        <v>46063</v>
      </c>
      <c r="H83" s="39">
        <v>46063</v>
      </c>
    </row>
    <row r="84" spans="1:8">
      <c r="A84" s="4" t="s">
        <v>363</v>
      </c>
      <c r="B84" s="4" t="s">
        <v>2484</v>
      </c>
      <c r="C84" s="4" t="s">
        <v>170</v>
      </c>
      <c r="D84" s="4" t="s">
        <v>2595</v>
      </c>
      <c r="E84" s="4" t="s">
        <v>2588</v>
      </c>
      <c r="F84" s="4" t="s">
        <v>3611</v>
      </c>
      <c r="G84" s="39">
        <v>46076</v>
      </c>
      <c r="H84" s="39">
        <v>46090</v>
      </c>
    </row>
    <row r="85" spans="1:8">
      <c r="A85" s="4" t="s">
        <v>330</v>
      </c>
      <c r="B85" s="4" t="s">
        <v>2515</v>
      </c>
      <c r="C85" s="4" t="s">
        <v>170</v>
      </c>
      <c r="D85" s="4" t="s">
        <v>2596</v>
      </c>
      <c r="E85" s="4" t="s">
        <v>2597</v>
      </c>
      <c r="F85" s="4" t="s">
        <v>2511</v>
      </c>
      <c r="G85" s="39">
        <v>46079</v>
      </c>
      <c r="H85" s="39">
        <v>46079</v>
      </c>
    </row>
    <row r="86" spans="1:8">
      <c r="A86" s="4" t="s">
        <v>144</v>
      </c>
      <c r="B86" s="4" t="s">
        <v>2515</v>
      </c>
      <c r="C86" s="4" t="s">
        <v>170</v>
      </c>
      <c r="D86" s="4" t="s">
        <v>2596</v>
      </c>
      <c r="E86" s="4" t="s">
        <v>2597</v>
      </c>
      <c r="F86" s="4" t="s">
        <v>2511</v>
      </c>
      <c r="G86" s="39">
        <v>46079</v>
      </c>
      <c r="H86" s="39">
        <v>46079</v>
      </c>
    </row>
    <row r="87" spans="1:8">
      <c r="A87" s="4" t="s">
        <v>144</v>
      </c>
      <c r="B87" s="4" t="s">
        <v>2515</v>
      </c>
      <c r="C87" s="4" t="s">
        <v>2579</v>
      </c>
      <c r="D87" s="4" t="s">
        <v>2598</v>
      </c>
      <c r="E87" s="4" t="s">
        <v>2599</v>
      </c>
      <c r="F87" s="4" t="s">
        <v>2511</v>
      </c>
      <c r="G87" s="39">
        <v>46085</v>
      </c>
      <c r="H87" s="39">
        <v>46085</v>
      </c>
    </row>
    <row r="88" spans="1:8">
      <c r="A88" s="4" t="s">
        <v>330</v>
      </c>
      <c r="B88" s="4" t="s">
        <v>2515</v>
      </c>
      <c r="C88" s="4" t="s">
        <v>2579</v>
      </c>
      <c r="D88" s="4" t="s">
        <v>2598</v>
      </c>
      <c r="E88" s="4" t="s">
        <v>2600</v>
      </c>
      <c r="F88" s="4" t="s">
        <v>2511</v>
      </c>
      <c r="G88" s="39">
        <v>46086</v>
      </c>
      <c r="H88" s="39">
        <v>46086</v>
      </c>
    </row>
    <row r="89" spans="1:8">
      <c r="A89" s="4" t="s">
        <v>144</v>
      </c>
      <c r="B89" s="4" t="s">
        <v>2515</v>
      </c>
      <c r="C89" s="4" t="s">
        <v>2579</v>
      </c>
      <c r="D89" s="4" t="s">
        <v>2598</v>
      </c>
      <c r="E89" s="4" t="s">
        <v>2600</v>
      </c>
      <c r="F89" s="4" t="s">
        <v>2511</v>
      </c>
      <c r="G89" s="39">
        <v>46086</v>
      </c>
      <c r="H89" s="39">
        <v>46086</v>
      </c>
    </row>
  </sheetData>
  <autoFilter ref="A1:H89" xr:uid="{00000000-0001-0000-0A00-000000000000}"/>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
  <sheetViews>
    <sheetView workbookViewId="0">
      <pane ySplit="1" topLeftCell="A2" activePane="bottomLeft" state="frozen"/>
      <selection pane="bottomLeft" activeCell="B9" sqref="B9"/>
    </sheetView>
  </sheetViews>
  <sheetFormatPr defaultRowHeight="16.5"/>
  <cols>
    <col min="1" max="1" width="49.125" bestFit="1" customWidth="1"/>
    <col min="2" max="3" width="16" customWidth="1"/>
    <col min="4" max="4" width="35.875" customWidth="1"/>
  </cols>
  <sheetData>
    <row r="1" spans="1:4" ht="26.1" customHeight="1">
      <c r="A1" s="3" t="s">
        <v>103</v>
      </c>
      <c r="B1" s="3" t="s">
        <v>104</v>
      </c>
      <c r="C1" s="3" t="s">
        <v>49</v>
      </c>
      <c r="D1" s="3" t="s">
        <v>105</v>
      </c>
    </row>
    <row r="2" spans="1:4">
      <c r="A2" s="40" t="s">
        <v>2601</v>
      </c>
      <c r="B2" s="4" t="s">
        <v>367</v>
      </c>
      <c r="C2" s="4" t="s">
        <v>130</v>
      </c>
      <c r="D2" s="4" t="s">
        <v>2602</v>
      </c>
    </row>
    <row r="3" spans="1:4">
      <c r="A3" s="40" t="s">
        <v>2603</v>
      </c>
      <c r="B3" s="4" t="s">
        <v>114</v>
      </c>
      <c r="C3" s="4" t="s">
        <v>112</v>
      </c>
      <c r="D3" s="4" t="s">
        <v>2604</v>
      </c>
    </row>
    <row r="4" spans="1:4">
      <c r="A4" s="40" t="s">
        <v>2605</v>
      </c>
      <c r="B4" s="4" t="s">
        <v>341</v>
      </c>
      <c r="C4" s="4" t="s">
        <v>108</v>
      </c>
      <c r="D4" s="4" t="s">
        <v>2606</v>
      </c>
    </row>
    <row r="5" spans="1:4">
      <c r="A5" s="40" t="s">
        <v>2607</v>
      </c>
      <c r="B5" s="4" t="s">
        <v>114</v>
      </c>
      <c r="C5" s="4" t="s">
        <v>116</v>
      </c>
      <c r="D5" s="4" t="s">
        <v>2608</v>
      </c>
    </row>
    <row r="6" spans="1:4">
      <c r="A6" s="40" t="s">
        <v>2609</v>
      </c>
      <c r="B6" s="4" t="s">
        <v>353</v>
      </c>
      <c r="C6" s="4" t="s">
        <v>127</v>
      </c>
      <c r="D6" s="4"/>
    </row>
    <row r="7" spans="1:4">
      <c r="A7" s="40" t="s">
        <v>2610</v>
      </c>
      <c r="B7" s="4" t="s">
        <v>126</v>
      </c>
      <c r="C7" s="4" t="s">
        <v>123</v>
      </c>
      <c r="D7" s="4" t="s">
        <v>2611</v>
      </c>
    </row>
    <row r="8" spans="1:4">
      <c r="A8" s="40" t="s">
        <v>2612</v>
      </c>
      <c r="B8" s="4" t="s">
        <v>114</v>
      </c>
      <c r="C8" s="4" t="s">
        <v>331</v>
      </c>
      <c r="D8" s="4" t="s">
        <v>2613</v>
      </c>
    </row>
    <row r="9" spans="1:4">
      <c r="A9" s="40" t="s">
        <v>2614</v>
      </c>
      <c r="B9" s="4" t="s">
        <v>122</v>
      </c>
      <c r="C9" s="4" t="s">
        <v>331</v>
      </c>
      <c r="D9" s="4" t="s">
        <v>2615</v>
      </c>
    </row>
    <row r="10" spans="1:4">
      <c r="A10" s="40" t="s">
        <v>2616</v>
      </c>
      <c r="B10" s="4" t="s">
        <v>114</v>
      </c>
      <c r="C10" s="4" t="s">
        <v>331</v>
      </c>
      <c r="D10" s="4" t="s">
        <v>2617</v>
      </c>
    </row>
    <row r="11" spans="1:4">
      <c r="A11" s="40" t="s">
        <v>2618</v>
      </c>
      <c r="B11" s="4" t="s">
        <v>144</v>
      </c>
      <c r="C11" s="4" t="s">
        <v>331</v>
      </c>
      <c r="D11" s="4" t="s">
        <v>2619</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강태준(TAEJUN KANG)</dc:creator>
  <dcterms:modified xsi:type="dcterms:W3CDTF">2026-05-21T09:13:49Z</dcterms:modified>
  <cp:lastModifiedBy>강태준(TAEJUN KANG) 플랜트구매품질팀 책임매니저</cp:lastModifiedBy>
  <dcterms:created xsi:type="dcterms:W3CDTF">2026-05-07T02:11:20Z</dcterms:created>
</cp:coreProperties>
</file>