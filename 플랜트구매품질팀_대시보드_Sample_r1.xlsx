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Metadata/LabelInfo.xml" ContentType="application/vnd.ms-office.classificationlabels+xml"/>
</Types>
</file>

<file path=_rels/.rels><?xml version="1.0" encoding="utf-8" standalone="yes"?><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microsoft.com/office/2020/02/relationships/classificationlabels" Target="docMetadata/LabelInfo.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D:\99. Github\Plant-Procurement-Quality-Dashboard\"/>
    </mc:Choice>
  </mc:AlternateContent>
  <bookViews>
    <workbookView xWindow="-120" yWindow="-120" windowWidth="29040" windowHeight="15720" tabRatio="797" firstSheet="1" activeTab="1" xr2:uid="{00000000-000D-0000-FFFF-FFFF00000000}"/>
  </bookViews>
  <sheets>
    <sheet name="📖 README" sheetId="1" r:id="rId1"/>
    <sheet name="프로젝트_현황" sheetId="2" r:id="rId2"/>
    <sheet name="프로젝트_구매품질 실적" sheetId="3" r:id="rId3"/>
    <sheet name="프로젝트_미결 NCR 현황" sheetId="4" r:id="rId4"/>
    <sheet name="PQAN" sheetId="5" r:id="rId5"/>
    <sheet name="TPA_목록" sheetId="6" r:id="rId6"/>
    <sheet name="TPA_집행현황" sheetId="7" r:id="rId7"/>
    <sheet name="TPA_월별대금청구현황" sheetId="8" r:id="rId8"/>
    <sheet name="인력운영_현황" sheetId="9" r:id="rId9"/>
    <sheet name="인력운영_세부내역" sheetId="10" r:id="rId10"/>
    <sheet name="출장현황" sheetId="11" r:id="rId11"/>
    <sheet name="주요현안" sheetId="12" r:id="rId12"/>
  </sheets>
  <definedNames>
    <definedName name="_xlnm._FilterDatabase" localSheetId="7" hidden="1">TPA_월별대금청구현황!$A$1:$F$1409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8" l="1"/>
  <c r="A3" i="8"/>
  <c r="A6" i="8"/>
  <c r="A5" i="8"/>
  <c r="A20" i="8"/>
  <c r="A19" i="8"/>
  <c r="A18" i="8"/>
  <c r="A23" i="8"/>
  <c r="A22" i="8"/>
  <c r="A21" i="8"/>
  <c r="G28" i="6"/>
  <c r="G27" i="6"/>
  <c r="G26" i="6"/>
  <c r="G25" i="6"/>
  <c r="G24" i="6"/>
  <c r="G23" i="6"/>
  <c r="G22" i="6"/>
  <c r="G21" i="6"/>
  <c r="G20" i="6"/>
  <c r="G19" i="6"/>
  <c r="G18" i="6"/>
  <c r="G17" i="6"/>
  <c r="G16" i="6"/>
  <c r="G15" i="6"/>
  <c r="G14" i="6"/>
  <c r="G13" i="6"/>
  <c r="G12" i="6"/>
  <c r="G11" i="6"/>
  <c r="G10" i="6"/>
  <c r="G9" i="6"/>
  <c r="G8" i="6"/>
  <c r="G7" i="6"/>
  <c r="G6" i="6"/>
  <c r="G5" i="6"/>
  <c r="G4" i="6"/>
  <c r="G3" i="6"/>
  <c r="G2" i="6"/>
  <c r="E28" i="6"/>
  <c r="D28" i="6"/>
  <c r="E27" i="6"/>
  <c r="D27" i="6"/>
  <c r="E26" i="6"/>
  <c r="D26" i="6"/>
  <c r="E25" i="6"/>
  <c r="D25" i="6"/>
  <c r="E24" i="6"/>
  <c r="D24" i="6"/>
  <c r="E23" i="6"/>
  <c r="D23" i="6"/>
  <c r="E22" i="6"/>
  <c r="D22" i="6"/>
  <c r="E21" i="6"/>
  <c r="D21" i="6"/>
  <c r="E20" i="6"/>
  <c r="D20" i="6"/>
  <c r="E19" i="6"/>
  <c r="D19" i="6"/>
  <c r="E18" i="6"/>
  <c r="D18" i="6"/>
  <c r="E17" i="6"/>
  <c r="D17" i="6"/>
  <c r="E16" i="6"/>
  <c r="D16" i="6"/>
  <c r="E15" i="6"/>
  <c r="D15" i="6"/>
  <c r="E14" i="6"/>
  <c r="D14" i="6"/>
  <c r="E13" i="6"/>
  <c r="D13" i="6"/>
  <c r="E12" i="6"/>
  <c r="D12" i="6"/>
  <c r="E11" i="6"/>
  <c r="D11" i="6"/>
  <c r="E10" i="6"/>
  <c r="D10" i="6"/>
  <c r="E9" i="6"/>
  <c r="D9" i="6"/>
  <c r="E8" i="6"/>
  <c r="D8" i="6"/>
  <c r="E7" i="6"/>
  <c r="D7" i="6"/>
  <c r="E6" i="6"/>
  <c r="D6" i="6"/>
  <c r="E5" i="6"/>
  <c r="D5" i="6"/>
  <c r="E4" i="6"/>
  <c r="D4" i="6"/>
  <c r="E3" i="6"/>
  <c r="D3" i="6"/>
  <c r="E2" i="6"/>
  <c r="D2" i="6"/>
  <c r="J23" i="9"/>
  <c r="J22" i="9"/>
  <c r="J20" i="9"/>
  <c r="J19" i="9"/>
  <c r="J18" i="9"/>
  <c r="J17" i="9"/>
  <c r="J15" i="9"/>
  <c r="J14" i="9"/>
  <c r="J13" i="9"/>
  <c r="J12" i="9"/>
  <c r="J11" i="9"/>
  <c r="J10" i="9"/>
  <c r="J9" i="9"/>
  <c r="J8" i="9"/>
  <c r="J7" i="9"/>
  <c r="J6" i="9"/>
  <c r="J5" i="9"/>
  <c r="J4" i="9"/>
  <c r="J3" i="9"/>
  <c r="H5" i="7"/>
  <c r="E9" i="7"/>
  <c r="E8" i="7"/>
  <c r="E7" i="7"/>
  <c r="E6" i="7"/>
  <c r="E4" i="7"/>
  <c r="E3" i="7"/>
  <c r="E2" i="7"/>
  <c r="A1038" i="10" l="1"/>
  <c r="A1037" i="10"/>
  <c r="A1036" i="10"/>
  <c r="A1035" i="10"/>
  <c r="A1034" i="10"/>
  <c r="A1033" i="10"/>
  <c r="A1032" i="10"/>
  <c r="A1031" i="10"/>
  <c r="A1030" i="10"/>
  <c r="A1029" i="10"/>
  <c r="A1028" i="10"/>
  <c r="A1027" i="10"/>
  <c r="A1026" i="10"/>
  <c r="A1025" i="10"/>
  <c r="A1024" i="10"/>
  <c r="A1023" i="10"/>
  <c r="A1022" i="10"/>
  <c r="A1021" i="10"/>
  <c r="A1020" i="10"/>
  <c r="A1019" i="10"/>
  <c r="A1018" i="10"/>
  <c r="A1017" i="10"/>
  <c r="A1016" i="10"/>
  <c r="A1015" i="10"/>
  <c r="A1014" i="10"/>
  <c r="A1013" i="10"/>
  <c r="A1012" i="10"/>
  <c r="A1011" i="10"/>
  <c r="A1010" i="10"/>
  <c r="A1009" i="10"/>
  <c r="A1008" i="10"/>
  <c r="A1007" i="10"/>
  <c r="A1006" i="10"/>
  <c r="A1005" i="10"/>
  <c r="A1004" i="10"/>
  <c r="A1003" i="10"/>
  <c r="A1002" i="10"/>
  <c r="A1001" i="10"/>
  <c r="A1000" i="10"/>
  <c r="A999" i="10"/>
  <c r="A998" i="10"/>
  <c r="A997" i="10"/>
  <c r="A996" i="10"/>
  <c r="A995" i="10"/>
  <c r="A994" i="10"/>
  <c r="A993" i="10"/>
  <c r="A992" i="10"/>
  <c r="A991" i="10"/>
  <c r="A990" i="10"/>
  <c r="A989" i="10"/>
  <c r="A988" i="10"/>
  <c r="A987" i="10"/>
  <c r="A986" i="10"/>
  <c r="A985" i="10"/>
  <c r="A984" i="10"/>
  <c r="A983" i="10"/>
  <c r="A982" i="10"/>
  <c r="A981" i="10"/>
  <c r="A980" i="10"/>
  <c r="A979" i="10"/>
  <c r="A978" i="10"/>
  <c r="A977" i="10"/>
  <c r="A976" i="10"/>
  <c r="A975" i="10"/>
  <c r="A974" i="10"/>
  <c r="A973" i="10"/>
  <c r="A972" i="10"/>
  <c r="A971" i="10"/>
  <c r="A970" i="10"/>
  <c r="A969" i="10"/>
  <c r="A968" i="10"/>
  <c r="A967" i="10"/>
  <c r="A966" i="10"/>
  <c r="A965" i="10"/>
  <c r="A964" i="10"/>
  <c r="A963" i="10"/>
  <c r="A962" i="10"/>
  <c r="A961" i="10"/>
  <c r="A960" i="10"/>
  <c r="A959" i="10"/>
  <c r="A958" i="10"/>
  <c r="A957" i="10"/>
  <c r="A956" i="10"/>
  <c r="A955" i="10"/>
  <c r="A954" i="10"/>
  <c r="A953" i="10"/>
  <c r="A952" i="10"/>
  <c r="A951" i="10"/>
  <c r="A950" i="10"/>
  <c r="A949" i="10"/>
  <c r="A948" i="10"/>
  <c r="A947" i="10"/>
  <c r="A946" i="10"/>
  <c r="A945" i="10"/>
  <c r="A944" i="10"/>
  <c r="A943" i="10"/>
  <c r="A942" i="10"/>
  <c r="A941" i="10"/>
  <c r="A940" i="10"/>
  <c r="A939" i="10"/>
  <c r="A938" i="10"/>
  <c r="A937" i="10"/>
  <c r="A936" i="10"/>
  <c r="A935" i="10"/>
  <c r="A934" i="10"/>
  <c r="A933" i="10"/>
  <c r="A932" i="10"/>
  <c r="A931" i="10"/>
  <c r="A930" i="10"/>
  <c r="A929" i="10"/>
  <c r="A928" i="10"/>
  <c r="A927" i="10"/>
  <c r="A926" i="10"/>
  <c r="A925" i="10"/>
  <c r="A924" i="10"/>
  <c r="A923" i="10"/>
  <c r="A922" i="10"/>
  <c r="A921" i="10"/>
  <c r="A920" i="10"/>
  <c r="A919" i="10"/>
  <c r="A918" i="10"/>
  <c r="A917" i="10"/>
  <c r="A916" i="10"/>
  <c r="A915" i="10"/>
  <c r="A914" i="10"/>
  <c r="A913" i="10"/>
  <c r="A912" i="10"/>
  <c r="A911" i="10"/>
  <c r="A910" i="10"/>
  <c r="A909" i="10"/>
  <c r="A908" i="10"/>
  <c r="A907" i="10"/>
  <c r="A906" i="10"/>
  <c r="A905" i="10"/>
  <c r="A904" i="10"/>
  <c r="A903" i="10"/>
  <c r="A902" i="10"/>
  <c r="A901" i="10"/>
  <c r="A900" i="10"/>
  <c r="A899" i="10"/>
  <c r="A898" i="10"/>
  <c r="A897" i="10"/>
  <c r="A896" i="10"/>
  <c r="A895" i="10"/>
  <c r="A894" i="10"/>
  <c r="A893" i="10"/>
  <c r="A892" i="10"/>
  <c r="A891" i="10"/>
  <c r="A890" i="10"/>
  <c r="A889" i="10"/>
  <c r="A888" i="10"/>
  <c r="A887" i="10"/>
  <c r="A886" i="10"/>
  <c r="A885" i="10"/>
  <c r="A884" i="10"/>
  <c r="A883" i="10"/>
  <c r="A882" i="10"/>
  <c r="A881" i="10"/>
  <c r="A880" i="10"/>
  <c r="A879" i="10"/>
  <c r="A878" i="10"/>
  <c r="A877" i="10"/>
  <c r="A876" i="10"/>
  <c r="A875" i="10"/>
  <c r="A874" i="10"/>
  <c r="A873" i="10"/>
  <c r="A872" i="10"/>
  <c r="A871" i="10"/>
  <c r="A870" i="10"/>
  <c r="A869" i="10"/>
  <c r="A868" i="10"/>
  <c r="A867" i="10"/>
  <c r="A866" i="10"/>
  <c r="A865" i="10"/>
  <c r="A864" i="10"/>
  <c r="A863" i="10"/>
  <c r="A862" i="10"/>
  <c r="A861" i="10"/>
  <c r="A860" i="10"/>
  <c r="A859" i="10"/>
  <c r="A858" i="10"/>
  <c r="A857" i="10"/>
  <c r="A856" i="10"/>
  <c r="A855" i="10"/>
  <c r="A854" i="10"/>
  <c r="A853" i="10"/>
  <c r="A852" i="10"/>
  <c r="A851" i="10"/>
  <c r="A850" i="10"/>
  <c r="A849" i="10"/>
  <c r="A848" i="10"/>
  <c r="A847" i="10"/>
  <c r="A846" i="10"/>
  <c r="A845" i="10"/>
  <c r="A844" i="10"/>
  <c r="A843" i="10"/>
  <c r="A842" i="10"/>
  <c r="A841" i="10"/>
  <c r="A840" i="10"/>
  <c r="A839" i="10"/>
  <c r="A838" i="10"/>
  <c r="A837" i="10"/>
  <c r="A836" i="10"/>
  <c r="A835" i="10"/>
  <c r="A834" i="10"/>
  <c r="A833" i="10"/>
  <c r="A832" i="10"/>
  <c r="A831" i="10"/>
  <c r="A830" i="10"/>
  <c r="A829" i="10"/>
  <c r="A828" i="10"/>
  <c r="A827" i="10"/>
  <c r="A826" i="10"/>
  <c r="A825" i="10"/>
  <c r="A824" i="10"/>
  <c r="A823" i="10"/>
  <c r="A822" i="10"/>
  <c r="A821" i="10"/>
  <c r="A820" i="10"/>
  <c r="A819" i="10"/>
  <c r="A818" i="10"/>
  <c r="A817" i="10"/>
  <c r="A816" i="10"/>
  <c r="A815" i="10"/>
  <c r="A814" i="10"/>
  <c r="A813" i="10"/>
  <c r="A812" i="10"/>
  <c r="A811" i="10"/>
  <c r="A810" i="10"/>
  <c r="A809" i="10"/>
  <c r="A808" i="10"/>
  <c r="A807" i="10"/>
  <c r="A806" i="10"/>
  <c r="A805" i="10"/>
  <c r="A804" i="10"/>
  <c r="A803" i="10"/>
  <c r="A802" i="10"/>
  <c r="A801" i="10"/>
  <c r="A800" i="10"/>
  <c r="A799" i="10"/>
  <c r="A798" i="10"/>
  <c r="A797" i="10"/>
  <c r="A796" i="10"/>
  <c r="A795" i="10"/>
  <c r="A794" i="10"/>
  <c r="A793" i="10"/>
  <c r="A792" i="10"/>
  <c r="A791" i="10"/>
  <c r="A790" i="10"/>
  <c r="A789" i="10"/>
  <c r="A788" i="10"/>
  <c r="A787" i="10"/>
  <c r="A786" i="10"/>
  <c r="A785" i="10"/>
  <c r="A784" i="10"/>
  <c r="A783" i="10"/>
  <c r="A782" i="10"/>
  <c r="A781" i="10"/>
  <c r="A780" i="10"/>
  <c r="A779" i="10"/>
  <c r="A778" i="10"/>
  <c r="A777" i="10"/>
  <c r="A776" i="10"/>
  <c r="A775" i="10"/>
  <c r="A774" i="10"/>
  <c r="A773" i="10"/>
  <c r="A772" i="10"/>
  <c r="A771" i="10"/>
  <c r="A770" i="10"/>
  <c r="A769" i="10"/>
  <c r="A768" i="10"/>
  <c r="A767" i="10"/>
  <c r="A766" i="10"/>
  <c r="A765" i="10"/>
  <c r="A764" i="10"/>
  <c r="A763" i="10"/>
  <c r="A762" i="10"/>
  <c r="A761" i="10"/>
  <c r="A760" i="10"/>
  <c r="A759" i="10"/>
  <c r="A758" i="10"/>
  <c r="A757" i="10"/>
  <c r="A756" i="10"/>
  <c r="A755" i="10"/>
  <c r="A754" i="10"/>
  <c r="A753" i="10"/>
  <c r="A752" i="10"/>
  <c r="A751" i="10"/>
  <c r="A750" i="10"/>
  <c r="A749" i="10"/>
  <c r="A748" i="10"/>
  <c r="A747" i="10"/>
  <c r="A746" i="10"/>
  <c r="A745" i="10"/>
  <c r="A744" i="10"/>
  <c r="A743" i="10"/>
  <c r="A742" i="10"/>
  <c r="A741" i="10"/>
  <c r="A740" i="10"/>
  <c r="A739" i="10"/>
  <c r="A738" i="10"/>
  <c r="A737" i="10"/>
  <c r="A736" i="10"/>
  <c r="A735" i="10"/>
  <c r="A734" i="10"/>
  <c r="A733" i="10"/>
  <c r="A732" i="10"/>
  <c r="A731" i="10"/>
  <c r="A730" i="10"/>
  <c r="A729" i="10"/>
  <c r="A728" i="10"/>
  <c r="A727" i="10"/>
  <c r="A726" i="10"/>
  <c r="A725" i="10"/>
  <c r="A724" i="10"/>
  <c r="A723" i="10"/>
  <c r="A722" i="10"/>
  <c r="A721" i="10"/>
  <c r="A720" i="10"/>
  <c r="A719" i="10"/>
  <c r="A718" i="10"/>
  <c r="A717" i="10"/>
  <c r="A716" i="10"/>
  <c r="A715" i="10"/>
  <c r="A714" i="10"/>
  <c r="A713" i="10"/>
  <c r="A712" i="10"/>
  <c r="A711" i="10"/>
  <c r="A710" i="10"/>
  <c r="A709" i="10"/>
  <c r="A708" i="10"/>
  <c r="A707" i="10"/>
  <c r="A706" i="10"/>
  <c r="A705" i="10"/>
  <c r="A704" i="10"/>
  <c r="A703" i="10"/>
  <c r="A702" i="10"/>
  <c r="A701" i="10"/>
  <c r="A700" i="10"/>
  <c r="A699" i="10"/>
  <c r="A698" i="10"/>
  <c r="A697" i="10"/>
  <c r="A696" i="10"/>
  <c r="A695" i="10"/>
  <c r="A694" i="10"/>
  <c r="A693" i="10"/>
  <c r="A692" i="10"/>
  <c r="A691" i="10"/>
  <c r="A690" i="10"/>
  <c r="A689" i="10"/>
  <c r="A688" i="10"/>
  <c r="A687" i="10"/>
  <c r="A686" i="10"/>
  <c r="A685" i="10"/>
  <c r="A684" i="10"/>
  <c r="A683" i="10"/>
  <c r="A682" i="10"/>
  <c r="A681" i="10"/>
  <c r="A680" i="10"/>
  <c r="A679" i="10"/>
  <c r="A678" i="10"/>
  <c r="A677" i="10"/>
  <c r="A676" i="10"/>
  <c r="A675" i="10"/>
  <c r="A674" i="10"/>
  <c r="A673" i="10"/>
  <c r="A672" i="10"/>
  <c r="A671" i="10"/>
  <c r="A670" i="10"/>
  <c r="A669" i="10"/>
  <c r="A668" i="10"/>
  <c r="A667" i="10"/>
  <c r="A666" i="10"/>
  <c r="A665" i="10"/>
  <c r="A664" i="10"/>
  <c r="A663" i="10"/>
  <c r="A662" i="10"/>
  <c r="A661" i="10"/>
  <c r="A660" i="10"/>
  <c r="A659" i="10"/>
  <c r="A658" i="10"/>
  <c r="A657" i="10"/>
  <c r="A656" i="10"/>
  <c r="A655" i="10"/>
  <c r="A654" i="10"/>
  <c r="A653" i="10"/>
  <c r="A652" i="10"/>
  <c r="A651" i="10"/>
  <c r="A650" i="10"/>
  <c r="A649" i="10"/>
  <c r="A648" i="10"/>
  <c r="A647" i="10"/>
  <c r="A646" i="10"/>
  <c r="A645" i="10"/>
  <c r="A644" i="10"/>
  <c r="A643" i="10"/>
  <c r="A642" i="10"/>
  <c r="A641" i="10"/>
  <c r="A640" i="10"/>
  <c r="A639" i="10"/>
  <c r="A638" i="10"/>
  <c r="A637" i="10"/>
  <c r="A636" i="10"/>
  <c r="A635" i="10"/>
  <c r="A634" i="10"/>
  <c r="A633" i="10"/>
  <c r="A632" i="10"/>
  <c r="A631" i="10"/>
  <c r="A630" i="10"/>
  <c r="A629" i="10"/>
  <c r="A628" i="10"/>
  <c r="A627" i="10"/>
  <c r="A626" i="10"/>
  <c r="A625" i="10"/>
  <c r="A624" i="10"/>
  <c r="A623" i="10"/>
  <c r="A622" i="10"/>
  <c r="A621" i="10"/>
  <c r="A620" i="10"/>
  <c r="A619" i="10"/>
  <c r="A618" i="10"/>
  <c r="A617" i="10"/>
  <c r="A616" i="10"/>
  <c r="A615" i="10"/>
  <c r="A614" i="10"/>
  <c r="A613" i="10"/>
  <c r="A612" i="10"/>
  <c r="A611" i="10"/>
  <c r="A610" i="10"/>
  <c r="A609" i="10"/>
  <c r="A608" i="10"/>
  <c r="A607" i="10"/>
  <c r="A606" i="10"/>
  <c r="A605" i="10"/>
  <c r="A604" i="10"/>
  <c r="A603" i="10"/>
  <c r="A602" i="10"/>
  <c r="A601" i="10"/>
  <c r="A600" i="10"/>
  <c r="A599" i="10"/>
  <c r="A598" i="10"/>
  <c r="A597" i="10"/>
  <c r="A596" i="10"/>
  <c r="A595" i="10"/>
  <c r="A594" i="10"/>
  <c r="A593" i="10"/>
  <c r="A592" i="10"/>
  <c r="A591" i="10"/>
  <c r="A590" i="10"/>
  <c r="A589" i="10"/>
  <c r="A588" i="10"/>
  <c r="A587" i="10"/>
  <c r="A586" i="10"/>
  <c r="A585" i="10"/>
  <c r="A584" i="10"/>
  <c r="A583" i="10"/>
  <c r="A582" i="10"/>
  <c r="A581" i="10"/>
  <c r="A580" i="10"/>
  <c r="A579" i="10"/>
  <c r="A578" i="10"/>
  <c r="A577" i="10"/>
  <c r="A576" i="10"/>
  <c r="A575" i="10"/>
  <c r="A574" i="10"/>
  <c r="A573" i="10"/>
  <c r="A572" i="10"/>
  <c r="A571" i="10"/>
  <c r="A570" i="10"/>
  <c r="A569" i="10"/>
  <c r="A568" i="10"/>
  <c r="A567" i="10"/>
  <c r="A566" i="10"/>
  <c r="A565" i="10"/>
  <c r="A564" i="10"/>
  <c r="A563" i="10"/>
  <c r="A562" i="10"/>
  <c r="A561" i="10"/>
  <c r="A560" i="10"/>
  <c r="A559" i="10"/>
  <c r="A558" i="10"/>
  <c r="A557" i="10"/>
  <c r="A556" i="10"/>
  <c r="A555" i="10"/>
  <c r="A554" i="10"/>
  <c r="A553" i="10"/>
  <c r="A552" i="10"/>
  <c r="A551" i="10"/>
  <c r="A550" i="10"/>
  <c r="A549" i="10"/>
  <c r="A548" i="10"/>
  <c r="A547" i="10"/>
  <c r="A546" i="10"/>
  <c r="A545" i="10"/>
  <c r="A544" i="10"/>
  <c r="A543" i="10"/>
  <c r="A542" i="10"/>
  <c r="A541" i="10"/>
  <c r="A540" i="10"/>
  <c r="A539" i="10"/>
  <c r="A538" i="10"/>
  <c r="A537" i="10"/>
  <c r="A536" i="10"/>
  <c r="A535" i="10"/>
  <c r="A534" i="10"/>
  <c r="A533" i="10"/>
  <c r="A532" i="10"/>
  <c r="A531" i="10"/>
  <c r="A530" i="10"/>
  <c r="A529" i="10"/>
  <c r="A528" i="10"/>
  <c r="A527" i="10"/>
  <c r="A526" i="10"/>
  <c r="A525" i="10"/>
  <c r="A524" i="10"/>
  <c r="A523" i="10"/>
  <c r="A522" i="10"/>
  <c r="A521" i="10"/>
  <c r="A520" i="10"/>
  <c r="A519" i="10"/>
  <c r="A518" i="10"/>
  <c r="A517" i="10"/>
  <c r="A516" i="10"/>
  <c r="A515" i="10"/>
  <c r="A514" i="10"/>
  <c r="A513" i="10"/>
  <c r="A512" i="10"/>
  <c r="A511" i="10"/>
  <c r="A510" i="10"/>
  <c r="A509" i="10"/>
  <c r="A508" i="10"/>
  <c r="A507" i="10"/>
  <c r="A506" i="10"/>
  <c r="A505" i="10"/>
  <c r="A504" i="10"/>
  <c r="A503" i="10"/>
  <c r="A502" i="10"/>
  <c r="A501" i="10"/>
  <c r="A500" i="10"/>
  <c r="A499" i="10"/>
  <c r="A498" i="10"/>
  <c r="A497" i="10"/>
  <c r="A496" i="10"/>
  <c r="A495" i="10"/>
  <c r="A494" i="10"/>
  <c r="A493" i="10"/>
  <c r="A492" i="10"/>
  <c r="A491" i="10"/>
  <c r="A490" i="10"/>
  <c r="A489" i="10"/>
  <c r="A488" i="10"/>
  <c r="A487" i="10"/>
  <c r="A486" i="10"/>
  <c r="A485" i="10"/>
  <c r="A484" i="10"/>
  <c r="A483" i="10"/>
  <c r="A482" i="10"/>
  <c r="A481" i="10"/>
  <c r="A480" i="10"/>
  <c r="A479" i="10"/>
  <c r="A478" i="10"/>
  <c r="A477" i="10"/>
  <c r="A476" i="10"/>
  <c r="A475" i="10"/>
  <c r="A474" i="10"/>
  <c r="A473" i="10"/>
  <c r="A472" i="10"/>
  <c r="A471" i="10"/>
  <c r="A470" i="10"/>
  <c r="A469" i="10"/>
  <c r="A468" i="10"/>
  <c r="A467" i="10"/>
  <c r="A466" i="10"/>
  <c r="A465" i="10"/>
  <c r="A464" i="10"/>
  <c r="A463" i="10"/>
  <c r="A462" i="10"/>
  <c r="A461" i="10"/>
  <c r="A460" i="10"/>
  <c r="A459" i="10"/>
  <c r="A458" i="10"/>
  <c r="A457" i="10"/>
  <c r="A456" i="10"/>
  <c r="A455" i="10"/>
  <c r="A454" i="10"/>
  <c r="A453" i="10"/>
  <c r="A452" i="10"/>
  <c r="A451" i="10"/>
  <c r="A450" i="10"/>
  <c r="A449" i="10"/>
  <c r="A448" i="10"/>
  <c r="A447" i="10"/>
  <c r="A446" i="10"/>
  <c r="A445" i="10"/>
  <c r="A444" i="10"/>
  <c r="A443" i="10"/>
  <c r="A442" i="10"/>
  <c r="A441" i="10"/>
  <c r="A440" i="10"/>
  <c r="A439" i="10"/>
  <c r="A438" i="10"/>
  <c r="A437" i="10"/>
  <c r="A436" i="10"/>
  <c r="A435" i="10"/>
  <c r="A434" i="10"/>
  <c r="A433" i="10"/>
  <c r="A432" i="10"/>
  <c r="A431" i="10"/>
  <c r="A430" i="10"/>
  <c r="A429" i="10"/>
  <c r="A428" i="10"/>
  <c r="A427" i="10"/>
  <c r="A426" i="10"/>
  <c r="A425" i="10"/>
  <c r="A424" i="10"/>
  <c r="A423" i="10"/>
  <c r="A422" i="10"/>
  <c r="A421" i="10"/>
  <c r="A420" i="10"/>
  <c r="A419" i="10"/>
  <c r="A418" i="10"/>
  <c r="A417" i="10"/>
  <c r="A416" i="10"/>
  <c r="A415" i="10"/>
  <c r="A414" i="10"/>
  <c r="A413" i="10"/>
  <c r="A412" i="10"/>
  <c r="A411" i="10"/>
  <c r="A410" i="10"/>
  <c r="A409" i="10"/>
  <c r="A408" i="10"/>
  <c r="A407" i="10"/>
  <c r="A406" i="10"/>
  <c r="A405" i="10"/>
  <c r="A404" i="10"/>
  <c r="A403" i="10"/>
  <c r="A402" i="10"/>
  <c r="A401" i="10"/>
  <c r="A400" i="10"/>
  <c r="A399" i="10"/>
  <c r="A398" i="10"/>
  <c r="A397" i="10"/>
  <c r="A396" i="10"/>
  <c r="A395" i="10"/>
  <c r="A394" i="10"/>
  <c r="A393" i="10"/>
  <c r="A392" i="10"/>
  <c r="A391" i="10"/>
  <c r="A390" i="10"/>
  <c r="A389" i="10"/>
  <c r="A388" i="10"/>
  <c r="A387" i="10"/>
  <c r="A386" i="10"/>
  <c r="A385" i="10"/>
  <c r="A384" i="10"/>
  <c r="A383" i="10"/>
  <c r="A382" i="10"/>
  <c r="A381" i="10"/>
  <c r="A380" i="10"/>
  <c r="A379" i="10"/>
  <c r="A378" i="10"/>
  <c r="A377" i="10"/>
  <c r="A376" i="10"/>
  <c r="A375" i="10"/>
  <c r="A374" i="10"/>
  <c r="A373" i="10"/>
  <c r="A372" i="10"/>
  <c r="A371" i="10"/>
  <c r="A370" i="10"/>
  <c r="A369" i="10"/>
  <c r="A368" i="10"/>
  <c r="A367" i="10"/>
  <c r="A366" i="10"/>
  <c r="A365" i="10"/>
  <c r="A364" i="10"/>
  <c r="A363" i="10"/>
  <c r="A362" i="10"/>
  <c r="A361" i="10"/>
  <c r="A360" i="10"/>
  <c r="A359" i="10"/>
  <c r="A358" i="10"/>
  <c r="A357" i="10"/>
  <c r="A356" i="10"/>
  <c r="A355" i="10"/>
  <c r="A354" i="10"/>
  <c r="A353" i="10"/>
  <c r="A352" i="10"/>
  <c r="A351" i="10"/>
  <c r="A350" i="10"/>
  <c r="A349" i="10"/>
  <c r="A348" i="10"/>
  <c r="A347" i="10"/>
  <c r="A346" i="10"/>
  <c r="A345" i="10"/>
  <c r="A344" i="10"/>
  <c r="A343" i="10"/>
  <c r="A342" i="10"/>
  <c r="A341" i="10"/>
  <c r="A340" i="10"/>
  <c r="A339" i="10"/>
  <c r="A338" i="10"/>
  <c r="A337" i="10"/>
  <c r="A336" i="10"/>
  <c r="A335" i="10"/>
  <c r="A334" i="10"/>
  <c r="A333" i="10"/>
  <c r="A332" i="10"/>
  <c r="A331" i="10"/>
  <c r="A330" i="10"/>
  <c r="A329" i="10"/>
  <c r="A328" i="10"/>
  <c r="A327" i="10"/>
  <c r="A326" i="10"/>
  <c r="A325" i="10"/>
  <c r="A324" i="10"/>
  <c r="A323" i="10"/>
  <c r="A322" i="10"/>
  <c r="A321" i="10"/>
  <c r="A320" i="10"/>
  <c r="A319" i="10"/>
  <c r="A318" i="10"/>
  <c r="A317" i="10"/>
  <c r="A316" i="10"/>
  <c r="A315" i="10"/>
  <c r="A314" i="10"/>
  <c r="A313" i="10"/>
  <c r="A312" i="10"/>
  <c r="A311" i="10"/>
  <c r="A310" i="10"/>
  <c r="A309" i="10"/>
  <c r="A308" i="10"/>
  <c r="A307" i="10"/>
  <c r="A306" i="10"/>
  <c r="A305" i="10"/>
  <c r="A304" i="10"/>
  <c r="A303" i="10"/>
  <c r="A302" i="10"/>
  <c r="A301" i="10"/>
  <c r="A300" i="10"/>
  <c r="A299" i="10"/>
  <c r="A298" i="10"/>
  <c r="A297" i="10"/>
  <c r="A296" i="10"/>
  <c r="A295" i="10"/>
  <c r="A294" i="10"/>
  <c r="A293" i="10"/>
  <c r="A292" i="10"/>
  <c r="A291" i="10"/>
  <c r="A290" i="10"/>
  <c r="A289" i="10"/>
  <c r="A288" i="10"/>
  <c r="A287" i="10"/>
  <c r="A286" i="10"/>
  <c r="A285" i="10"/>
  <c r="A284" i="10"/>
  <c r="A283" i="10"/>
  <c r="A282" i="10"/>
  <c r="A281" i="10"/>
  <c r="A280" i="10"/>
  <c r="A279" i="10"/>
  <c r="A278" i="10"/>
  <c r="A277" i="10"/>
  <c r="A276" i="10"/>
  <c r="A275" i="10"/>
  <c r="A274" i="10"/>
  <c r="A273" i="10"/>
  <c r="A272" i="10"/>
  <c r="A271" i="10"/>
  <c r="A270" i="10"/>
  <c r="A269" i="10"/>
  <c r="A268" i="10"/>
  <c r="A267" i="10"/>
  <c r="A266" i="10"/>
  <c r="A265" i="10"/>
  <c r="A264" i="10"/>
  <c r="A263" i="10"/>
  <c r="A262" i="10"/>
  <c r="A261" i="10"/>
  <c r="A260" i="10"/>
  <c r="A259" i="10"/>
  <c r="A258" i="10"/>
  <c r="A257" i="10"/>
  <c r="A256" i="10"/>
  <c r="A255" i="10"/>
  <c r="A254" i="10"/>
  <c r="A253" i="10"/>
  <c r="A252" i="10"/>
  <c r="A251" i="10"/>
  <c r="A250" i="10"/>
  <c r="A249" i="10"/>
  <c r="A248" i="10"/>
  <c r="A247" i="10"/>
  <c r="A246" i="10"/>
  <c r="A245" i="10"/>
  <c r="A244" i="10"/>
  <c r="A243" i="10"/>
  <c r="A242" i="10"/>
  <c r="A241" i="10"/>
  <c r="A240" i="10"/>
  <c r="A239" i="10"/>
  <c r="A238" i="10"/>
  <c r="A237" i="10"/>
  <c r="A236" i="10"/>
  <c r="A235" i="10"/>
  <c r="A234" i="10"/>
  <c r="A233" i="10"/>
  <c r="A232" i="10"/>
  <c r="A231" i="10"/>
  <c r="A230" i="10"/>
  <c r="A229" i="10"/>
  <c r="A228" i="10"/>
  <c r="A227" i="10"/>
  <c r="A226" i="10"/>
  <c r="A225" i="10"/>
  <c r="A224" i="10"/>
  <c r="A223" i="10"/>
  <c r="A222" i="10"/>
  <c r="A221" i="10"/>
  <c r="A220" i="10"/>
  <c r="A219" i="10"/>
  <c r="A218" i="10"/>
  <c r="A217" i="10"/>
  <c r="A216" i="10"/>
  <c r="A215" i="10"/>
  <c r="A214" i="10"/>
  <c r="A213" i="10"/>
  <c r="A212" i="10"/>
  <c r="A211" i="10"/>
  <c r="A210" i="10"/>
  <c r="A209" i="10"/>
  <c r="A208" i="10"/>
  <c r="A207" i="10"/>
  <c r="A206" i="10"/>
  <c r="A205" i="10"/>
  <c r="A204" i="10"/>
  <c r="A203" i="10"/>
  <c r="A202" i="10"/>
  <c r="A201" i="10"/>
  <c r="A200" i="10"/>
  <c r="A199" i="10"/>
  <c r="A198" i="10"/>
  <c r="A197" i="10"/>
  <c r="A196" i="10"/>
  <c r="A195" i="10"/>
  <c r="A194" i="10"/>
  <c r="A193" i="10"/>
  <c r="A192" i="10"/>
  <c r="A191" i="10"/>
  <c r="A190" i="10"/>
  <c r="A189" i="10"/>
  <c r="A188" i="10"/>
  <c r="A187" i="10"/>
  <c r="A186" i="10"/>
  <c r="A185" i="10"/>
  <c r="A184" i="10"/>
  <c r="A183" i="10"/>
  <c r="A182" i="10"/>
  <c r="A181" i="10"/>
  <c r="A180" i="10"/>
  <c r="A179" i="10"/>
  <c r="A178" i="10"/>
  <c r="A177" i="10"/>
  <c r="A176" i="10"/>
  <c r="A175" i="10"/>
  <c r="A174" i="10"/>
  <c r="A173" i="10"/>
  <c r="A172" i="10"/>
  <c r="A171" i="10"/>
  <c r="A170" i="10"/>
  <c r="A169" i="10"/>
  <c r="A168" i="10"/>
  <c r="A167" i="10"/>
  <c r="A166" i="10"/>
  <c r="A165" i="10"/>
  <c r="A164" i="10"/>
  <c r="A163" i="10"/>
  <c r="A162" i="10"/>
  <c r="A161" i="10"/>
  <c r="A160" i="10"/>
  <c r="A159" i="10"/>
  <c r="A158" i="10"/>
  <c r="A157" i="10"/>
  <c r="A156" i="10"/>
  <c r="A155" i="10"/>
  <c r="A154" i="10"/>
  <c r="A153" i="10"/>
  <c r="A152" i="10"/>
  <c r="A151" i="10"/>
  <c r="A150" i="10"/>
  <c r="A149" i="10"/>
  <c r="A148" i="10"/>
  <c r="A147" i="10"/>
  <c r="A146" i="10"/>
  <c r="A145" i="10"/>
  <c r="A144" i="10"/>
  <c r="A143" i="10"/>
  <c r="A142" i="10"/>
  <c r="A141" i="10"/>
  <c r="A140" i="10"/>
  <c r="A139" i="10"/>
  <c r="A138" i="10"/>
  <c r="A137" i="10"/>
  <c r="A136" i="10"/>
  <c r="A135" i="10"/>
  <c r="A134" i="10"/>
  <c r="A133" i="10"/>
  <c r="A132" i="10"/>
  <c r="A131" i="10"/>
  <c r="A130" i="10"/>
  <c r="A129" i="10"/>
  <c r="A128" i="10"/>
  <c r="A127" i="10"/>
  <c r="A126" i="10"/>
  <c r="A125" i="10"/>
  <c r="A124" i="10"/>
  <c r="A123" i="10"/>
  <c r="A122" i="10"/>
  <c r="A121" i="10"/>
  <c r="A120" i="10"/>
  <c r="A119" i="10"/>
  <c r="A118" i="10"/>
  <c r="A117" i="10"/>
  <c r="A116" i="10"/>
  <c r="A115" i="10"/>
  <c r="A114" i="10"/>
  <c r="A113" i="10"/>
  <c r="A112" i="10"/>
  <c r="A111" i="10"/>
  <c r="A110" i="10"/>
  <c r="A109" i="10"/>
  <c r="A108" i="10"/>
  <c r="A107" i="10"/>
  <c r="A106" i="10"/>
  <c r="A105" i="10"/>
  <c r="A104" i="10"/>
  <c r="A103" i="10"/>
  <c r="A102" i="10"/>
  <c r="A101" i="10"/>
  <c r="A100" i="10"/>
  <c r="A99" i="10"/>
  <c r="A98" i="10"/>
  <c r="A97" i="10"/>
  <c r="A96" i="10"/>
  <c r="A95" i="10"/>
  <c r="A94" i="10"/>
  <c r="A93" i="10"/>
  <c r="A92" i="10"/>
  <c r="A91" i="10"/>
  <c r="A90" i="10"/>
  <c r="A89" i="10"/>
  <c r="A88" i="10"/>
  <c r="A87" i="10"/>
  <c r="A86" i="10"/>
  <c r="A85" i="10"/>
  <c r="A84" i="10"/>
  <c r="A83" i="10"/>
  <c r="A82" i="10"/>
  <c r="A81" i="10"/>
  <c r="A80" i="10"/>
  <c r="A79" i="10"/>
  <c r="A78" i="10"/>
  <c r="A77" i="10"/>
  <c r="A76" i="10"/>
  <c r="A75" i="10"/>
  <c r="A74" i="10"/>
  <c r="A73" i="10"/>
  <c r="A72" i="10"/>
  <c r="A71" i="10"/>
  <c r="A70" i="10"/>
  <c r="A69" i="10"/>
  <c r="A68" i="10"/>
  <c r="A67" i="10"/>
  <c r="A66" i="10"/>
  <c r="A65" i="10"/>
  <c r="A64" i="10"/>
  <c r="A63" i="10"/>
  <c r="A62" i="10"/>
  <c r="A61" i="10"/>
  <c r="A60" i="10"/>
  <c r="A59" i="10"/>
  <c r="A58" i="10"/>
  <c r="A57" i="10"/>
  <c r="A56" i="10"/>
  <c r="A55" i="10"/>
  <c r="A54" i="10"/>
  <c r="A53" i="10"/>
  <c r="A52" i="10"/>
  <c r="A51" i="10"/>
  <c r="A50" i="10"/>
  <c r="A49" i="10"/>
  <c r="A48" i="10"/>
  <c r="A47" i="10"/>
  <c r="A46" i="10"/>
  <c r="A45" i="10"/>
  <c r="A44" i="10"/>
  <c r="A43" i="10"/>
  <c r="A42" i="10"/>
  <c r="A41" i="10"/>
  <c r="A40" i="10"/>
  <c r="A39" i="10"/>
  <c r="A38" i="10"/>
  <c r="A37" i="10"/>
  <c r="A36" i="10"/>
  <c r="A35" i="10"/>
  <c r="A34" i="10"/>
  <c r="A33" i="10"/>
  <c r="A32" i="10"/>
  <c r="A31" i="10"/>
  <c r="A30" i="10"/>
  <c r="A29" i="10"/>
  <c r="A28" i="10"/>
  <c r="A27" i="10"/>
  <c r="A26" i="10"/>
  <c r="A25" i="10"/>
  <c r="A24" i="10"/>
  <c r="A23" i="10"/>
  <c r="A22" i="10"/>
  <c r="A21" i="10"/>
  <c r="A20" i="10"/>
  <c r="A19" i="10"/>
  <c r="A18" i="10"/>
  <c r="A17" i="10"/>
  <c r="A16" i="10"/>
  <c r="A15" i="10"/>
  <c r="A14" i="10"/>
  <c r="A13" i="10"/>
  <c r="A12" i="10"/>
  <c r="A11" i="10"/>
  <c r="A10" i="10"/>
  <c r="A9" i="10"/>
  <c r="A8" i="10"/>
  <c r="A7" i="10"/>
  <c r="A6" i="10"/>
  <c r="A5" i="10"/>
  <c r="A4" i="10"/>
  <c r="A3" i="10"/>
  <c r="A2" i="10"/>
  <c r="A26" i="9"/>
  <c r="A25" i="9"/>
  <c r="A24" i="9"/>
  <c r="A23" i="9"/>
  <c r="A22" i="9"/>
  <c r="A21" i="9"/>
  <c r="A20" i="9"/>
  <c r="A19" i="9"/>
  <c r="A18" i="9"/>
  <c r="A17" i="9"/>
  <c r="A16" i="9"/>
  <c r="A15" i="9"/>
  <c r="A14" i="9"/>
  <c r="A13" i="9"/>
  <c r="A12" i="9"/>
  <c r="A11" i="9"/>
  <c r="A10" i="9"/>
  <c r="A9" i="9"/>
  <c r="A8" i="9"/>
  <c r="A7" i="9"/>
  <c r="A6" i="9"/>
  <c r="A5" i="9"/>
  <c r="A4" i="9"/>
  <c r="A3" i="9"/>
  <c r="A2" i="9"/>
  <c r="A1409" i="8"/>
  <c r="A1408" i="8"/>
  <c r="A1407" i="8"/>
  <c r="A1406" i="8"/>
  <c r="A1405" i="8"/>
  <c r="A1404" i="8"/>
  <c r="A1403" i="8"/>
  <c r="A1402" i="8"/>
  <c r="A1401" i="8"/>
  <c r="A1400" i="8"/>
  <c r="A1399" i="8"/>
  <c r="A1398" i="8"/>
  <c r="A1397" i="8"/>
  <c r="A1396" i="8"/>
  <c r="A1395" i="8"/>
  <c r="A1394" i="8"/>
  <c r="A1393" i="8"/>
  <c r="A1392" i="8"/>
  <c r="A1391" i="8"/>
  <c r="A1390" i="8"/>
  <c r="A1389" i="8"/>
  <c r="A1388" i="8"/>
  <c r="A1387" i="8"/>
  <c r="A1386" i="8"/>
  <c r="A1385" i="8"/>
  <c r="A1384" i="8"/>
  <c r="A1383" i="8"/>
  <c r="A1382" i="8"/>
  <c r="A1381" i="8"/>
  <c r="A1380" i="8"/>
  <c r="A1379" i="8"/>
  <c r="A1378" i="8"/>
  <c r="A1377" i="8"/>
  <c r="A1376" i="8"/>
  <c r="A1375" i="8"/>
  <c r="A1374" i="8"/>
  <c r="A1373" i="8"/>
  <c r="A1372" i="8"/>
  <c r="A1371" i="8"/>
  <c r="A1370" i="8"/>
  <c r="A1369" i="8"/>
  <c r="A1368" i="8"/>
  <c r="A1367" i="8"/>
  <c r="A1366" i="8"/>
  <c r="A1365" i="8"/>
  <c r="A1364" i="8"/>
  <c r="A1363" i="8"/>
  <c r="A1362" i="8"/>
  <c r="A1361" i="8"/>
  <c r="A1360" i="8"/>
  <c r="A1359" i="8"/>
  <c r="A1358" i="8"/>
  <c r="A1357" i="8"/>
  <c r="A1356" i="8"/>
  <c r="A1355" i="8"/>
  <c r="A1354" i="8"/>
  <c r="A1353" i="8"/>
  <c r="A1352" i="8"/>
  <c r="A1351" i="8"/>
  <c r="A1350" i="8"/>
  <c r="A1349" i="8"/>
  <c r="A1348" i="8"/>
  <c r="A1347" i="8"/>
  <c r="A1346" i="8"/>
  <c r="A1345" i="8"/>
  <c r="A1344" i="8"/>
  <c r="A1343" i="8"/>
  <c r="A1342" i="8"/>
  <c r="A1341" i="8"/>
  <c r="A1340" i="8"/>
  <c r="A1339" i="8"/>
  <c r="A1338" i="8"/>
  <c r="A1337" i="8"/>
  <c r="A1336" i="8"/>
  <c r="A1335" i="8"/>
  <c r="A1334" i="8"/>
  <c r="A1333" i="8"/>
  <c r="A1332" i="8"/>
  <c r="A1331" i="8"/>
  <c r="A1330" i="8"/>
  <c r="A1329" i="8"/>
  <c r="A1328" i="8"/>
  <c r="A1327" i="8"/>
  <c r="A1326" i="8"/>
  <c r="A1325" i="8"/>
  <c r="A1324" i="8"/>
  <c r="A1323" i="8"/>
  <c r="A1322" i="8"/>
  <c r="A1321" i="8"/>
  <c r="A1320" i="8"/>
  <c r="A1319" i="8"/>
  <c r="A1318" i="8"/>
  <c r="A1317" i="8"/>
  <c r="A1316" i="8"/>
  <c r="A1315" i="8"/>
  <c r="A1314" i="8"/>
  <c r="A1313" i="8"/>
  <c r="A1312" i="8"/>
  <c r="A1311" i="8"/>
  <c r="A1310" i="8"/>
  <c r="A1309" i="8"/>
  <c r="A1308" i="8"/>
  <c r="A1307" i="8"/>
  <c r="A1306" i="8"/>
  <c r="A1305" i="8"/>
  <c r="A1304" i="8"/>
  <c r="A1303" i="8"/>
  <c r="A1302" i="8"/>
  <c r="A1301" i="8"/>
  <c r="A1300" i="8"/>
  <c r="A1299" i="8"/>
  <c r="A1298" i="8"/>
  <c r="A1297" i="8"/>
  <c r="A1296" i="8"/>
  <c r="A1295" i="8"/>
  <c r="A1294" i="8"/>
  <c r="A1293" i="8"/>
  <c r="A1292" i="8"/>
  <c r="A1291" i="8"/>
  <c r="A1290" i="8"/>
  <c r="A1289" i="8"/>
  <c r="A1288" i="8"/>
  <c r="A1287" i="8"/>
  <c r="A1286" i="8"/>
  <c r="A1285" i="8"/>
  <c r="A1284" i="8"/>
  <c r="A1283" i="8"/>
  <c r="A1282" i="8"/>
  <c r="A1281" i="8"/>
  <c r="A1280" i="8"/>
  <c r="A1279" i="8"/>
  <c r="A1278" i="8"/>
  <c r="A1277" i="8"/>
  <c r="A1276" i="8"/>
  <c r="A1275" i="8"/>
  <c r="A1274" i="8"/>
  <c r="A1273" i="8"/>
  <c r="A1272" i="8"/>
  <c r="A1271" i="8"/>
  <c r="A1270" i="8"/>
  <c r="A1269" i="8"/>
  <c r="A1268" i="8"/>
  <c r="A1267" i="8"/>
  <c r="A1266" i="8"/>
  <c r="A1265" i="8"/>
  <c r="A1264" i="8"/>
  <c r="A1263" i="8"/>
  <c r="A1262" i="8"/>
  <c r="A1261" i="8"/>
  <c r="A1260" i="8"/>
  <c r="A1259" i="8"/>
  <c r="A1258" i="8"/>
  <c r="A1257" i="8"/>
  <c r="A1256" i="8"/>
  <c r="A1255" i="8"/>
  <c r="A1254" i="8"/>
  <c r="A1253" i="8"/>
  <c r="A1252" i="8"/>
  <c r="A1251" i="8"/>
  <c r="A1250" i="8"/>
  <c r="A1249" i="8"/>
  <c r="A1248" i="8"/>
  <c r="A1247" i="8"/>
  <c r="A1246" i="8"/>
  <c r="A1245" i="8"/>
  <c r="A1244" i="8"/>
  <c r="A1243" i="8"/>
  <c r="A1242" i="8"/>
  <c r="A1241" i="8"/>
  <c r="A1240" i="8"/>
  <c r="A1239" i="8"/>
  <c r="A1238" i="8"/>
  <c r="A1237" i="8"/>
  <c r="A1236" i="8"/>
  <c r="A1235" i="8"/>
  <c r="A1234" i="8"/>
  <c r="A1233" i="8"/>
  <c r="A1232" i="8"/>
  <c r="A1231" i="8"/>
  <c r="A1230" i="8"/>
  <c r="A1229" i="8"/>
  <c r="A1228" i="8"/>
  <c r="A1227" i="8"/>
  <c r="A1226" i="8"/>
  <c r="A1225" i="8"/>
  <c r="A1224" i="8"/>
  <c r="A1223" i="8"/>
  <c r="A1222" i="8"/>
  <c r="A1221" i="8"/>
  <c r="A1220" i="8"/>
  <c r="A1219" i="8"/>
  <c r="A1218" i="8"/>
  <c r="A1217" i="8"/>
  <c r="A1216" i="8"/>
  <c r="A1215" i="8"/>
  <c r="A1214" i="8"/>
  <c r="A1213" i="8"/>
  <c r="A1212" i="8"/>
  <c r="A1211" i="8"/>
  <c r="A1210" i="8"/>
  <c r="A1209" i="8"/>
  <c r="A1208" i="8"/>
  <c r="A1207" i="8"/>
  <c r="A1206" i="8"/>
  <c r="A1205" i="8"/>
  <c r="A1204" i="8"/>
  <c r="A1203" i="8"/>
  <c r="A1202" i="8"/>
  <c r="A1201" i="8"/>
  <c r="A1200" i="8"/>
  <c r="A1199" i="8"/>
  <c r="A1198" i="8"/>
  <c r="A1197" i="8"/>
  <c r="A1196" i="8"/>
  <c r="A1195" i="8"/>
  <c r="A1194" i="8"/>
  <c r="A1193" i="8"/>
  <c r="A1192" i="8"/>
  <c r="A1191" i="8"/>
  <c r="A1190" i="8"/>
  <c r="A1189" i="8"/>
  <c r="A1188" i="8"/>
  <c r="A1187" i="8"/>
  <c r="A1186" i="8"/>
  <c r="A1185" i="8"/>
  <c r="A1184" i="8"/>
  <c r="A1183" i="8"/>
  <c r="A1182" i="8"/>
  <c r="A1181" i="8"/>
  <c r="A1180" i="8"/>
  <c r="A1179" i="8"/>
  <c r="A1178" i="8"/>
  <c r="A1177" i="8"/>
  <c r="A1176" i="8"/>
  <c r="A1175" i="8"/>
  <c r="A1174" i="8"/>
  <c r="A1173" i="8"/>
  <c r="A1172" i="8"/>
  <c r="A1171" i="8"/>
  <c r="A1170" i="8"/>
  <c r="A1169" i="8"/>
  <c r="A1168" i="8"/>
  <c r="A1167" i="8"/>
  <c r="A1166" i="8"/>
  <c r="A1165" i="8"/>
  <c r="A1164" i="8"/>
  <c r="A1163" i="8"/>
  <c r="A1162" i="8"/>
  <c r="A1161" i="8"/>
  <c r="A1160" i="8"/>
  <c r="A1159" i="8"/>
  <c r="A1158" i="8"/>
  <c r="A1157" i="8"/>
  <c r="A1156" i="8"/>
  <c r="A1155" i="8"/>
  <c r="A1154" i="8"/>
  <c r="A1153" i="8"/>
  <c r="A1152" i="8"/>
  <c r="A1151" i="8"/>
  <c r="A1150" i="8"/>
  <c r="A1149" i="8"/>
  <c r="A1148" i="8"/>
  <c r="A1147" i="8"/>
  <c r="A1146" i="8"/>
  <c r="A1145" i="8"/>
  <c r="A1144" i="8"/>
  <c r="A1143" i="8"/>
  <c r="A1142" i="8"/>
  <c r="A1141" i="8"/>
  <c r="A1140" i="8"/>
  <c r="A1139" i="8"/>
  <c r="A1138" i="8"/>
  <c r="A1137" i="8"/>
  <c r="A1136" i="8"/>
  <c r="A1135" i="8"/>
  <c r="A1134" i="8"/>
  <c r="A1133" i="8"/>
  <c r="A1132" i="8"/>
  <c r="A1131" i="8"/>
  <c r="A1130" i="8"/>
  <c r="A1129" i="8"/>
  <c r="A1128" i="8"/>
  <c r="A1127" i="8"/>
  <c r="A1126" i="8"/>
  <c r="A1125" i="8"/>
  <c r="A1124" i="8"/>
  <c r="A1123" i="8"/>
  <c r="A1122" i="8"/>
  <c r="A1121" i="8"/>
  <c r="A1120" i="8"/>
  <c r="A1119" i="8"/>
  <c r="A1118" i="8"/>
  <c r="A1117" i="8"/>
  <c r="A1116" i="8"/>
  <c r="A1115" i="8"/>
  <c r="A1114" i="8"/>
  <c r="A1113" i="8"/>
  <c r="A1112" i="8"/>
  <c r="A1111" i="8"/>
  <c r="A1110" i="8"/>
  <c r="A1109" i="8"/>
  <c r="A1108" i="8"/>
  <c r="A1107" i="8"/>
  <c r="A1106" i="8"/>
  <c r="A1105" i="8"/>
  <c r="A1104" i="8"/>
  <c r="A1103" i="8"/>
  <c r="A1102" i="8"/>
  <c r="A1101" i="8"/>
  <c r="A1100" i="8"/>
  <c r="A1099" i="8"/>
  <c r="A1098" i="8"/>
  <c r="A1097" i="8"/>
  <c r="A1096" i="8"/>
  <c r="A1095" i="8"/>
  <c r="A1094" i="8"/>
  <c r="A1093" i="8"/>
  <c r="A1092" i="8"/>
  <c r="A1091" i="8"/>
  <c r="A1090" i="8"/>
  <c r="A1089" i="8"/>
  <c r="A1088" i="8"/>
  <c r="A1087" i="8"/>
  <c r="A1086" i="8"/>
  <c r="A1085" i="8"/>
  <c r="A1084" i="8"/>
  <c r="A1083" i="8"/>
  <c r="A1082" i="8"/>
  <c r="A1081" i="8"/>
  <c r="A1080" i="8"/>
  <c r="A1079" i="8"/>
  <c r="A1078" i="8"/>
  <c r="A1077" i="8"/>
  <c r="A1076" i="8"/>
  <c r="A1075" i="8"/>
  <c r="A1074" i="8"/>
  <c r="A1073" i="8"/>
  <c r="A1072" i="8"/>
  <c r="A1071" i="8"/>
  <c r="A1070" i="8"/>
  <c r="A1069" i="8"/>
  <c r="A1068" i="8"/>
  <c r="A1067" i="8"/>
  <c r="A1066" i="8"/>
  <c r="A1065" i="8"/>
  <c r="A1064" i="8"/>
  <c r="A1063" i="8"/>
  <c r="A1062" i="8"/>
  <c r="A1061" i="8"/>
  <c r="A1060" i="8"/>
  <c r="A1059" i="8"/>
  <c r="A1058" i="8"/>
  <c r="A1057" i="8"/>
  <c r="A1056" i="8"/>
  <c r="A1055" i="8"/>
  <c r="A1054" i="8"/>
  <c r="A1053" i="8"/>
  <c r="A1052" i="8"/>
  <c r="A1051" i="8"/>
  <c r="A1050" i="8"/>
  <c r="A1049" i="8"/>
  <c r="A1048" i="8"/>
  <c r="A1047" i="8"/>
  <c r="A1046" i="8"/>
  <c r="A1045" i="8"/>
  <c r="A1044" i="8"/>
  <c r="A1043" i="8"/>
  <c r="A1042" i="8"/>
  <c r="A1041" i="8"/>
  <c r="A1040" i="8"/>
  <c r="A1039" i="8"/>
  <c r="A1038" i="8"/>
  <c r="A1037" i="8"/>
  <c r="A1036" i="8"/>
  <c r="A1035" i="8"/>
  <c r="A1034" i="8"/>
  <c r="A1033" i="8"/>
  <c r="A1032" i="8"/>
  <c r="A1031" i="8"/>
  <c r="A1030" i="8"/>
  <c r="A1029" i="8"/>
  <c r="A1028" i="8"/>
  <c r="A1027" i="8"/>
  <c r="A1026" i="8"/>
  <c r="A1025" i="8"/>
  <c r="A1024" i="8"/>
  <c r="A1023" i="8"/>
  <c r="A1022" i="8"/>
  <c r="A1021" i="8"/>
  <c r="A1020" i="8"/>
  <c r="A1019" i="8"/>
  <c r="A1018" i="8"/>
  <c r="A1017" i="8"/>
  <c r="A1016" i="8"/>
  <c r="A1015" i="8"/>
  <c r="A1014" i="8"/>
  <c r="A1013" i="8"/>
  <c r="A1012" i="8"/>
  <c r="A1011" i="8"/>
  <c r="A1010" i="8"/>
  <c r="A1009" i="8"/>
  <c r="A1008" i="8"/>
  <c r="A1007" i="8"/>
  <c r="A1006" i="8"/>
  <c r="A1005" i="8"/>
  <c r="A1004" i="8"/>
  <c r="A1003" i="8"/>
  <c r="A1002" i="8"/>
  <c r="A1001" i="8"/>
  <c r="A1000" i="8"/>
  <c r="A999" i="8"/>
  <c r="A998" i="8"/>
  <c r="A997" i="8"/>
  <c r="A996" i="8"/>
  <c r="A995" i="8"/>
  <c r="A994" i="8"/>
  <c r="A993" i="8"/>
  <c r="A992" i="8"/>
  <c r="A991" i="8"/>
  <c r="A990" i="8"/>
  <c r="A989" i="8"/>
  <c r="A988" i="8"/>
  <c r="A987" i="8"/>
  <c r="A986" i="8"/>
  <c r="A985" i="8"/>
  <c r="A984" i="8"/>
  <c r="A983" i="8"/>
  <c r="A982" i="8"/>
  <c r="A981" i="8"/>
  <c r="A980" i="8"/>
  <c r="A979" i="8"/>
  <c r="A978" i="8"/>
  <c r="A977" i="8"/>
  <c r="A976" i="8"/>
  <c r="A975" i="8"/>
  <c r="A974" i="8"/>
  <c r="A973" i="8"/>
  <c r="A972" i="8"/>
  <c r="A971" i="8"/>
  <c r="A970" i="8"/>
  <c r="A969" i="8"/>
  <c r="A968" i="8"/>
  <c r="A967" i="8"/>
  <c r="A966" i="8"/>
  <c r="A965" i="8"/>
  <c r="A964" i="8"/>
  <c r="A963" i="8"/>
  <c r="A962" i="8"/>
  <c r="A961" i="8"/>
  <c r="A960" i="8"/>
  <c r="A959" i="8"/>
  <c r="A958" i="8"/>
  <c r="A957" i="8"/>
  <c r="A956" i="8"/>
  <c r="A955" i="8"/>
  <c r="A954" i="8"/>
  <c r="A953" i="8"/>
  <c r="A952" i="8"/>
  <c r="A951" i="8"/>
  <c r="A950" i="8"/>
  <c r="A949" i="8"/>
  <c r="A948" i="8"/>
  <c r="A947" i="8"/>
  <c r="A946" i="8"/>
  <c r="A945" i="8"/>
  <c r="A944" i="8"/>
  <c r="A943" i="8"/>
  <c r="A942" i="8"/>
  <c r="A941" i="8"/>
  <c r="A940" i="8"/>
  <c r="A939" i="8"/>
  <c r="A938" i="8"/>
  <c r="A937" i="8"/>
  <c r="A936" i="8"/>
  <c r="A935" i="8"/>
  <c r="A934" i="8"/>
  <c r="A933" i="8"/>
  <c r="A932" i="8"/>
  <c r="A931" i="8"/>
  <c r="A930" i="8"/>
  <c r="A929" i="8"/>
  <c r="A928" i="8"/>
  <c r="A927" i="8"/>
  <c r="A926" i="8"/>
  <c r="A925" i="8"/>
  <c r="A924" i="8"/>
  <c r="A923" i="8"/>
  <c r="A922" i="8"/>
  <c r="A921" i="8"/>
  <c r="A920" i="8"/>
  <c r="A919" i="8"/>
  <c r="A918" i="8"/>
  <c r="A917" i="8"/>
  <c r="A916" i="8"/>
  <c r="A915" i="8"/>
  <c r="A914" i="8"/>
  <c r="A913" i="8"/>
  <c r="A912" i="8"/>
  <c r="A911" i="8"/>
  <c r="A910" i="8"/>
  <c r="A909" i="8"/>
  <c r="A908" i="8"/>
  <c r="A907" i="8"/>
  <c r="A906" i="8"/>
  <c r="A905" i="8"/>
  <c r="A904" i="8"/>
  <c r="A903" i="8"/>
  <c r="A902" i="8"/>
  <c r="A901" i="8"/>
  <c r="A900" i="8"/>
  <c r="A899" i="8"/>
  <c r="A898" i="8"/>
  <c r="A897" i="8"/>
  <c r="A896" i="8"/>
  <c r="A895" i="8"/>
  <c r="A894" i="8"/>
  <c r="A893" i="8"/>
  <c r="A892" i="8"/>
  <c r="A891" i="8"/>
  <c r="A890" i="8"/>
  <c r="A889" i="8"/>
  <c r="A888" i="8"/>
  <c r="A887" i="8"/>
  <c r="A886" i="8"/>
  <c r="A885" i="8"/>
  <c r="A884" i="8"/>
  <c r="A883" i="8"/>
  <c r="A882" i="8"/>
  <c r="A881" i="8"/>
  <c r="A880" i="8"/>
  <c r="A879" i="8"/>
  <c r="A878" i="8"/>
  <c r="A877" i="8"/>
  <c r="A876" i="8"/>
  <c r="A875" i="8"/>
  <c r="A874" i="8"/>
  <c r="A873" i="8"/>
  <c r="A872" i="8"/>
  <c r="A871" i="8"/>
  <c r="A870" i="8"/>
  <c r="A869" i="8"/>
  <c r="A868" i="8"/>
  <c r="A867" i="8"/>
  <c r="A866" i="8"/>
  <c r="A865" i="8"/>
  <c r="A864" i="8"/>
  <c r="A863" i="8"/>
  <c r="A862" i="8"/>
  <c r="A861" i="8"/>
  <c r="A860" i="8"/>
  <c r="A859" i="8"/>
  <c r="A858" i="8"/>
  <c r="A857" i="8"/>
  <c r="A856" i="8"/>
  <c r="A855" i="8"/>
  <c r="A854" i="8"/>
  <c r="A853" i="8"/>
  <c r="A852" i="8"/>
  <c r="A851" i="8"/>
  <c r="A850" i="8"/>
  <c r="A849" i="8"/>
  <c r="A848" i="8"/>
  <c r="A847" i="8"/>
  <c r="A846" i="8"/>
  <c r="A845" i="8"/>
  <c r="A844" i="8"/>
  <c r="A843" i="8"/>
  <c r="A842" i="8"/>
  <c r="A841" i="8"/>
  <c r="A840" i="8"/>
  <c r="A839" i="8"/>
  <c r="A838" i="8"/>
  <c r="A837" i="8"/>
  <c r="A836" i="8"/>
  <c r="A835" i="8"/>
  <c r="A834" i="8"/>
  <c r="A833" i="8"/>
  <c r="A832" i="8"/>
  <c r="A831" i="8"/>
  <c r="A830" i="8"/>
  <c r="A829" i="8"/>
  <c r="A828" i="8"/>
  <c r="A827" i="8"/>
  <c r="A826" i="8"/>
  <c r="A825" i="8"/>
  <c r="A824" i="8"/>
  <c r="A823" i="8"/>
  <c r="A822" i="8"/>
  <c r="A821" i="8"/>
  <c r="A820" i="8"/>
  <c r="A819" i="8"/>
  <c r="A818" i="8"/>
  <c r="A817" i="8"/>
  <c r="A816" i="8"/>
  <c r="A815" i="8"/>
  <c r="A814" i="8"/>
  <c r="A813" i="8"/>
  <c r="A812" i="8"/>
  <c r="A811" i="8"/>
  <c r="A810" i="8"/>
  <c r="A809" i="8"/>
  <c r="A808" i="8"/>
  <c r="A807" i="8"/>
  <c r="A806" i="8"/>
  <c r="A805" i="8"/>
  <c r="A804" i="8"/>
  <c r="A803" i="8"/>
  <c r="A802" i="8"/>
  <c r="A801" i="8"/>
  <c r="A800" i="8"/>
  <c r="A799" i="8"/>
  <c r="A798" i="8"/>
  <c r="A797" i="8"/>
  <c r="A796" i="8"/>
  <c r="A795" i="8"/>
  <c r="A794" i="8"/>
  <c r="A793" i="8"/>
  <c r="A792" i="8"/>
  <c r="A791" i="8"/>
  <c r="A790" i="8"/>
  <c r="A789" i="8"/>
  <c r="A788" i="8"/>
  <c r="A787" i="8"/>
  <c r="A786" i="8"/>
  <c r="A785" i="8"/>
  <c r="A784" i="8"/>
  <c r="A783" i="8"/>
  <c r="A782" i="8"/>
  <c r="A781" i="8"/>
  <c r="A780" i="8"/>
  <c r="A779" i="8"/>
  <c r="A778" i="8"/>
  <c r="A777" i="8"/>
  <c r="A776" i="8"/>
  <c r="A775" i="8"/>
  <c r="A774" i="8"/>
  <c r="A773" i="8"/>
  <c r="A772" i="8"/>
  <c r="A771" i="8"/>
  <c r="A770" i="8"/>
  <c r="A769" i="8"/>
  <c r="A768" i="8"/>
  <c r="A767" i="8"/>
  <c r="A766" i="8"/>
  <c r="A765" i="8"/>
  <c r="A764" i="8"/>
  <c r="A763" i="8"/>
  <c r="A762" i="8"/>
  <c r="A761" i="8"/>
  <c r="A760" i="8"/>
  <c r="A759" i="8"/>
  <c r="A758" i="8"/>
  <c r="A757" i="8"/>
  <c r="A756" i="8"/>
  <c r="A755" i="8"/>
  <c r="A754" i="8"/>
  <c r="A753" i="8"/>
  <c r="A752" i="8"/>
  <c r="A751" i="8"/>
  <c r="A750" i="8"/>
  <c r="A749" i="8"/>
  <c r="A748" i="8"/>
  <c r="A747" i="8"/>
  <c r="A746" i="8"/>
  <c r="A745" i="8"/>
  <c r="A744" i="8"/>
  <c r="A743" i="8"/>
  <c r="A742" i="8"/>
  <c r="A741" i="8"/>
  <c r="A740" i="8"/>
  <c r="A739" i="8"/>
  <c r="A738" i="8"/>
  <c r="A737" i="8"/>
  <c r="A736" i="8"/>
  <c r="A735" i="8"/>
  <c r="A734" i="8"/>
  <c r="A733" i="8"/>
  <c r="A732" i="8"/>
  <c r="A731" i="8"/>
  <c r="A730" i="8"/>
  <c r="A729" i="8"/>
  <c r="A728" i="8"/>
  <c r="A727" i="8"/>
  <c r="A726" i="8"/>
  <c r="A725" i="8"/>
  <c r="A724" i="8"/>
  <c r="A723" i="8"/>
  <c r="A722" i="8"/>
  <c r="A721" i="8"/>
  <c r="A720" i="8"/>
  <c r="A719" i="8"/>
  <c r="A718" i="8"/>
  <c r="A717" i="8"/>
  <c r="A716" i="8"/>
  <c r="A715" i="8"/>
  <c r="A714" i="8"/>
  <c r="A713" i="8"/>
  <c r="A712" i="8"/>
  <c r="A711" i="8"/>
  <c r="A710" i="8"/>
  <c r="A709" i="8"/>
  <c r="A708" i="8"/>
  <c r="A707" i="8"/>
  <c r="A706" i="8"/>
  <c r="A705" i="8"/>
  <c r="A704" i="8"/>
  <c r="A703" i="8"/>
  <c r="A702" i="8"/>
  <c r="A701" i="8"/>
  <c r="A700" i="8"/>
  <c r="A699" i="8"/>
  <c r="A698" i="8"/>
  <c r="A697" i="8"/>
  <c r="A696" i="8"/>
  <c r="A695" i="8"/>
  <c r="A694" i="8"/>
  <c r="A693" i="8"/>
  <c r="A692" i="8"/>
  <c r="A691" i="8"/>
  <c r="A690" i="8"/>
  <c r="A689" i="8"/>
  <c r="A688" i="8"/>
  <c r="A687" i="8"/>
  <c r="A686" i="8"/>
  <c r="A685" i="8"/>
  <c r="A684" i="8"/>
  <c r="A683" i="8"/>
  <c r="A682" i="8"/>
  <c r="A681" i="8"/>
  <c r="A680" i="8"/>
  <c r="A679" i="8"/>
  <c r="A678" i="8"/>
  <c r="A677" i="8"/>
  <c r="A676" i="8"/>
  <c r="A675" i="8"/>
  <c r="A674" i="8"/>
  <c r="A673" i="8"/>
  <c r="A672" i="8"/>
  <c r="A671" i="8"/>
  <c r="A670" i="8"/>
  <c r="A669" i="8"/>
  <c r="A668" i="8"/>
  <c r="A667" i="8"/>
  <c r="A666" i="8"/>
  <c r="A665" i="8"/>
  <c r="A664" i="8"/>
  <c r="A663" i="8"/>
  <c r="A662" i="8"/>
  <c r="A661" i="8"/>
  <c r="A660" i="8"/>
  <c r="A659" i="8"/>
  <c r="A658" i="8"/>
  <c r="A657" i="8"/>
  <c r="A656" i="8"/>
  <c r="A655" i="8"/>
  <c r="A654" i="8"/>
  <c r="A653" i="8"/>
  <c r="A652" i="8"/>
  <c r="A651" i="8"/>
  <c r="A650" i="8"/>
  <c r="A649" i="8"/>
  <c r="A648" i="8"/>
  <c r="A647" i="8"/>
  <c r="A646" i="8"/>
  <c r="A645" i="8"/>
  <c r="A644" i="8"/>
  <c r="A643" i="8"/>
  <c r="A642" i="8"/>
  <c r="A641" i="8"/>
  <c r="A640" i="8"/>
  <c r="A639" i="8"/>
  <c r="A638" i="8"/>
  <c r="A637" i="8"/>
  <c r="A636" i="8"/>
  <c r="A635" i="8"/>
  <c r="A634" i="8"/>
  <c r="A633" i="8"/>
  <c r="A632" i="8"/>
  <c r="A631" i="8"/>
  <c r="A630" i="8"/>
  <c r="A629" i="8"/>
  <c r="A628" i="8"/>
  <c r="A627" i="8"/>
  <c r="A626" i="8"/>
  <c r="A625" i="8"/>
  <c r="A624" i="8"/>
  <c r="A623" i="8"/>
  <c r="A622" i="8"/>
  <c r="A621" i="8"/>
  <c r="A620" i="8"/>
  <c r="A619" i="8"/>
  <c r="A618" i="8"/>
  <c r="A617" i="8"/>
  <c r="A616" i="8"/>
  <c r="A615" i="8"/>
  <c r="A614" i="8"/>
  <c r="A613" i="8"/>
  <c r="A612" i="8"/>
  <c r="A611" i="8"/>
  <c r="A610" i="8"/>
  <c r="A609" i="8"/>
  <c r="A608" i="8"/>
  <c r="A607" i="8"/>
  <c r="A606" i="8"/>
  <c r="A605" i="8"/>
  <c r="A604" i="8"/>
  <c r="A603" i="8"/>
  <c r="A602" i="8"/>
  <c r="A601" i="8"/>
  <c r="A600" i="8"/>
  <c r="A599" i="8"/>
  <c r="A598" i="8"/>
  <c r="A597" i="8"/>
  <c r="A596" i="8"/>
  <c r="A595" i="8"/>
  <c r="A594" i="8"/>
  <c r="A593" i="8"/>
  <c r="A592" i="8"/>
  <c r="A591" i="8"/>
  <c r="A590" i="8"/>
  <c r="A589" i="8"/>
  <c r="A588" i="8"/>
  <c r="A587" i="8"/>
  <c r="A586" i="8"/>
  <c r="A585" i="8"/>
  <c r="A584" i="8"/>
  <c r="A583" i="8"/>
  <c r="A582" i="8"/>
  <c r="A581" i="8"/>
  <c r="A580" i="8"/>
  <c r="A579" i="8"/>
  <c r="A578" i="8"/>
  <c r="A577" i="8"/>
  <c r="A576" i="8"/>
  <c r="A575" i="8"/>
  <c r="A574" i="8"/>
  <c r="A573" i="8"/>
  <c r="A572" i="8"/>
  <c r="A571" i="8"/>
  <c r="A570" i="8"/>
  <c r="A569" i="8"/>
  <c r="A568" i="8"/>
  <c r="A567" i="8"/>
  <c r="A566" i="8"/>
  <c r="A565" i="8"/>
  <c r="A564" i="8"/>
  <c r="A563" i="8"/>
  <c r="A562" i="8"/>
  <c r="A561" i="8"/>
  <c r="A560" i="8"/>
  <c r="A559" i="8"/>
  <c r="A558" i="8"/>
  <c r="A557" i="8"/>
  <c r="A556" i="8"/>
  <c r="A555" i="8"/>
  <c r="A554" i="8"/>
  <c r="A553" i="8"/>
  <c r="A552" i="8"/>
  <c r="A551" i="8"/>
  <c r="A550" i="8"/>
  <c r="A549" i="8"/>
  <c r="A548" i="8"/>
  <c r="A547" i="8"/>
  <c r="A546" i="8"/>
  <c r="A545" i="8"/>
  <c r="A544" i="8"/>
  <c r="A543" i="8"/>
  <c r="A542" i="8"/>
  <c r="A541" i="8"/>
  <c r="A540" i="8"/>
  <c r="A539" i="8"/>
  <c r="A538" i="8"/>
  <c r="A537" i="8"/>
  <c r="A536" i="8"/>
  <c r="A535" i="8"/>
  <c r="A534" i="8"/>
  <c r="A533" i="8"/>
  <c r="A532" i="8"/>
  <c r="A531" i="8"/>
  <c r="A530" i="8"/>
  <c r="A529" i="8"/>
  <c r="A528" i="8"/>
  <c r="A527" i="8"/>
  <c r="A526" i="8"/>
  <c r="A525" i="8"/>
  <c r="A524" i="8"/>
  <c r="A523" i="8"/>
  <c r="A522" i="8"/>
  <c r="A521" i="8"/>
  <c r="A520" i="8"/>
  <c r="A519" i="8"/>
  <c r="A518" i="8"/>
  <c r="A517" i="8"/>
  <c r="A516" i="8"/>
  <c r="A515" i="8"/>
  <c r="A514" i="8"/>
  <c r="A513" i="8"/>
  <c r="A512" i="8"/>
  <c r="A511" i="8"/>
  <c r="A510" i="8"/>
  <c r="A509" i="8"/>
  <c r="A508" i="8"/>
  <c r="A507" i="8"/>
  <c r="A506" i="8"/>
  <c r="A505" i="8"/>
  <c r="A504" i="8"/>
  <c r="A503" i="8"/>
  <c r="A502" i="8"/>
  <c r="A501" i="8"/>
  <c r="A500" i="8"/>
  <c r="A499" i="8"/>
  <c r="A498" i="8"/>
  <c r="A497" i="8"/>
  <c r="A496" i="8"/>
  <c r="A495" i="8"/>
  <c r="A494" i="8"/>
  <c r="A493" i="8"/>
  <c r="A492" i="8"/>
  <c r="A491" i="8"/>
  <c r="A490" i="8"/>
  <c r="A489" i="8"/>
  <c r="A488" i="8"/>
  <c r="A487" i="8"/>
  <c r="A486" i="8"/>
  <c r="A485" i="8"/>
  <c r="A484" i="8"/>
  <c r="A483" i="8"/>
  <c r="A482" i="8"/>
  <c r="A481" i="8"/>
  <c r="A480" i="8"/>
  <c r="A479" i="8"/>
  <c r="A478" i="8"/>
  <c r="A477" i="8"/>
  <c r="A476" i="8"/>
  <c r="A475" i="8"/>
  <c r="A474" i="8"/>
  <c r="A473" i="8"/>
  <c r="A472" i="8"/>
  <c r="A471" i="8"/>
  <c r="A470" i="8"/>
  <c r="A469" i="8"/>
  <c r="A468" i="8"/>
  <c r="A467" i="8"/>
  <c r="A466" i="8"/>
  <c r="A465" i="8"/>
  <c r="A464" i="8"/>
  <c r="A463" i="8"/>
  <c r="A462" i="8"/>
  <c r="A461" i="8"/>
  <c r="A460" i="8"/>
  <c r="A459" i="8"/>
  <c r="A458" i="8"/>
  <c r="A457" i="8"/>
  <c r="A456" i="8"/>
  <c r="A455" i="8"/>
  <c r="A454" i="8"/>
  <c r="A453" i="8"/>
  <c r="A452" i="8"/>
  <c r="A451" i="8"/>
  <c r="A450" i="8"/>
  <c r="A449" i="8"/>
  <c r="A448" i="8"/>
  <c r="A447" i="8"/>
  <c r="A446" i="8"/>
  <c r="A445" i="8"/>
  <c r="A444" i="8"/>
  <c r="A443" i="8"/>
  <c r="A442" i="8"/>
  <c r="A441" i="8"/>
  <c r="A440" i="8"/>
  <c r="A439" i="8"/>
  <c r="A438" i="8"/>
  <c r="A437" i="8"/>
  <c r="A436" i="8"/>
  <c r="A435" i="8"/>
  <c r="A434" i="8"/>
  <c r="A433" i="8"/>
  <c r="A432" i="8"/>
  <c r="A431" i="8"/>
  <c r="A430" i="8"/>
  <c r="A429" i="8"/>
  <c r="A428" i="8"/>
  <c r="A427" i="8"/>
  <c r="A426" i="8"/>
  <c r="A425" i="8"/>
  <c r="A424" i="8"/>
  <c r="A423" i="8"/>
  <c r="A422" i="8"/>
  <c r="A421" i="8"/>
  <c r="A420" i="8"/>
  <c r="A419" i="8"/>
  <c r="A418" i="8"/>
  <c r="A417" i="8"/>
  <c r="A416" i="8"/>
  <c r="A415" i="8"/>
  <c r="A414" i="8"/>
  <c r="A413" i="8"/>
  <c r="A412" i="8"/>
  <c r="A411" i="8"/>
  <c r="A410" i="8"/>
  <c r="A409" i="8"/>
  <c r="A408" i="8"/>
  <c r="A407" i="8"/>
  <c r="A406" i="8"/>
  <c r="A405" i="8"/>
  <c r="A404" i="8"/>
  <c r="A403" i="8"/>
  <c r="A402" i="8"/>
  <c r="A401" i="8"/>
  <c r="A400" i="8"/>
  <c r="A399" i="8"/>
  <c r="A398" i="8"/>
  <c r="A397" i="8"/>
  <c r="A396" i="8"/>
  <c r="A395" i="8"/>
  <c r="A394" i="8"/>
  <c r="A393" i="8"/>
  <c r="A392" i="8"/>
  <c r="A391" i="8"/>
  <c r="A390" i="8"/>
  <c r="A389" i="8"/>
  <c r="A388" i="8"/>
  <c r="A387" i="8"/>
  <c r="A386" i="8"/>
  <c r="A385" i="8"/>
  <c r="A384" i="8"/>
  <c r="A383" i="8"/>
  <c r="A382" i="8"/>
  <c r="A381" i="8"/>
  <c r="A380" i="8"/>
  <c r="A379" i="8"/>
  <c r="A378" i="8"/>
  <c r="A377" i="8"/>
  <c r="A376" i="8"/>
  <c r="A375" i="8"/>
  <c r="A374" i="8"/>
  <c r="A373" i="8"/>
  <c r="A372" i="8"/>
  <c r="A371" i="8"/>
  <c r="A370" i="8"/>
  <c r="A369" i="8"/>
  <c r="A368" i="8"/>
  <c r="A367" i="8"/>
  <c r="A366" i="8"/>
  <c r="A365" i="8"/>
  <c r="A364" i="8"/>
  <c r="A363" i="8"/>
  <c r="A362" i="8"/>
  <c r="A361" i="8"/>
  <c r="A360" i="8"/>
  <c r="A359" i="8"/>
  <c r="A358" i="8"/>
  <c r="A357" i="8"/>
  <c r="A356" i="8"/>
  <c r="A355" i="8"/>
  <c r="A354" i="8"/>
  <c r="A353" i="8"/>
  <c r="A352" i="8"/>
  <c r="A351" i="8"/>
  <c r="A350" i="8"/>
  <c r="A349" i="8"/>
  <c r="A348" i="8"/>
  <c r="A347" i="8"/>
  <c r="A346" i="8"/>
  <c r="A345" i="8"/>
  <c r="A344" i="8"/>
  <c r="A343" i="8"/>
  <c r="A342" i="8"/>
  <c r="A341" i="8"/>
  <c r="A340" i="8"/>
  <c r="A339" i="8"/>
  <c r="A338" i="8"/>
  <c r="A337" i="8"/>
  <c r="A336" i="8"/>
  <c r="A335" i="8"/>
  <c r="A334" i="8"/>
  <c r="A333" i="8"/>
  <c r="A332" i="8"/>
  <c r="A331" i="8"/>
  <c r="A330" i="8"/>
  <c r="A329" i="8"/>
  <c r="A328" i="8"/>
  <c r="A327" i="8"/>
  <c r="A326" i="8"/>
  <c r="A325" i="8"/>
  <c r="A324" i="8"/>
  <c r="A323" i="8"/>
  <c r="A322" i="8"/>
  <c r="A321" i="8"/>
  <c r="A320" i="8"/>
  <c r="A319" i="8"/>
  <c r="A318" i="8"/>
  <c r="A317" i="8"/>
  <c r="A316" i="8"/>
  <c r="A315" i="8"/>
  <c r="A314" i="8"/>
  <c r="A313" i="8"/>
  <c r="A312" i="8"/>
  <c r="A311" i="8"/>
  <c r="A310" i="8"/>
  <c r="A309" i="8"/>
  <c r="A308" i="8"/>
  <c r="A307" i="8"/>
  <c r="A306" i="8"/>
  <c r="A305" i="8"/>
  <c r="A304" i="8"/>
  <c r="A303" i="8"/>
  <c r="A302" i="8"/>
  <c r="A301" i="8"/>
  <c r="A300" i="8"/>
  <c r="A299" i="8"/>
  <c r="A298" i="8"/>
  <c r="A297" i="8"/>
  <c r="A296" i="8"/>
  <c r="A295" i="8"/>
  <c r="A294" i="8"/>
  <c r="A293" i="8"/>
  <c r="A292" i="8"/>
  <c r="A291" i="8"/>
  <c r="A290" i="8"/>
  <c r="A289" i="8"/>
  <c r="A288" i="8"/>
  <c r="A287" i="8"/>
  <c r="A286" i="8"/>
  <c r="A285" i="8"/>
  <c r="A284" i="8"/>
  <c r="A283" i="8"/>
  <c r="A282" i="8"/>
  <c r="A281" i="8"/>
  <c r="A280" i="8"/>
  <c r="A279" i="8"/>
  <c r="A278" i="8"/>
  <c r="A277" i="8"/>
  <c r="A276" i="8"/>
  <c r="A275" i="8"/>
  <c r="A274" i="8"/>
  <c r="A273" i="8"/>
  <c r="A272" i="8"/>
  <c r="A271" i="8"/>
  <c r="A270" i="8"/>
  <c r="A269" i="8"/>
  <c r="A268" i="8"/>
  <c r="A267" i="8"/>
  <c r="A266" i="8"/>
  <c r="A265" i="8"/>
  <c r="A264" i="8"/>
  <c r="A263" i="8"/>
  <c r="A262" i="8"/>
  <c r="A261" i="8"/>
  <c r="A260" i="8"/>
  <c r="A259" i="8"/>
  <c r="A258" i="8"/>
  <c r="A257" i="8"/>
  <c r="A256" i="8"/>
  <c r="A255" i="8"/>
  <c r="A254" i="8"/>
  <c r="A253" i="8"/>
  <c r="A252" i="8"/>
  <c r="A251" i="8"/>
  <c r="A250" i="8"/>
  <c r="A249" i="8"/>
  <c r="A248" i="8"/>
  <c r="A247" i="8"/>
  <c r="A246" i="8"/>
  <c r="A245" i="8"/>
  <c r="A244" i="8"/>
  <c r="A243" i="8"/>
  <c r="A242" i="8"/>
  <c r="A241" i="8"/>
  <c r="A240" i="8"/>
  <c r="A239" i="8"/>
  <c r="A238" i="8"/>
  <c r="A237" i="8"/>
  <c r="A236" i="8"/>
  <c r="A235" i="8"/>
  <c r="A234" i="8"/>
  <c r="A233" i="8"/>
  <c r="A232" i="8"/>
  <c r="A231" i="8"/>
  <c r="A230" i="8"/>
  <c r="A229" i="8"/>
  <c r="A228" i="8"/>
  <c r="A227" i="8"/>
  <c r="A226" i="8"/>
  <c r="A225" i="8"/>
  <c r="A224" i="8"/>
  <c r="A223" i="8"/>
  <c r="A222" i="8"/>
  <c r="A221" i="8"/>
  <c r="A220" i="8"/>
  <c r="A219" i="8"/>
  <c r="A218" i="8"/>
  <c r="A217" i="8"/>
  <c r="A216" i="8"/>
  <c r="A215" i="8"/>
  <c r="A214" i="8"/>
  <c r="A213" i="8"/>
  <c r="A212" i="8"/>
  <c r="A211" i="8"/>
  <c r="A210" i="8"/>
  <c r="A209" i="8"/>
  <c r="A208" i="8"/>
  <c r="A207" i="8"/>
  <c r="A206" i="8"/>
  <c r="A205" i="8"/>
  <c r="A204" i="8"/>
  <c r="A203" i="8"/>
  <c r="A202" i="8"/>
  <c r="A201" i="8"/>
  <c r="A200" i="8"/>
  <c r="A199" i="8"/>
  <c r="A198" i="8"/>
  <c r="A197" i="8"/>
  <c r="A196" i="8"/>
  <c r="A195" i="8"/>
  <c r="A194" i="8"/>
  <c r="A193" i="8"/>
  <c r="A192" i="8"/>
  <c r="A191" i="8"/>
  <c r="A190" i="8"/>
  <c r="A189" i="8"/>
  <c r="A188" i="8"/>
  <c r="A187" i="8"/>
  <c r="A186" i="8"/>
  <c r="A185" i="8"/>
  <c r="A184" i="8"/>
  <c r="A183" i="8"/>
  <c r="A182" i="8"/>
  <c r="A181" i="8"/>
  <c r="A180" i="8"/>
  <c r="A179" i="8"/>
  <c r="A178" i="8"/>
  <c r="A177" i="8"/>
  <c r="A176" i="8"/>
  <c r="A175" i="8"/>
  <c r="A174" i="8"/>
  <c r="A173" i="8"/>
  <c r="A172" i="8"/>
  <c r="A171" i="8"/>
  <c r="A170" i="8"/>
  <c r="A169" i="8"/>
  <c r="A168" i="8"/>
  <c r="A167" i="8"/>
  <c r="A166" i="8"/>
  <c r="A165" i="8"/>
  <c r="A164" i="8"/>
  <c r="A163" i="8"/>
  <c r="A162" i="8"/>
  <c r="A161" i="8"/>
  <c r="A160" i="8"/>
  <c r="A159" i="8"/>
  <c r="A158" i="8"/>
  <c r="A157" i="8"/>
  <c r="A156" i="8"/>
  <c r="A155" i="8"/>
  <c r="A154" i="8"/>
  <c r="A153" i="8"/>
  <c r="A152" i="8"/>
  <c r="A151" i="8"/>
  <c r="A150" i="8"/>
  <c r="A149" i="8"/>
  <c r="A148" i="8"/>
  <c r="A147" i="8"/>
  <c r="A146" i="8"/>
  <c r="A145" i="8"/>
  <c r="A144" i="8"/>
  <c r="A143" i="8"/>
  <c r="A142" i="8"/>
  <c r="A141" i="8"/>
  <c r="A140" i="8"/>
  <c r="A139" i="8"/>
  <c r="A138" i="8"/>
  <c r="A137" i="8"/>
  <c r="A136" i="8"/>
  <c r="A135" i="8"/>
  <c r="A134" i="8"/>
  <c r="A133" i="8"/>
  <c r="A132" i="8"/>
  <c r="A131" i="8"/>
  <c r="A130" i="8"/>
  <c r="A129" i="8"/>
  <c r="A128" i="8"/>
  <c r="A127" i="8"/>
  <c r="A126" i="8"/>
  <c r="A125" i="8"/>
  <c r="A124" i="8"/>
  <c r="A123" i="8"/>
  <c r="A122" i="8"/>
  <c r="A121" i="8"/>
  <c r="A120" i="8"/>
  <c r="A119" i="8"/>
  <c r="A118" i="8"/>
  <c r="A117" i="8"/>
  <c r="A116" i="8"/>
  <c r="A115" i="8"/>
  <c r="A114" i="8"/>
  <c r="A113" i="8"/>
  <c r="A112" i="8"/>
  <c r="A111" i="8"/>
  <c r="A110" i="8"/>
  <c r="A109" i="8"/>
  <c r="A108" i="8"/>
  <c r="A107" i="8"/>
  <c r="A106" i="8"/>
  <c r="A105" i="8"/>
  <c r="A104" i="8"/>
  <c r="A103" i="8"/>
  <c r="A102" i="8"/>
  <c r="A101" i="8"/>
  <c r="A100" i="8"/>
  <c r="A99" i="8"/>
  <c r="A98" i="8"/>
  <c r="A97" i="8"/>
  <c r="A96" i="8"/>
  <c r="A95" i="8"/>
  <c r="A94" i="8"/>
  <c r="A93" i="8"/>
  <c r="A92" i="8"/>
  <c r="A91" i="8"/>
  <c r="A90" i="8"/>
  <c r="A89" i="8"/>
  <c r="A88" i="8"/>
  <c r="A87" i="8"/>
  <c r="A86" i="8"/>
  <c r="A85" i="8"/>
  <c r="A84" i="8"/>
  <c r="A83" i="8"/>
  <c r="A82" i="8"/>
  <c r="A81" i="8"/>
  <c r="A80" i="8"/>
  <c r="A79" i="8"/>
  <c r="A78" i="8"/>
  <c r="A77" i="8"/>
  <c r="A76" i="8"/>
  <c r="A75" i="8"/>
  <c r="A74" i="8"/>
  <c r="A73" i="8"/>
  <c r="A72" i="8"/>
  <c r="A71" i="8"/>
  <c r="A70" i="8"/>
  <c r="A69" i="8"/>
  <c r="A68" i="8"/>
  <c r="A67" i="8"/>
  <c r="A66" i="8"/>
  <c r="A65" i="8"/>
  <c r="A64" i="8"/>
  <c r="A63" i="8"/>
  <c r="A62" i="8"/>
  <c r="A61" i="8"/>
  <c r="A60" i="8"/>
  <c r="A59" i="8"/>
  <c r="A58" i="8"/>
  <c r="A57" i="8"/>
  <c r="A56" i="8"/>
  <c r="A55" i="8"/>
  <c r="A54" i="8"/>
  <c r="A53" i="8"/>
  <c r="A52" i="8"/>
  <c r="A51" i="8"/>
  <c r="A50" i="8"/>
  <c r="A49" i="8"/>
  <c r="A48" i="8"/>
  <c r="A47" i="8"/>
  <c r="A46" i="8"/>
  <c r="A45" i="8"/>
  <c r="A44" i="8"/>
  <c r="A43" i="8"/>
  <c r="A42" i="8"/>
  <c r="A41" i="8"/>
  <c r="A40" i="8"/>
  <c r="A39" i="8"/>
  <c r="A38" i="8"/>
  <c r="A37" i="8"/>
  <c r="A36" i="8"/>
  <c r="A35" i="8"/>
  <c r="A34" i="8"/>
  <c r="A33" i="8"/>
  <c r="A32" i="8"/>
  <c r="A31" i="8"/>
  <c r="A30" i="8"/>
  <c r="A29" i="8"/>
  <c r="A28" i="8"/>
  <c r="A27" i="8"/>
  <c r="A26" i="8"/>
  <c r="A25" i="8"/>
  <c r="A24" i="8"/>
  <c r="A17" i="8"/>
  <c r="A16" i="8"/>
  <c r="A15" i="8"/>
  <c r="A14" i="8"/>
  <c r="A13" i="8"/>
  <c r="A12" i="8"/>
  <c r="A11" i="8"/>
  <c r="A10" i="8"/>
  <c r="A9" i="8"/>
  <c r="A8" i="8"/>
  <c r="A7" i="8"/>
  <c r="A2" i="8"/>
  <c r="I11" i="7"/>
  <c r="I10" i="7"/>
  <c r="J9" i="7"/>
  <c r="D9" i="7"/>
  <c r="J8" i="7"/>
  <c r="D8" i="7"/>
  <c r="J7" i="7"/>
  <c r="I6" i="7"/>
  <c r="J5" i="7"/>
  <c r="J4" i="7"/>
  <c r="J3" i="7"/>
  <c r="I2" i="7"/>
  <c r="A28" i="6"/>
  <c r="A27" i="6"/>
  <c r="A26" i="6"/>
  <c r="A25" i="6"/>
  <c r="A24" i="6"/>
  <c r="A23" i="6"/>
  <c r="A22" i="6"/>
  <c r="A21" i="6"/>
  <c r="A20" i="6"/>
  <c r="A19" i="6"/>
  <c r="A18" i="6"/>
  <c r="A17" i="6"/>
  <c r="A16" i="6"/>
  <c r="A15" i="6"/>
  <c r="A14" i="6"/>
  <c r="A13" i="6"/>
  <c r="A12" i="6"/>
  <c r="A11" i="6"/>
  <c r="A10" i="6"/>
  <c r="A9" i="6"/>
  <c r="A8" i="6"/>
  <c r="A7" i="6"/>
  <c r="A6" i="6"/>
  <c r="A5" i="6"/>
  <c r="A4" i="6"/>
  <c r="A3" i="6"/>
  <c r="A2" i="6"/>
  <c r="A17" i="5"/>
  <c r="A16" i="5"/>
  <c r="A15" i="5"/>
  <c r="A14" i="5"/>
  <c r="A13" i="5"/>
  <c r="A12" i="5"/>
  <c r="A11" i="5"/>
  <c r="A10" i="5"/>
  <c r="A9" i="5"/>
  <c r="A8" i="5"/>
  <c r="A7" i="5"/>
  <c r="A6" i="5"/>
  <c r="A5" i="5"/>
  <c r="A4" i="5"/>
  <c r="A3" i="5"/>
  <c r="A2" i="5"/>
  <c r="H10" i="4"/>
  <c r="H9" i="4"/>
  <c r="H8" i="4"/>
  <c r="H7" i="4"/>
  <c r="H6" i="4"/>
  <c r="H5" i="4"/>
  <c r="H4" i="4"/>
  <c r="H3" i="4"/>
  <c r="H2" i="4"/>
  <c r="J2" i="7" l="1"/>
  <c r="I7" i="7"/>
  <c r="J6" i="7"/>
  <c r="I8" i="7"/>
  <c r="I3" i="7"/>
  <c r="I4" i="7"/>
  <c r="I5" i="7"/>
  <c r="I9" i="7"/>
</calcChain>
</file>

<file path=xl/sharedStrings.xml><?xml version="1.0" encoding="utf-8"?>
<sst xmlns="http://schemas.openxmlformats.org/spreadsheetml/2006/main" count="13007" uniqueCount="2862">
  <si>
    <t>플랜트구매품질팀 통합관리 대시보드 - Excel 입력 양식</t>
  </si>
  <si>
    <t>사용 방법</t>
  </si>
  <si>
    <t>1. 아래 시트탭의 각 시트(프로젝트_현황 / 프로젝트_구매품질 실적 / 프로젝트_미결 NCR 현황 / PQAN / TPA_목록 / TPA_집행현황 / TPA_월별대금청구현황 / 인력운영_현황 / 인력운영_세부내역 / 출장현황 / 주요현안)에 데이터를 입력합니다.</t>
  </si>
  <si>
    <t>2. 1행의 컬럼명(헤더)은 절대 변경하지 마세요. 시트명도 그대로 유지해야 합니다.</t>
  </si>
  <si>
    <t>3. 데이터는 2행부터 입력합니다. 컬럼 순서는 자유롭게 변경해도 됩니다.</t>
  </si>
  <si>
    <t>4. 작성이 끝나면 이 파일을 저장하고, 대시보드 HTML을 열어 'Excel 업로드' 버튼으로 불러옵니다.</t>
  </si>
  <si>
    <t>5. 모든 KPI · 표 · 차트 · 조직도 · PQAN · TPA가 자동으로 채워집니다.</t>
  </si>
  <si>
    <t>주요 입력 규칙</t>
  </si>
  <si>
    <t>• 프로젝트_구매품질 실적 시트: 단계 컬럼(MR/TBE/PO/PIM/IRC)에 '완료'를 입력하면 100%로 처리됩니다.</t>
  </si>
  <si>
    <t>• TPA_집행현황 시트: 금액은 USD 또는 KRW 중 한쪽만 입력해도 환율로 자동 환산됩니다 (USD 단위, 백만 단위 아님).</t>
  </si>
  <si>
    <t>• 단계 컬럼: 'Active', 'Mechanical Completion', 'Bid' 중 하나로 입력해주세요.</t>
  </si>
  <si>
    <t>• Mechanical Completion 상태 프로젝트는 TPA Warning 로직에서 자동 제외됩니다.</t>
  </si>
  <si>
    <t>• 프로젝트_현황 시트의 계약가는 백만 단위 (USD M / KRW M)로 입력합니다.</t>
  </si>
  <si>
    <t>• 날짜 필드(Issue_Date, 출발일, 복귀일, PQAN 배포일자, 업무 종료 예상 시기)는 Excel 날짜 형식으로 입력해주세요.</t>
  </si>
  <si>
    <t>신규 시트 입력 가이드</t>
  </si>
  <si>
    <t>• PQAN 시트: 동일 PQAN No. 중복 입력 허용 (이미지/내용을 여러 행으로 분리). 대시보드는 자동으로 통합 표시합니다.</t>
  </si>
  <si>
    <t xml:space="preserve">  - 이미지 URL (Teams) 컬럼은 Teams 채널 메시지의 공유 링크를 그대로 입력합니다. 화면에는 직접 노출되지 않고 hover/click 팝오버로 표시됩니다.</t>
  </si>
  <si>
    <t>• TPA_목록 시트: 등록평가 · 정기평가 점수는 100점 만점 기준 숫자(예: 71, 93.3) 또는 텍스트(N/A 등)로 입력합니다.</t>
  </si>
  <si>
    <t>• TPA_집행현황 시트: 기존 TPA 시트 데이터를 그대로 사용합니다. 단계 컬럼은 프로젝트_현황과 동일 규칙.</t>
  </si>
  <si>
    <t>• TPA_월별대금청구현황 시트: 청구연월은 YYYY-MM 형식, 단위는 USD 또는 KRW 입력 (대시보드 환율로 USD 환산).</t>
  </si>
  <si>
    <t>• 인력운영_현황 시트: 직급(예: G3, M2)을 추가 입력하면 조직도/표에 그대로 표시됩니다.</t>
  </si>
  <si>
    <t>• 인력운영_세부내역 시트: PO 단위 담당자/IRC 진행률을 입력합니다 (담당자(정), 담당자(부)).</t>
  </si>
  <si>
    <t>• 출장현황 시트: 출장목적(FAT / PIM / Monitoring / 공장검사 / 업체실사 / 업체감사 / 교육 / 현안미팅)에 따라 색상이 자동 적용됩니다.</t>
  </si>
  <si>
    <t>TPA Warning 기준 (참고)</t>
  </si>
  <si>
    <t>• 예산 대비 집행 70% 초과 → '1차 청산추정 필요'</t>
  </si>
  <si>
    <t>• 예산 대비 집행 90% 초과 → '2차 청산추정 및 예산외품의 준비 필요'</t>
  </si>
  <si>
    <t>• 계약고 대비 집행 90% 초과 → '계약고 증액 절차 필요'</t>
  </si>
  <si>
    <t>단계별 가중치 (참고)</t>
  </si>
  <si>
    <t>• MR 10% · TBE 10% · PO 10% · PIM 20% · IRC 100% 50%</t>
  </si>
  <si>
    <t>• 가중 진척률 = (각 단계 진행률 × 가중치)의 합</t>
  </si>
  <si>
    <t>프로젝트</t>
  </si>
  <si>
    <t>HDEC 계약고 (USD)</t>
  </si>
  <si>
    <t>전체 계약고 (USD)</t>
  </si>
  <si>
    <t>HDEC 계약고 (KRW)</t>
  </si>
  <si>
    <t>전체 계약고 (KRW)</t>
  </si>
  <si>
    <t>발주처</t>
  </si>
  <si>
    <t>국가</t>
  </si>
  <si>
    <t>PQCM</t>
  </si>
  <si>
    <t>단계</t>
  </si>
  <si>
    <t>공정률</t>
  </si>
  <si>
    <t>비고</t>
  </si>
  <si>
    <t>MR_Total</t>
  </si>
  <si>
    <t>MR_Done</t>
  </si>
  <si>
    <t>TBE_Total</t>
  </si>
  <si>
    <t>TBE_Done</t>
  </si>
  <si>
    <t>PO_Total</t>
  </si>
  <si>
    <t>PO_Done</t>
  </si>
  <si>
    <t>PIM_Total</t>
  </si>
  <si>
    <t>PIM_Done</t>
  </si>
  <si>
    <t>IRC_100%_Total</t>
  </si>
  <si>
    <t>IRC_100%_Done</t>
  </si>
  <si>
    <t>NCR_Total</t>
  </si>
  <si>
    <t>NCR_Done</t>
  </si>
  <si>
    <t>Serial_Number</t>
  </si>
  <si>
    <t>Project_Code</t>
  </si>
  <si>
    <t>NCR_Number</t>
  </si>
  <si>
    <t>Item</t>
  </si>
  <si>
    <t>Vendor</t>
  </si>
  <si>
    <t>NCR_Title</t>
  </si>
  <si>
    <t>Issue_Date</t>
  </si>
  <si>
    <t>Days_to_Date</t>
  </si>
  <si>
    <t>Remarks</t>
  </si>
  <si>
    <t>순번</t>
  </si>
  <si>
    <t>PQAN No.</t>
  </si>
  <si>
    <t>PQAN 배포일자</t>
  </si>
  <si>
    <t>연</t>
  </si>
  <si>
    <t>월</t>
  </si>
  <si>
    <t>Feedback</t>
  </si>
  <si>
    <t>작성자</t>
  </si>
  <si>
    <t>검토자</t>
  </si>
  <si>
    <t>공종</t>
  </si>
  <si>
    <t>PO No.</t>
  </si>
  <si>
    <t>NCR No.</t>
  </si>
  <si>
    <t>Transmittal No.</t>
  </si>
  <si>
    <t>제목</t>
  </si>
  <si>
    <t>품목</t>
  </si>
  <si>
    <t>공급업체</t>
  </si>
  <si>
    <t>지역</t>
  </si>
  <si>
    <t>발견 시기</t>
  </si>
  <si>
    <t>발견 장소</t>
  </si>
  <si>
    <t>개요</t>
  </si>
  <si>
    <t>원인</t>
  </si>
  <si>
    <t>후속/예방 조치 (권고)</t>
  </si>
  <si>
    <t>이미지 URL (Teams)</t>
  </si>
  <si>
    <t>TPA</t>
  </si>
  <si>
    <t>등록평가</t>
  </si>
  <si>
    <t>정기평가 (2025)</t>
  </si>
  <si>
    <t>TPA 예산 (USD)</t>
  </si>
  <si>
    <t>TPA 계약고 (USD)</t>
  </si>
  <si>
    <t>집행비용 (USD)</t>
  </si>
  <si>
    <t>TPA 예산 (KRW)</t>
  </si>
  <si>
    <t>TPA 계약고 (KRW)</t>
  </si>
  <si>
    <t>집행비용 (KRW)</t>
  </si>
  <si>
    <t>예산 소진율</t>
  </si>
  <si>
    <t>現 계약고 소진율</t>
  </si>
  <si>
    <t>청구연월</t>
  </si>
  <si>
    <t>지급대금</t>
  </si>
  <si>
    <t>단위</t>
  </si>
  <si>
    <t>이름</t>
  </si>
  <si>
    <t>근무지</t>
  </si>
  <si>
    <t>직급</t>
  </si>
  <si>
    <t>PQC_Engineer</t>
  </si>
  <si>
    <t>Number_of_PO</t>
  </si>
  <si>
    <t>PO</t>
  </si>
  <si>
    <t>PO Description</t>
  </si>
  <si>
    <t>Quantity</t>
  </si>
  <si>
    <t>업무 종료 예상 시기</t>
  </si>
  <si>
    <t>IRC %</t>
  </si>
  <si>
    <t>담당자(정)</t>
  </si>
  <si>
    <t>담당자(부)</t>
  </si>
  <si>
    <t>출장자</t>
  </si>
  <si>
    <t>출장목적</t>
  </si>
  <si>
    <t>방문업체</t>
  </si>
  <si>
    <t>출발일</t>
  </si>
  <si>
    <t>복귀일</t>
  </si>
  <si>
    <t>Title</t>
  </si>
  <si>
    <t>Owner</t>
  </si>
  <si>
    <t>Action_Required</t>
  </si>
  <si>
    <t>소속</t>
    <phoneticPr fontId="4" type="noConversion"/>
  </si>
  <si>
    <t>파트</t>
    <phoneticPr fontId="4" type="noConversion"/>
  </si>
  <si>
    <t>MIP6</t>
    <phoneticPr fontId="4" type="noConversion"/>
  </si>
  <si>
    <t>Aramco</t>
    <phoneticPr fontId="4" type="noConversion"/>
  </si>
  <si>
    <t>Saudi Arabia</t>
  </si>
  <si>
    <t>-</t>
    <phoneticPr fontId="4" type="noConversion"/>
  </si>
  <si>
    <t>Mechanical Completion</t>
    <phoneticPr fontId="4" type="noConversion"/>
  </si>
  <si>
    <t>SM12</t>
    <phoneticPr fontId="4" type="noConversion"/>
  </si>
  <si>
    <t>Saudi Arabia</t>
    <phoneticPr fontId="4" type="noConversion"/>
  </si>
  <si>
    <t>정준택 상무</t>
    <phoneticPr fontId="4" type="noConversion"/>
  </si>
  <si>
    <t>장동철 책임</t>
    <phoneticPr fontId="4" type="noConversion"/>
  </si>
  <si>
    <t>Active</t>
  </si>
  <si>
    <t>IBRU</t>
    <phoneticPr fontId="4" type="noConversion"/>
  </si>
  <si>
    <t>BOC</t>
    <phoneticPr fontId="4" type="noConversion"/>
  </si>
  <si>
    <t>Iraq</t>
  </si>
  <si>
    <t>정태수 소장</t>
    <phoneticPr fontId="4" type="noConversion"/>
  </si>
  <si>
    <t>SHN1</t>
    <phoneticPr fontId="4" type="noConversion"/>
  </si>
  <si>
    <t>S-Oil</t>
    <phoneticPr fontId="4" type="noConversion"/>
  </si>
  <si>
    <t>Korea</t>
    <phoneticPr fontId="4" type="noConversion"/>
  </si>
  <si>
    <t>이현영 실장</t>
    <phoneticPr fontId="4" type="noConversion"/>
  </si>
  <si>
    <t>이해석 책임</t>
    <phoneticPr fontId="4" type="noConversion"/>
  </si>
  <si>
    <t>ALOM</t>
    <phoneticPr fontId="4" type="noConversion"/>
  </si>
  <si>
    <t>Hyenco</t>
    <phoneticPr fontId="4" type="noConversion"/>
  </si>
  <si>
    <t>Algeria</t>
    <phoneticPr fontId="4" type="noConversion"/>
  </si>
  <si>
    <t>정민권 소장</t>
    <phoneticPr fontId="4" type="noConversion"/>
  </si>
  <si>
    <t>윤희수 책임</t>
    <phoneticPr fontId="4" type="noConversion"/>
  </si>
  <si>
    <t>VEQU</t>
    <phoneticPr fontId="4" type="noConversion"/>
  </si>
  <si>
    <t>EVN</t>
    <phoneticPr fontId="4" type="noConversion"/>
  </si>
  <si>
    <t>Vietnam</t>
    <phoneticPr fontId="4" type="noConversion"/>
  </si>
  <si>
    <t>이윤석 소장</t>
    <phoneticPr fontId="4" type="noConversion"/>
  </si>
  <si>
    <t>STA4</t>
    <phoneticPr fontId="4" type="noConversion"/>
  </si>
  <si>
    <t>satorp</t>
    <phoneticPr fontId="4" type="noConversion"/>
  </si>
  <si>
    <t>임영빈 상무</t>
    <phoneticPr fontId="4" type="noConversion"/>
  </si>
  <si>
    <t>최우석 책임</t>
    <phoneticPr fontId="4" type="noConversion"/>
  </si>
  <si>
    <t>SAC2</t>
    <phoneticPr fontId="4" type="noConversion"/>
  </si>
  <si>
    <t>김형철 실장</t>
    <phoneticPr fontId="4" type="noConversion"/>
  </si>
  <si>
    <t>최종현 책임</t>
    <phoneticPr fontId="4" type="noConversion"/>
  </si>
  <si>
    <t>CSSP</t>
    <phoneticPr fontId="4" type="noConversion"/>
  </si>
  <si>
    <t>TotalEnergies</t>
    <phoneticPr fontId="4" type="noConversion"/>
  </si>
  <si>
    <t>Iraq</t>
    <phoneticPr fontId="4" type="noConversion"/>
  </si>
  <si>
    <t>박수철 상무</t>
    <phoneticPr fontId="4" type="noConversion"/>
  </si>
  <si>
    <t>정진우 책임</t>
    <phoneticPr fontId="4" type="noConversion"/>
  </si>
  <si>
    <t>PNG1</t>
    <phoneticPr fontId="4" type="noConversion"/>
  </si>
  <si>
    <t>ExxonMobil</t>
    <phoneticPr fontId="4" type="noConversion"/>
  </si>
  <si>
    <t>Papua New Genea</t>
    <phoneticPr fontId="4" type="noConversion"/>
  </si>
  <si>
    <t>최성식 팀장</t>
    <phoneticPr fontId="4" type="noConversion"/>
  </si>
  <si>
    <t>강태준 책임</t>
    <phoneticPr fontId="4" type="noConversion"/>
  </si>
  <si>
    <t>ALSM</t>
    <phoneticPr fontId="4" type="noConversion"/>
  </si>
  <si>
    <t>HPLS</t>
    <phoneticPr fontId="4" type="noConversion"/>
  </si>
  <si>
    <t>USA</t>
    <phoneticPr fontId="4" type="noConversion"/>
  </si>
  <si>
    <t>백철욱 상무</t>
    <phoneticPr fontId="4" type="noConversion"/>
  </si>
  <si>
    <t>Bid</t>
    <phoneticPr fontId="4" type="noConversion"/>
  </si>
  <si>
    <t>완료</t>
    <phoneticPr fontId="4" type="noConversion"/>
  </si>
  <si>
    <t>미정</t>
    <phoneticPr fontId="4" type="noConversion"/>
  </si>
  <si>
    <t>STA4-MR010-OPT-NCR-001</t>
  </si>
  <si>
    <t>Sealless Pump (API 685)</t>
    <phoneticPr fontId="4" type="noConversion"/>
  </si>
  <si>
    <t>Optimex</t>
    <phoneticPr fontId="4" type="noConversion"/>
  </si>
  <si>
    <t>High Power Consumption</t>
  </si>
  <si>
    <t>STA4-EL009-AFN-NCR-001</t>
  </si>
  <si>
    <t xml:space="preserve">LV Controlgear </t>
  </si>
  <si>
    <t>Al-Fanar</t>
    <phoneticPr fontId="4" type="noConversion"/>
  </si>
  <si>
    <t xml:space="preserve">Factory Acceptance Test and Punch Closing Verification </t>
    <phoneticPr fontId="4" type="noConversion"/>
  </si>
  <si>
    <t>STA4-MS017-SYC-NCR-001</t>
  </si>
  <si>
    <t xml:space="preserve">Air Dryer Package </t>
  </si>
  <si>
    <t>Seyang Corporation</t>
  </si>
  <si>
    <t>STA4-EL007-AFN-NCR-001</t>
  </si>
  <si>
    <t>HV Switchgear</t>
  </si>
  <si>
    <t>Al-Fanar</t>
  </si>
  <si>
    <t>STA4-MR010-OPT-NCR-002</t>
  </si>
  <si>
    <t>IRC Issuance with Punch List</t>
    <phoneticPr fontId="4" type="noConversion"/>
  </si>
  <si>
    <t>STA4-CI001-EME-NCR-001</t>
  </si>
  <si>
    <t>PCS</t>
  </si>
  <si>
    <t>Emerson</t>
    <phoneticPr fontId="4" type="noConversion"/>
  </si>
  <si>
    <t>STA4-EL012-SEL1-NCR-002</t>
  </si>
  <si>
    <t>ECS</t>
  </si>
  <si>
    <t>SEL</t>
    <phoneticPr fontId="4" type="noConversion"/>
  </si>
  <si>
    <t>STA4-CI001-EME-NCR-002</t>
  </si>
  <si>
    <t>STA4-CI005-VAL-NCR-002</t>
  </si>
  <si>
    <t>On-Off Valve (Ball)</t>
  </si>
  <si>
    <t>Valmet</t>
    <phoneticPr fontId="4" type="noConversion"/>
  </si>
  <si>
    <t>High-Pressure Seat Test / DBB Test was omitted for Trunnion Type Ball Valve</t>
    <phoneticPr fontId="4" type="noConversion"/>
  </si>
  <si>
    <t>PQAN-2025-001</t>
  </si>
  <si>
    <t>장동철</t>
  </si>
  <si>
    <t>유요석</t>
  </si>
  <si>
    <t>배관</t>
  </si>
  <si>
    <t>SM12</t>
  </si>
  <si>
    <t>PI016</t>
  </si>
  <si>
    <t>-</t>
  </si>
  <si>
    <t>대구경 Lateral Tee 수압 시험 후 변형</t>
  </si>
  <si>
    <t>Fabricated Lateral Tee</t>
  </si>
  <si>
    <t>GAS METAL TECH</t>
  </si>
  <si>
    <t>사우디아라비아</t>
  </si>
  <si>
    <t>DAMMAM</t>
  </si>
  <si>
    <t>Hydrostatic Test</t>
  </si>
  <si>
    <t>대구경 Lateral Tee (84” x 80”, 68” x 54”, 48” x 30” 등)에 대한 수압 시험 후 Heel Side Notch 부분 변형 (Bulging) 발생</t>
  </si>
  <si>
    <t>Header – Branch 연결부에 국부적인 과부하 (압력) 발생 (타 구역 대비 수압시험 압력 ↑)
사업주 요건에 따른 수압시험 압력 계산식은 실제 재료의 강도 검증 목적으로 (실제 재료 두께 적용)_x000B_90% SMYS (Specified Material Yield Strength)을 고려한 Barlow’s Formula를 적용하기 때문에_x000B_계산된 수압시험 압력이 일반적인 계산 방식 (ASME B31.3 / 설계 압력 &amp; 온도에 따른 두께 적용) 대비 높음</t>
  </si>
  <si>
    <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t>
    <phoneticPr fontId="11" type="noConversion"/>
  </si>
  <si>
    <t>PQAN-2025-002</t>
  </si>
  <si>
    <t>서민</t>
  </si>
  <si>
    <t>회전</t>
  </si>
  <si>
    <t>STA4</t>
  </si>
  <si>
    <t>MR001</t>
  </si>
  <si>
    <t>NCR-STA4-MR001-HTC-ABB-001</t>
  </si>
  <si>
    <t>Centrifugal Compressor의 Main Motor FAT 중 Trip 발생</t>
  </si>
  <si>
    <t>Main Motor for Centrifugal Compressor</t>
  </si>
  <si>
    <t>ABB Finland</t>
  </si>
  <si>
    <t>핀란드</t>
  </si>
  <si>
    <t>HELSINKI</t>
  </si>
  <si>
    <t>Factory Acceptance Test</t>
  </si>
  <si>
    <t>Sub-Vendor</t>
  </si>
  <si>
    <t>Motor FAT (Routine &amp; Type Test)를 위한 기동 후 Rated Speed에서 고 진동 및 급격한 Voltage 저하 발생하였고 Load Generator에 의해
Motor 가동 중지됨. 분해 점검 결과, Rotor / Bearing / Labyrinth Seal 손상 확인되어 납기 지연 (재 제작) 발생</t>
  </si>
  <si>
    <t>해당 Motor는 Forced Lubrication System을 통해 Lube Oil이 공급되는 Type으로 Motor 기동 시 Oil Pump 가동이 우선 요구되나
Vendor 시험 운전원의 실수로 Oil Pump 미 가동 상태에서 Motor 기동하였음 (FAT 절차 미준수)</t>
  </si>
  <si>
    <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t>
    <phoneticPr fontId="11" type="noConversion"/>
  </si>
  <si>
    <t>PQAN-2025-003</t>
  </si>
  <si>
    <t>장치</t>
  </si>
  <si>
    <t>Refractory Lining 균열</t>
  </si>
  <si>
    <t>Refractory Lining (Castable) in Fired Equipment</t>
  </si>
  <si>
    <t>아이플랜트</t>
  </si>
  <si>
    <t>한국</t>
  </si>
  <si>
    <t>Final Inspection</t>
  </si>
  <si>
    <t>Fired Heater의 Refractory Lining (Castable) 시공 &amp; Pre-Dry out 후 균열 발생
Incinerator의 현장 설치 후 내부 확인 시 균열 발견</t>
  </si>
  <si>
    <t>제작
    ① 내화물의 배합 조건 (대기 / 물 / Mixing 온도, Dry Mixing, 배합 비율 등) 미 준수
    ② 내화물 시공 후 잔존 수분 제거 시 (Pre-Dry out) 열팽창/수축 (Heating/Cooling Rate) 관리 미흡
    ③ 내화물 작업 후 Full Curing 전, 후속작업을 위한 Lifting에 따른 충격과 Pre-Dry out 시 Castable 타설 부위의 국부하중-처짐
        (임시 지지대 수량 및 위치) 관리 미흡
운송 및 설치 (시간이 지남에 따라 미세 균열이 Crack으로 성장)
    ① 운송 과정의 진동과 하역 시 발생하는 충격, 설치과정에서의 미세한 뒤틀림 (구조적 응력)</t>
  </si>
  <si>
    <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t>
    <phoneticPr fontId="11" type="noConversion"/>
  </si>
  <si>
    <t>PQAN-2025-004</t>
  </si>
  <si>
    <t>Coating film 균열/박리 (Cracking/Flaking)</t>
  </si>
  <si>
    <t>Seal Drum &amp; PTFE Lining Piping spools</t>
  </si>
  <si>
    <t>Arconi
Misa</t>
  </si>
  <si>
    <t>스페인
사우디아라비아</t>
  </si>
  <si>
    <t>After delivery (Site)</t>
  </si>
  <si>
    <t>Site</t>
  </si>
  <si>
    <t>Seal Drum 현장 설치 후 Internal Painting의 Flaking 발견됨
PTFE Lined Piping 현장 설치 후 External Painting의 Flaking 발생함</t>
  </si>
  <si>
    <t>Surface preparation 불량
    ① 기기 Internal 설치 상태에서 (탈착 불가) 도장 작업 수행으로, 표면 처리 (Surface preparation) 위한 Access 확보 애로 (표면 조도 불량)
    ② 도장작업 前, 표면 cleaning 작업 미흡 (이물질 잔존)
Painting Control 미흡
    ① Excessive coating film 적용에 따른 도막 Internal stress 증가  크랙 유발
    ② 도장 작업 관리 부족 (전체 Spool Inspection Report에 표면처리, 1st, 2nd, 3rd Coat 치수 동일)</t>
  </si>
  <si>
    <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t>
    <phoneticPr fontId="11" type="noConversion"/>
  </si>
  <si>
    <t>PQAN-2025-005</t>
  </si>
  <si>
    <t>이해석</t>
  </si>
  <si>
    <t>Cracking Heater용 Burner 제작/조립 불량</t>
  </si>
  <si>
    <t>Hearth Burner (Cracking Heater)</t>
  </si>
  <si>
    <t>John Zink</t>
  </si>
  <si>
    <t>미국</t>
  </si>
  <si>
    <t>TULSA</t>
  </si>
  <si>
    <t>Hearth Burner 내부  S/S Liner Plate 마감 불량으로 Gap 발생 및 내부 보온재 돌출 
Hearth Burner와 Burner Tile 조립 시 Burner 상단의 Primary Riser Tip 과 Tile Hole의 Alignment가 허용 공차 (±3mm) 벗어남</t>
  </si>
  <si>
    <t>-  By Vendor 
    ① 작업자 기량 &amp; 제작 관리 수준 미흡 (균일 하지 않은 제품 품질) 
        : 현장 입고된 480개 Hearth Burner 중 436개 불량판정 &amp; 수리, Primary Riser Tip 1440ea (버너당 3개) 중 297개 불량 &amp; 재 제작   
    ② 공장 품질 관리 절차 미흡 : 합/부 기준 및 Internal 검사 절차 부재 (Random Sample 검사 Only)
- By Contractor 
    ① Trial Fit 수량 불충분 : (Primary Riser Tip과 tile Hole간) alignment 검사 수량 선정 미흡으로 전반적인 품질 수준 판단 기회 상실
        → Spec. 요건 (One per each type) 적용 시, 전체 수량 및 검사 중요도 고려 미흡
    ② Licensor(Proprietary) 품목에 대한 품질 관리 방안 개선 요구 및 적용 애로 (검사 빈도, 수량 등)</t>
  </si>
  <si>
    <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t>
    <phoneticPr fontId="11" type="noConversion"/>
  </si>
  <si>
    <t>PQAN-2025-006</t>
  </si>
  <si>
    <t>Pipe Inside Surface Imperfection</t>
  </si>
  <si>
    <t>Carbon Steel Seamless Pipe</t>
  </si>
  <si>
    <t>Tenaris</t>
  </si>
  <si>
    <t>이탈리아</t>
    <phoneticPr fontId="11" type="noConversion"/>
  </si>
  <si>
    <t>DALMINE</t>
  </si>
  <si>
    <t>현장 입고 후 Pipe 외관 검사 중 내부 표면에서 Expanding Mark, Pit, Heavy Mill scale 등이 발견됨</t>
  </si>
  <si>
    <t>Rotary expansion 공정 중 노후화로 마모된 Expanding Mandrel의 형상이 PIPE 내면에 전사되어 자국 형성
Pipe 생산 중 생성된 Mill scale 제거부위에 (후처리 공정) Pit 형상의 고르지 못한 Surface Imperfection 발생
수압 시험 중 떨어진 Scale이 완전 제거되지 않고 Pipe 벽면에 재 부착 &amp; 두꺼운 Scale층 형성
Pipe 생산 중 열처리 (Normalizing, Quenching &amp; Tempering 등)에 사용되는 연소 gas의 Oxygen content, Temperature 범위 &amp; Holding Time 관리 불량
Pipe 생산 후처리 공정 중 내면 Blowing &amp; Grinding 작업 미흡</t>
  </si>
  <si>
    <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t>
    <phoneticPr fontId="11" type="noConversion"/>
  </si>
  <si>
    <t>PQAN-2025-007</t>
  </si>
  <si>
    <t>전기</t>
  </si>
  <si>
    <t>변압기 탱크의 누유</t>
  </si>
  <si>
    <t>Power Transformer</t>
  </si>
  <si>
    <t>현대일렉트릭</t>
  </si>
  <si>
    <t>현장 입고 된 변압기의 외부에서 Oil Leak 흔적이 발견됨</t>
  </si>
  <si>
    <t>공장 압력시험 (0.35kgf/㎠, 24시간 Holding) 중에는 Oil Leak 확인되지 않았으나 현장 인도/설치 이후 모래먼지 포집 흔적 등으로 Oil Leak가 발견되었고, 세부 조사 결과 변압기 Tank 제작 시 다수의 용접 결함이 발생한 것으로 확인됨
변압기 탱크 구조 및 형상 제한에 따른 용접 작업 애로 → 결함 발생  
형식적인 용접부 외관 검사 및 비파괴 (PT) 수행으로 표면 용접결함 확인 실패</t>
  </si>
  <si>
    <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t>
    <phoneticPr fontId="11" type="noConversion"/>
  </si>
  <si>
    <t>PQAN-2025-008</t>
  </si>
  <si>
    <t>강태준</t>
  </si>
  <si>
    <t>Casting Valve - Stem Packing 누설</t>
  </si>
  <si>
    <t>Casting Valve</t>
  </si>
  <si>
    <t>Neway</t>
  </si>
  <si>
    <t>중국</t>
  </si>
  <si>
    <t>모듈샵 수압시험 중 Casting Valve의 Stem Packing 부위에서 지속적으로 누설 발생함</t>
  </si>
  <si>
    <t>프로젝트 Piping Material Spec.은 451℃ ~ 800℃ 고온 조건만 고려하여 Packing 재질 (MICA or Equivalent)을 규정하고 있음 (압력 미 고려) 
Packing 재질로써 MICA만 적용할 경우, 재질 특성상 고온에는 강하지만 고압에서는 Sealing 성능이 저하될 수 있음
TBE 시 타 업체는 대안으로 MICA + α (적층구조)를 제시하였으나, 본 공급업체는 프로젝트 요구사항에 따른 MICA 단일 재질을 적용하였음
고압 (Class 2500) Valve에서 집중적으로 누설 발생  MICA + Graphite로 설계 변경 추진</t>
  </si>
  <si>
    <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t>
    <phoneticPr fontId="11" type="noConversion"/>
  </si>
  <si>
    <t>PQAN-2025-009</t>
  </si>
  <si>
    <t>애관 외관 결함
Bushing Surface Defect</t>
  </si>
  <si>
    <t>Bushing Insulator (Ceramic Type)</t>
  </si>
  <si>
    <t>메인: 삼화컨덴서
제작: 태성 세라믹
조립: 남도전기</t>
  </si>
  <si>
    <t>-Power Capacitor의 현장 자재 인수 검사 중, 애관 표면에 Hole 형태의 외관 결함 발견됨
-Power Transformer의 현장 자재 인수 검사 중, 애관 표면에 Crack 발견됨</t>
  </si>
  <si>
    <t>-Ceramic 애관 제작은 수작업으로 이뤄지며 (도자기 제작과 유사), 작업자 숙련도에 따라 제품 품질 상이
-애관 제작 관련 PJT Spec.  / Code  요건이 계약에 반영되어 있지 않고 Vendor 자체 육안 검사(형식적) 외에 품질관리 요건 미적용 (KS 3801 / 3802, IEC 60137 등 관련 Code 있으나 전기 Item의 Sub-sub component로 품질 관리 대상에서 제외됨)
-애관 설치 시, Over torque 적용 / Bolt 체결 순서 미 준수 / Clamp 모서리 Notch에 애관이 눌리며 Crack 발생</t>
  </si>
  <si>
    <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t>
    <phoneticPr fontId="11" type="noConversion"/>
  </si>
  <si>
    <t>PQAN-2025-010</t>
  </si>
  <si>
    <t>나광조</t>
  </si>
  <si>
    <t>열교환기 내부의 수압시험 잔류수/응축수</t>
  </si>
  <si>
    <t>열교환기</t>
  </si>
  <si>
    <t xml:space="preserve">중국: Dongfang
미국: Chromalox
한국: </t>
  </si>
  <si>
    <t>한국/중국/미국</t>
  </si>
  <si>
    <t>-열교환기의 현장 자재 인수 검사 중, 기기 내부에서 수압시험 잔류수 또는 부적절한 N2 Purging에 따른 응축수 발견됨
-수압시험 잔류수 / 응축수의 장기 노출에 따른 Shell / Tube side에 Rust contamination 발생함</t>
  </si>
  <si>
    <t xml:space="preserve">-기기 configuration을 고려한 Drain 절차 미수립으로 (Floating Head 하단과 tubesheet의 높이차 미고려) 수압시험 잔류수 잔존
-Drain &amp; Dry out 후 부적절한 검사 수행 (Borescope 등을 활용한 기기 내부 잔류수 확인 절차 미적용)
-수압시험 시 녹 발생 방지용 Inhibitor 미적용
-부적절한 N2 Purging 수행 (N2 Purging 반복 : Air → N2 치환) 및 기기 내부 이슬점 온도 미확인 </t>
  </si>
  <si>
    <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t>
    <phoneticPr fontId="11" type="noConversion"/>
  </si>
  <si>
    <t>PQAN-2026-001</t>
  </si>
  <si>
    <t>정진우</t>
  </si>
  <si>
    <t>도장 색상 불일치</t>
  </si>
  <si>
    <t>Deaerator</t>
  </si>
  <si>
    <t>Stork</t>
  </si>
  <si>
    <t>네덜란드</t>
  </si>
  <si>
    <t>Painting Inspection</t>
  </si>
  <si>
    <t>도장 검사 중 일부 기자재의 Final 도장 색상이 요구 사항과 상이함이 발견됨
Deaerator Saddle Part (요구사항: RAL 7042 / 실제적용: RAL 7032)
Power Distribution Board (요구사항: RAL 7042 / 실제적용: RAL 7035)</t>
  </si>
  <si>
    <t xml:space="preserve">-도장 제조사 / International의 Silicone Acrylic 계열 도장재의 가용 색상(RAL 7042) 확인 없이 절차서 작성, 유사 색상(RAL7032) 임의 적용 
-도장 사양 및 도장절차서 상에 명기되어 있는 색상 확인 절차 누락
</t>
  </si>
  <si>
    <t xml:space="preserve">-도장절차서 제출 시, 제조사 Datasheet + 색상 가용 확인 Letter 검토
-검사 시, RAL-Munsell Code 활용 의무화 (MR 반영)
</t>
  </si>
  <si>
    <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t>
    <phoneticPr fontId="11" type="noConversion"/>
  </si>
  <si>
    <t>강인묵</t>
  </si>
  <si>
    <t>Power Distribution Board</t>
  </si>
  <si>
    <t>사우디아라비아</t>
    <phoneticPr fontId="11" type="noConversion"/>
  </si>
  <si>
    <t>PQAN-2026-002</t>
  </si>
  <si>
    <t>Pump Casing 주조결함
(1. Pump Casing Casting 결함)</t>
  </si>
  <si>
    <t>Centrifugal Pump</t>
  </si>
  <si>
    <t>Flowserve / Peekay Steel</t>
  </si>
  <si>
    <t>인도</t>
    <phoneticPr fontId="11" type="noConversion"/>
  </si>
  <si>
    <t>Visual Inspection</t>
  </si>
  <si>
    <t xml:space="preserve">Super Duplex Stainless Steel (SDSS)로 제작된 Pump Casing의 Casting 결함에 따른 Pump 제작 지연 및 시운전 중 Leak 발생 </t>
  </si>
  <si>
    <t>-Casting 결함 – Porosity, Shrinkage, Crack 등
  - Casting 전, Pump Model별 Pattern 및 주조 관리 역량 검증 미흡</t>
  </si>
  <si>
    <t>-NORSOK M-650 Certificate 등 Casting Foundry 제조 역량 사전 검증
-신규 Pattern에 대해 주물 유동, 응고 해석 등 주조 관리 방안 시뮬레이션 검증
-SDSS 용접 보수 시, Post-Weld Heat Treatment 적용</t>
  </si>
  <si>
    <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t>
    <phoneticPr fontId="11" type="noConversion"/>
  </si>
  <si>
    <t>Pump Casing 주조결함
(2. Casting Cleaning window 관리)</t>
  </si>
  <si>
    <t>Sulzer Saudi / Ultimate Alloy</t>
  </si>
  <si>
    <t>-Cleaning Window 임의 적용
  - Casting 단계에서 Cleaning Window 적용 여부 미확인</t>
  </si>
  <si>
    <t xml:space="preserve">-제작 전, Casing에 Cleaning Window 적용 여부 확인
-Cleaning Window 적용 시, Window Closing을 위한 WPS/PQR, Welding Map 검토 및 용접부 건전성 확인 (UT / RT)
</t>
  </si>
  <si>
    <t>PQAN-2026-003</t>
  </si>
  <si>
    <t>Oxygen Service Valve의 Cleanliness 요건 불만족(EIGA 33) - 포장손상</t>
  </si>
  <si>
    <t>Forged Valve (Oxygen Servie)</t>
  </si>
  <si>
    <t>OMB</t>
  </si>
  <si>
    <t xml:space="preserve">Oxygen Valve에 대한 현장 자재인수검사 중 포장 손상, 밀봉 손상, 표면 오염이 발견되었고, 이는 EIGA Doc 33/18에 따라 확보한 Cleanliness의 훼손을 의미함
※ EIGA Doc 33/18, Para. 10: Clean Room에서 Cleanliness 검사 완료 직후 오염 방지를 위한 밀봉 작업이 이루어져야 함
</t>
  </si>
  <si>
    <t xml:space="preserve">Cleanliness Requirements를 고려하지 않은 
 Packing Method 적용
  - 개별 Seal Packing 손상 방지를 위한 
     Wooden Box – Valve 간 보호조치 미흡
  - Valve 간 충돌 방지를 위한 보호조치 및 충분한 
     이격거리 미확보 (밀집 포장)
Valve 외부 표면 오염 
  - Seal Packing 손상 또는 Seal Packing 
     작업 미흡으로 인해 산소 유입 
  - Valve 표면에 흡착된 철가루가 산화하여 녹 발생 추정
</t>
  </si>
  <si>
    <t xml:space="preserve">개별 Seal Packing 등 내부 손상 방지를 위한 Packing Procedure 수립 및 이행
  - Valve – Valve, Wooden Box – Valve 간 Protection 방안 
     (Ex. Seal Packing - Bubble Wrap 이중포장) 
  - Nail이 아닌 Screw를 사용한 Boxing 작업 수행
Vendor 반송 (Vendor Guarantee) &amp; 하기 검사항목 100% 입회검사 진행 (by TPI) 
  - Cleaning &amp; Cleanliness Inspection / Seal Packing Process (at Clean Room) 
  - Packing (Wooden Box Closing) Inspection
</t>
  </si>
  <si>
    <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t>
    <phoneticPr fontId="11" type="noConversion"/>
  </si>
  <si>
    <t>PQAN-2026-004</t>
  </si>
  <si>
    <t>철골</t>
  </si>
  <si>
    <t>Steel Structure 도장 박리</t>
  </si>
  <si>
    <t>Steel Structure</t>
  </si>
  <si>
    <t>KIC</t>
  </si>
  <si>
    <t>한국</t>
    <phoneticPr fontId="11" type="noConversion"/>
  </si>
  <si>
    <t>배관 Spool &amp; 철골 도장 후 자재 인수검사 / 현장설치 후 도장박리 발생으로 Bare Steel 노출</t>
  </si>
  <si>
    <t xml:space="preserve">일반 Inorganic Zinc 도료는 상대적으로 높은 온도와 습도 조건에서 경화 성능 발현
  - 동절기 저온/저습 환경에서 경화 지연 및 경화 시간 
     불충분으로 불완전 경화
Inorganic Zinc Primer Coat의 불완전 경화 (Curing)로 인한 Substrate와의 계면 접착력 저하
Intermediate Coat의 경화 (Curing) 과정에서 발생한 수축 응력이 불완전 경화된 Primer Coat에 인장 응력으로 작용하여 계면 박리 발생 (철골)    
</t>
  </si>
  <si>
    <t xml:space="preserve">Paint Maker의 Technical Data Sheet (TDS) 및 Application Guide의 도장 요건 준수
계절별 충분한 온도/습도 및 경화시간 확보
Inorganic Zinc의 불완전 경화가 의심되는 경우 MEK Test 실시
Substrate 표면처리 적합성 확인 검사 수행
  - Press O Film Test, Dust Test,  Salt Contamination Test
Production Paint 수행 전 Paint Panel Test (Mock-up Test) 수행
</t>
  </si>
  <si>
    <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t>
    <phoneticPr fontId="11" type="noConversion"/>
  </si>
  <si>
    <t>3P</t>
    <phoneticPr fontId="11" type="noConversion"/>
  </si>
  <si>
    <t>N/A (2025 실적 없음)</t>
    <phoneticPr fontId="11" type="noConversion"/>
  </si>
  <si>
    <t>A&amp;A</t>
    <phoneticPr fontId="11" type="noConversion"/>
  </si>
  <si>
    <t>ACES</t>
    <phoneticPr fontId="11" type="noConversion"/>
  </si>
  <si>
    <t>APAVE</t>
    <phoneticPr fontId="11" type="noConversion"/>
  </si>
  <si>
    <t>APPLUS</t>
    <phoneticPr fontId="11" type="noConversion"/>
  </si>
  <si>
    <t>BROOKE</t>
    <phoneticPr fontId="11" type="noConversion"/>
  </si>
  <si>
    <t>BV</t>
    <phoneticPr fontId="11" type="noConversion"/>
  </si>
  <si>
    <t>DNV</t>
    <phoneticPr fontId="11" type="noConversion"/>
  </si>
  <si>
    <t>ERAM</t>
    <phoneticPr fontId="11" type="noConversion"/>
  </si>
  <si>
    <t>FE</t>
    <phoneticPr fontId="11" type="noConversion"/>
  </si>
  <si>
    <t>GISCO</t>
    <phoneticPr fontId="11" type="noConversion"/>
  </si>
  <si>
    <t>GOODIN</t>
    <phoneticPr fontId="11" type="noConversion"/>
  </si>
  <si>
    <t>INTERTEK</t>
    <phoneticPr fontId="11" type="noConversion"/>
  </si>
  <si>
    <t>KOTEC</t>
    <phoneticPr fontId="11" type="noConversion"/>
  </si>
  <si>
    <t>PETRO-Q</t>
    <phoneticPr fontId="11" type="noConversion"/>
  </si>
  <si>
    <t>PETROZONE</t>
    <phoneticPr fontId="11" type="noConversion"/>
  </si>
  <si>
    <t>RINA</t>
    <phoneticPr fontId="11" type="noConversion"/>
  </si>
  <si>
    <t>SGS</t>
    <phoneticPr fontId="11" type="noConversion"/>
  </si>
  <si>
    <t>TEXIN</t>
    <phoneticPr fontId="11" type="noConversion"/>
  </si>
  <si>
    <t>TQ CERT</t>
    <phoneticPr fontId="11" type="noConversion"/>
  </si>
  <si>
    <t>TECHNOCRAT</t>
    <phoneticPr fontId="11" type="noConversion"/>
  </si>
  <si>
    <t>TUV NORD</t>
    <phoneticPr fontId="11" type="noConversion"/>
  </si>
  <si>
    <t>TUV RHEINLAND</t>
    <phoneticPr fontId="11" type="noConversion"/>
  </si>
  <si>
    <t>ACE PLANTECH</t>
    <phoneticPr fontId="11" type="noConversion"/>
  </si>
  <si>
    <t>AMO</t>
    <phoneticPr fontId="11" type="noConversion"/>
  </si>
  <si>
    <t>HEBO</t>
    <phoneticPr fontId="11" type="noConversion"/>
  </si>
  <si>
    <t>SITCO</t>
    <phoneticPr fontId="11" type="noConversion"/>
  </si>
  <si>
    <t>N/A</t>
    <phoneticPr fontId="4" type="noConversion"/>
  </si>
  <si>
    <t>SAC2</t>
    <phoneticPr fontId="11" type="noConversion"/>
  </si>
  <si>
    <t>USD</t>
    <phoneticPr fontId="11" type="noConversion"/>
  </si>
  <si>
    <t>ALOM</t>
    <phoneticPr fontId="11" type="noConversion"/>
  </si>
  <si>
    <t>MIP6</t>
    <phoneticPr fontId="11" type="noConversion"/>
  </si>
  <si>
    <t>SM12</t>
    <phoneticPr fontId="11" type="noConversion"/>
  </si>
  <si>
    <t>STA4</t>
    <phoneticPr fontId="11" type="noConversion"/>
  </si>
  <si>
    <t>IBRU</t>
    <phoneticPr fontId="11" type="noConversion"/>
  </si>
  <si>
    <t>SHN1</t>
    <phoneticPr fontId="11" type="noConversion"/>
  </si>
  <si>
    <t>KRW</t>
    <phoneticPr fontId="11" type="noConversion"/>
  </si>
  <si>
    <t>VEQU</t>
    <phoneticPr fontId="11" type="noConversion"/>
  </si>
  <si>
    <t>유요석 팀장</t>
    <phoneticPr fontId="4" type="noConversion"/>
  </si>
  <si>
    <t>플랜트구매품질팀</t>
    <phoneticPr fontId="4" type="noConversion"/>
  </si>
  <si>
    <t>본사</t>
    <phoneticPr fontId="4" type="noConversion"/>
  </si>
  <si>
    <t>G3</t>
    <phoneticPr fontId="4" type="noConversion"/>
  </si>
  <si>
    <t>해당없음</t>
    <phoneticPr fontId="11" type="noConversion"/>
  </si>
  <si>
    <t>강택기 책임</t>
    <phoneticPr fontId="4" type="noConversion"/>
  </si>
  <si>
    <t>Piping</t>
    <phoneticPr fontId="4" type="noConversion"/>
  </si>
  <si>
    <t>SAC2 / VEQU</t>
    <phoneticPr fontId="4" type="noConversion"/>
  </si>
  <si>
    <t>Electrical &amp; Instrument</t>
    <phoneticPr fontId="4" type="noConversion"/>
  </si>
  <si>
    <t>ALOM / VEQU</t>
    <phoneticPr fontId="4" type="noConversion"/>
  </si>
  <si>
    <t>STA4 / ALOM / CSSP</t>
    <phoneticPr fontId="4" type="noConversion"/>
  </si>
  <si>
    <t>서민 책임</t>
    <phoneticPr fontId="4" type="noConversion"/>
  </si>
  <si>
    <t>Rotating</t>
    <phoneticPr fontId="4" type="noConversion"/>
  </si>
  <si>
    <t>STA4 / CSSP / PNG1</t>
    <phoneticPr fontId="4" type="noConversion"/>
  </si>
  <si>
    <t>SM12 / IBRU / CSSP / PNG1</t>
    <phoneticPr fontId="4" type="noConversion"/>
  </si>
  <si>
    <t>Static</t>
    <phoneticPr fontId="4" type="noConversion"/>
  </si>
  <si>
    <t>SM12 / ALOM / CSSP</t>
    <phoneticPr fontId="4" type="noConversion"/>
  </si>
  <si>
    <t>나광조 책임</t>
    <phoneticPr fontId="4" type="noConversion"/>
  </si>
  <si>
    <t>G2</t>
    <phoneticPr fontId="4" type="noConversion"/>
  </si>
  <si>
    <t>SHN1 / ALOM / CSSP / PNG1</t>
    <phoneticPr fontId="4" type="noConversion"/>
  </si>
  <si>
    <t>PNG1 / ALSM</t>
    <phoneticPr fontId="4" type="noConversion"/>
  </si>
  <si>
    <t>VEQU / CSSP / PNG1</t>
    <phoneticPr fontId="4" type="noConversion"/>
  </si>
  <si>
    <t>STA4 / SHN1</t>
    <phoneticPr fontId="4" type="noConversion"/>
  </si>
  <si>
    <t>석우경 매니저</t>
    <phoneticPr fontId="4" type="noConversion"/>
  </si>
  <si>
    <t>G1</t>
    <phoneticPr fontId="4" type="noConversion"/>
  </si>
  <si>
    <t>ALOM / CSSP / PNG1</t>
    <phoneticPr fontId="4" type="noConversion"/>
  </si>
  <si>
    <t>고팔라크리스낸 매니저</t>
    <phoneticPr fontId="4" type="noConversion"/>
  </si>
  <si>
    <t>GS</t>
    <phoneticPr fontId="4" type="noConversion"/>
  </si>
  <si>
    <t>STA4 / VEQU / CSSP / PNG1</t>
    <phoneticPr fontId="4" type="noConversion"/>
  </si>
  <si>
    <t>술탄 매니저</t>
    <phoneticPr fontId="4" type="noConversion"/>
  </si>
  <si>
    <t>VEQU / CSSP</t>
    <phoneticPr fontId="4" type="noConversion"/>
  </si>
  <si>
    <t>엥흐철멍 매니저</t>
    <phoneticPr fontId="4" type="noConversion"/>
  </si>
  <si>
    <t>현장</t>
    <phoneticPr fontId="4" type="noConversion"/>
  </si>
  <si>
    <t>강인묵 책임</t>
    <phoneticPr fontId="4" type="noConversion"/>
  </si>
  <si>
    <t>서울사무소</t>
    <phoneticPr fontId="4" type="noConversion"/>
  </si>
  <si>
    <t>STA4 / CSSP</t>
    <phoneticPr fontId="4" type="noConversion"/>
  </si>
  <si>
    <t>최영준 책임</t>
    <phoneticPr fontId="4" type="noConversion"/>
  </si>
  <si>
    <t>임효원 책임</t>
    <phoneticPr fontId="4" type="noConversion"/>
  </si>
  <si>
    <t>P6</t>
    <phoneticPr fontId="4" type="noConversion"/>
  </si>
  <si>
    <t>황윤섭 책임</t>
    <phoneticPr fontId="4" type="noConversion"/>
  </si>
  <si>
    <t>P5</t>
    <phoneticPr fontId="4" type="noConversion"/>
  </si>
  <si>
    <t>조상래 매니저</t>
    <phoneticPr fontId="4" type="noConversion"/>
  </si>
  <si>
    <t>박지애 매니저</t>
    <phoneticPr fontId="4" type="noConversion"/>
  </si>
  <si>
    <t>P2</t>
    <phoneticPr fontId="4" type="noConversion"/>
  </si>
  <si>
    <t>박재석 책임</t>
    <phoneticPr fontId="4" type="noConversion"/>
  </si>
  <si>
    <t>유녕희 매니저</t>
    <phoneticPr fontId="4" type="noConversion"/>
  </si>
  <si>
    <t>P3</t>
    <phoneticPr fontId="11" type="noConversion"/>
  </si>
  <si>
    <t>Inspection Coordinator</t>
    <phoneticPr fontId="11" type="noConversion"/>
  </si>
  <si>
    <t>최보윤 매니저</t>
    <phoneticPr fontId="4" type="noConversion"/>
  </si>
  <si>
    <t>P1</t>
    <phoneticPr fontId="11" type="noConversion"/>
  </si>
  <si>
    <t>성유진 매니저</t>
    <phoneticPr fontId="4" type="noConversion"/>
  </si>
  <si>
    <t>STA4</t>
    <phoneticPr fontId="17" type="noConversion"/>
  </si>
  <si>
    <t>장치</t>
    <phoneticPr fontId="17" type="noConversion"/>
  </si>
  <si>
    <t>MS001</t>
    <phoneticPr fontId="17" type="noConversion"/>
  </si>
  <si>
    <t>PRESSURE VESSEL I</t>
  </si>
  <si>
    <t>12 ea</t>
    <phoneticPr fontId="17" type="noConversion"/>
  </si>
  <si>
    <t>고팔라크리스낸 매니저</t>
    <phoneticPr fontId="17" type="noConversion"/>
  </si>
  <si>
    <t>최영준 책임</t>
    <phoneticPr fontId="17" type="noConversion"/>
  </si>
  <si>
    <t>MS002</t>
    <phoneticPr fontId="17" type="noConversion"/>
  </si>
  <si>
    <t>PRESSURE VESSEL II</t>
  </si>
  <si>
    <t>13 ea</t>
    <phoneticPr fontId="17" type="noConversion"/>
  </si>
  <si>
    <t>MS003</t>
  </si>
  <si>
    <t>PRESSURE VESSEL III</t>
  </si>
  <si>
    <t>1 ea</t>
    <phoneticPr fontId="17" type="noConversion"/>
  </si>
  <si>
    <t>완료</t>
    <phoneticPr fontId="17" type="noConversion"/>
  </si>
  <si>
    <t>MS004</t>
  </si>
  <si>
    <t>FILTER</t>
  </si>
  <si>
    <t>7 ea</t>
    <phoneticPr fontId="17" type="noConversion"/>
  </si>
  <si>
    <t>IDR 작성/제출 완료, VIRB 제출완료 / 서류 종료 26.03</t>
    <phoneticPr fontId="17" type="noConversion"/>
  </si>
  <si>
    <t>정진우</t>
    <phoneticPr fontId="17" type="noConversion"/>
  </si>
  <si>
    <t>MS005</t>
  </si>
  <si>
    <t>SHELL AND TUBE HEAT EXCHANGER</t>
  </si>
  <si>
    <t>3 ea</t>
    <phoneticPr fontId="17" type="noConversion"/>
  </si>
  <si>
    <t>MS006</t>
  </si>
  <si>
    <t>AIR COOLED HEAT EXCHANGER</t>
  </si>
  <si>
    <t>IDR 제출완료/VIRB 제출완료 / 서류 종료 예상시기 26.03</t>
    <phoneticPr fontId="17" type="noConversion"/>
  </si>
  <si>
    <t>MS007</t>
  </si>
  <si>
    <t>PLATE &amp; FRAME HEAT EXCHANGER</t>
  </si>
  <si>
    <t>MS008</t>
  </si>
  <si>
    <t>SALINE COOLING WATER FILTER PACKAGE</t>
  </si>
  <si>
    <t>33 ea</t>
    <phoneticPr fontId="17" type="noConversion"/>
  </si>
  <si>
    <t>IDR 필요없음 (Inspection Level 3) / AET Procedure 발주처 승인 완료 
/ VIRB 진행 필요(현재 미접수) / 서류 종료 예상시기 26.04</t>
    <phoneticPr fontId="17" type="noConversion"/>
  </si>
  <si>
    <t>정진우 책임</t>
    <phoneticPr fontId="17" type="noConversion"/>
  </si>
  <si>
    <t>MS011</t>
    <phoneticPr fontId="17" type="noConversion"/>
  </si>
  <si>
    <t>STORAGE TANK</t>
  </si>
  <si>
    <t>17 ea</t>
    <phoneticPr fontId="17" type="noConversion"/>
  </si>
  <si>
    <t>MS012</t>
    <phoneticPr fontId="17" type="noConversion"/>
  </si>
  <si>
    <t>EDUCTOR</t>
  </si>
  <si>
    <t>IDR 필요없음 / VIRB 제출완료</t>
    <phoneticPr fontId="17" type="noConversion"/>
  </si>
  <si>
    <t>MS013</t>
  </si>
  <si>
    <t>STATIC MIXER</t>
  </si>
  <si>
    <t>MS014</t>
  </si>
  <si>
    <t>DESUPER HEATER</t>
  </si>
  <si>
    <t>IDR 체출완료 / VIRB 제출완료</t>
    <phoneticPr fontId="17" type="noConversion"/>
  </si>
  <si>
    <t>MS015</t>
  </si>
  <si>
    <t>SILENCER</t>
  </si>
  <si>
    <t>NA</t>
    <phoneticPr fontId="17" type="noConversion"/>
  </si>
  <si>
    <t>Non inspectable</t>
    <phoneticPr fontId="17" type="noConversion"/>
  </si>
  <si>
    <t>MS016</t>
  </si>
  <si>
    <t>DEAERATOR</t>
  </si>
  <si>
    <t>IDR 작성/제출 필요, VIRB 접수(26.04.08) / 서류 종료 예상시기 26.04</t>
    <phoneticPr fontId="17" type="noConversion"/>
  </si>
  <si>
    <t>MS017</t>
  </si>
  <si>
    <t>AIR DRYER PACKAGE</t>
  </si>
  <si>
    <t>AIR DRYER PACKAGE 1 lot</t>
    <phoneticPr fontId="17" type="noConversion"/>
  </si>
  <si>
    <t>Loose Supplied Valve 검사 완료</t>
    <phoneticPr fontId="17" type="noConversion"/>
  </si>
  <si>
    <t>MS018</t>
  </si>
  <si>
    <t>LIN STORAGE &amp; VAPORIZATION SYSTEM</t>
  </si>
  <si>
    <t>LIN STORAGE &amp; VAPORIZATION 1 lot
-. LIN Storage Vessel (6ea) (Inner / outer)
-. Steam Bath Vaporizer (3ea)
-. Nitrogen Pressure Built-up Vaporizer (6ea) - 완료
-. Nitrogen boil off heater (2ea) - 완료
-. Interconnecting piping
-. Piping Skid (1set)</t>
    <phoneticPr fontId="17" type="noConversion"/>
  </si>
  <si>
    <t>MS019</t>
  </si>
  <si>
    <t>ACTIVATED CARBON FILTER PACKAGE</t>
  </si>
  <si>
    <t>ACFP (FILTREX SRL) 3 Skid
Filter Vessel (Fabtech) 3 EA</t>
    <phoneticPr fontId="17" type="noConversion"/>
  </si>
  <si>
    <t>IRC Filter Vessel 12/22일 발행 완료 / Skid 4/16 발행 예정</t>
    <phoneticPr fontId="17" type="noConversion"/>
  </si>
  <si>
    <t>MS020</t>
  </si>
  <si>
    <t>INCINERATOR PACKAGE</t>
  </si>
  <si>
    <t>Incinerator Package 1 lot (ZEECO)
Chamber &amp; Stack 4 set (Morimatsu) - 완료
Air blower 4 set
Burner 2 set - 완료</t>
    <phoneticPr fontId="17" type="noConversion"/>
  </si>
  <si>
    <t>Skid IRC 발급 기준 / Anchor bolt IRC 발행 완료 / Chamber &amp; Stack STD Flange 수급으로 11월 말 납품가능</t>
    <phoneticPr fontId="17" type="noConversion"/>
  </si>
  <si>
    <t>고팔라크리스낸 매니저</t>
  </si>
  <si>
    <t>MS021</t>
  </si>
  <si>
    <t>FLARE PACKAGE</t>
  </si>
  <si>
    <t>LPEF 1 lot (ZEECO)
MPGF 1 lot (ZEECO)
Derrick Structure 1 lot (FMC) 
Water Seal Drum 1 lot (SAMIF)
Dish Head for WSD 2 ea (AOI)
Radiation Fence 1 lot (Al Kabii)</t>
    <phoneticPr fontId="17" type="noConversion"/>
  </si>
  <si>
    <t xml:space="preserve">Stack Riser 7기 모두 IRC 발행 (ZEECO), Derrick Structure IRC 100% (FMC), Derrick 2nd Structure IRC 90% (Al Kaabi), LPEF &amp; MPGF 납기지연 공문 접수 </t>
  </si>
  <si>
    <t>MS023</t>
    <phoneticPr fontId="17" type="noConversion"/>
  </si>
  <si>
    <t>FLARE GAS RECOVERY PACKAGE</t>
  </si>
  <si>
    <t>FGRP 1 lot
Centri. Pump 1 lot
Air Cooler 1 lot - 완료
Spearator Vessel 1 lot
Motor 1 lot - 완료</t>
    <phoneticPr fontId="17" type="noConversion"/>
  </si>
  <si>
    <t>MS024</t>
    <phoneticPr fontId="17" type="noConversion"/>
  </si>
  <si>
    <t>EXPLOSION HATCH</t>
  </si>
  <si>
    <t>완료</t>
  </si>
  <si>
    <r>
      <t>MS02</t>
    </r>
    <r>
      <rPr>
        <sz val="10"/>
        <rFont val="맑은 고딕"/>
        <family val="1"/>
        <charset val="129"/>
      </rPr>
      <t>5</t>
    </r>
    <phoneticPr fontId="17" type="noConversion"/>
  </si>
  <si>
    <t>EQUIPMENT PLATFORM &amp; LADDER</t>
  </si>
  <si>
    <t>307.5 MT</t>
  </si>
  <si>
    <t>IDR 필요없음 / VIRB 진행필요</t>
    <phoneticPr fontId="17" type="noConversion"/>
  </si>
  <si>
    <t>최우석 책임</t>
    <phoneticPr fontId="17" type="noConversion"/>
  </si>
  <si>
    <t>철골</t>
    <phoneticPr fontId="17" type="noConversion"/>
  </si>
  <si>
    <t>SS001</t>
    <phoneticPr fontId="17" type="noConversion"/>
  </si>
  <si>
    <t xml:space="preserve">STRUCTURAL STEEL </t>
  </si>
  <si>
    <t>22500 MT</t>
  </si>
  <si>
    <t>IDR 작성필요 / VIRB 제출필요</t>
    <phoneticPr fontId="17" type="noConversion"/>
  </si>
  <si>
    <t>SC002</t>
    <phoneticPr fontId="17" type="noConversion"/>
  </si>
  <si>
    <t>ISOLATED SUPPORT</t>
  </si>
  <si>
    <t>2150 MT</t>
  </si>
  <si>
    <t>IDR 필요없음 / VIRB 진행필요없음</t>
    <phoneticPr fontId="17" type="noConversion"/>
  </si>
  <si>
    <t>회전</t>
    <phoneticPr fontId="17" type="noConversion"/>
  </si>
  <si>
    <t>MR001</t>
    <phoneticPr fontId="17" type="noConversion"/>
  </si>
  <si>
    <t>CENTRIFUGAL COMPRESSOR (API 617)</t>
  </si>
  <si>
    <t>CENTRIFUGAL COMPRESSOR (API 617) : 1 ea
MOTOR FOR CENTRIFUGAL COMPRESSOR (API 617) : 1 ea
Gear Box FOR CENTRIFUGAL COMPRESSOR (API 617) : 1 ea
Lube Oil Unit FOR CENTRIFUGAL COMPRESSOR (API 617) : 1 ea</t>
    <phoneticPr fontId="17" type="noConversion"/>
  </si>
  <si>
    <t>100%
100%
100%
100%</t>
    <phoneticPr fontId="17" type="noConversion"/>
  </si>
  <si>
    <t>VIRB 진행필요 / IDR 작성필요</t>
    <phoneticPr fontId="17" type="noConversion"/>
  </si>
  <si>
    <t>서민 책임</t>
    <phoneticPr fontId="17" type="noConversion"/>
  </si>
  <si>
    <t>장동철 책임</t>
    <phoneticPr fontId="17" type="noConversion"/>
  </si>
  <si>
    <t>MR003</t>
    <phoneticPr fontId="17" type="noConversion"/>
  </si>
  <si>
    <t>AIR COMPRESSOR PACKAGE (API 672)</t>
  </si>
  <si>
    <t>AIR COMPRESSOR PACKAGE (API 672) : 4 ea
Motor for AIR COMPRESSOR PACKAGE (API 672) : 4 ea</t>
    <phoneticPr fontId="17" type="noConversion"/>
  </si>
  <si>
    <t>100%
100%</t>
    <phoneticPr fontId="17" type="noConversion"/>
  </si>
  <si>
    <t>MR004</t>
    <phoneticPr fontId="17" type="noConversion"/>
  </si>
  <si>
    <t>BOILER FEED WATER PUMP (API 610 BB)</t>
  </si>
  <si>
    <t>BOILER FEED WATER PUMP (API 610 BB) : 3 ea
Motor for BOILER FEED WATER PUMP (API 610 BB) : 3 ea</t>
    <phoneticPr fontId="17" type="noConversion"/>
  </si>
  <si>
    <t>VIRB 진행 중 / IDR 작성 필요</t>
    <phoneticPr fontId="17" type="noConversion"/>
  </si>
  <si>
    <t>MR005</t>
    <phoneticPr fontId="17" type="noConversion"/>
  </si>
  <si>
    <t>COOLING WATER PUMP (API 610 BB)</t>
  </si>
  <si>
    <t>COOLING WATER PUMP (API 610 BB) : 34 ea
MOTOR FOR COOLING WATER PUMP (API 610 BB) : 34 ea</t>
    <phoneticPr fontId="17" type="noConversion"/>
  </si>
  <si>
    <t>MR006</t>
  </si>
  <si>
    <t xml:space="preserve">CENTRIFUGAL PUMP (API 610 BB) -BLOW DOWN PUMP </t>
  </si>
  <si>
    <t>CENTRIFUGAL PUMP (API 610 BB) -Blow Down Pump : 3 ea
Motor for CENTRIFUGAL PUMP (API 610 BB) -Blow Down Pump : 3 ea</t>
    <phoneticPr fontId="17" type="noConversion"/>
  </si>
  <si>
    <t>MR007</t>
  </si>
  <si>
    <t>CENTRIFUGAL PUMP (OH TYPE)</t>
  </si>
  <si>
    <t>CENTRIFUGAL PUMP (OH TYPE) : 32 ea
MOTOR FOR CENTRIFUGAL PUMP (OH TYPE) : 2 ea</t>
    <phoneticPr fontId="17" type="noConversion"/>
  </si>
  <si>
    <r>
      <rPr>
        <sz val="10"/>
        <rFont val="Calibri"/>
        <family val="2"/>
      </rPr>
      <t xml:space="preserve">VIRB </t>
    </r>
    <r>
      <rPr>
        <sz val="10"/>
        <rFont val="현대하모니 L"/>
        <family val="2"/>
        <charset val="129"/>
      </rPr>
      <t>진행필요</t>
    </r>
    <r>
      <rPr>
        <sz val="10"/>
        <rFont val="Calibri"/>
        <family val="2"/>
      </rPr>
      <t xml:space="preserve"> / IDR </t>
    </r>
    <r>
      <rPr>
        <sz val="10"/>
        <rFont val="현대하모니 L"/>
        <family val="2"/>
        <charset val="129"/>
      </rPr>
      <t>작성필요 (</t>
    </r>
    <r>
      <rPr>
        <sz val="10"/>
        <rFont val="Calibri"/>
        <family val="2"/>
      </rPr>
      <t>Inspection Level 1 item)</t>
    </r>
    <phoneticPr fontId="17" type="noConversion"/>
  </si>
  <si>
    <t>MR007(VO)</t>
    <phoneticPr fontId="17" type="noConversion"/>
  </si>
  <si>
    <t>CENTRIFUGAL PUMP (OH TYPE) : 6 ea</t>
    <phoneticPr fontId="17" type="noConversion"/>
  </si>
  <si>
    <t>430-G-0041-A/B, 430-G-0043-A/B, 405-G-0010-A/B 추가됨</t>
    <phoneticPr fontId="17" type="noConversion"/>
  </si>
  <si>
    <t>MR008</t>
  </si>
  <si>
    <t>CENTRIFUGAL PUMP (VERTICAL TYPE)</t>
  </si>
  <si>
    <t>CENTRIFUGAL PUMP (VERTICAL TYPE) : 10 EA</t>
    <phoneticPr fontId="17" type="noConversion"/>
  </si>
  <si>
    <t>　 401-G-0001-A/B/C/D 추가됨</t>
    <phoneticPr fontId="17" type="noConversion"/>
  </si>
  <si>
    <t>MR010</t>
    <phoneticPr fontId="17" type="noConversion"/>
  </si>
  <si>
    <t>SEALLESS PUMP (API 685)</t>
  </si>
  <si>
    <t>SEALLESS PUMP (API 685) : 2 ea</t>
    <phoneticPr fontId="17" type="noConversion"/>
  </si>
  <si>
    <t>Impeller Diameter 문제 확인으로 현재 NCR 발행 및 Waiver Request 제출, Conditional IRC issue, VIRB 진행필요</t>
    <phoneticPr fontId="17" type="noConversion"/>
  </si>
  <si>
    <t>MR010(VO)</t>
    <phoneticPr fontId="17" type="noConversion"/>
  </si>
  <si>
    <t>420-G-0045-A/B 추가</t>
    <phoneticPr fontId="17" type="noConversion"/>
  </si>
  <si>
    <t>MR011</t>
    <phoneticPr fontId="17" type="noConversion"/>
  </si>
  <si>
    <t>SUBMERSIBLE PUMP (NON-API)</t>
  </si>
  <si>
    <t>29 ea</t>
    <phoneticPr fontId="17" type="noConversion"/>
  </si>
  <si>
    <t>VIRB 진행필요 / IDR 필요없음(IL 3)
Auto Coupling의 adaptor 추가 제작 5월 검사 예정</t>
    <phoneticPr fontId="17" type="noConversion"/>
  </si>
  <si>
    <t>MR012</t>
    <phoneticPr fontId="17" type="noConversion"/>
  </si>
  <si>
    <t>FIRE WATER PUMP (NFPA 20)</t>
  </si>
  <si>
    <t>FIRE WATER PUMP (NFPA 20) : 9 ea
MOTOR FOR FIRE WATER PUMP (NFPA 20) : 3 ea</t>
    <phoneticPr fontId="17" type="noConversion"/>
  </si>
  <si>
    <t>VIRB 완료,  IDR 작성 필요</t>
    <phoneticPr fontId="17" type="noConversion"/>
  </si>
  <si>
    <t>MR013</t>
    <phoneticPr fontId="17" type="noConversion"/>
  </si>
  <si>
    <t>COOLING TOWER</t>
  </si>
  <si>
    <t>COOLING TOWER : 1 ea
Motor for COOLING TOWER : 54 ea</t>
    <phoneticPr fontId="17" type="noConversion"/>
  </si>
  <si>
    <t>MR014</t>
    <phoneticPr fontId="17" type="noConversion"/>
  </si>
  <si>
    <t>ELECTROCHLORINATION PACKAGE</t>
  </si>
  <si>
    <t>ELECTROCHLORINATION PACKAGE : 9 ea</t>
    <phoneticPr fontId="17" type="noConversion"/>
  </si>
  <si>
    <t>Platform, Pipe Supports and cable tray supports 제작중</t>
    <phoneticPr fontId="17" type="noConversion"/>
  </si>
  <si>
    <t>MR015</t>
  </si>
  <si>
    <t>CHILLER PACKAGE</t>
  </si>
  <si>
    <t>2 ea</t>
    <phoneticPr fontId="17" type="noConversion"/>
  </si>
  <si>
    <t>IAP 없음(IL3), VIRB 진행필요 / IDR 필요없음(IL 3)</t>
    <phoneticPr fontId="17" type="noConversion"/>
  </si>
  <si>
    <t>MR016</t>
  </si>
  <si>
    <t>CHEMICAL INJECTION PACKAGE</t>
  </si>
  <si>
    <t>CHEMICAL INJECTION PACKAGE : 5 ea</t>
    <phoneticPr fontId="17" type="noConversion"/>
  </si>
  <si>
    <t>MR017</t>
  </si>
  <si>
    <t xml:space="preserve">CRANE </t>
  </si>
  <si>
    <t>9 ea</t>
    <phoneticPr fontId="17" type="noConversion"/>
  </si>
  <si>
    <t>IAP 없음(IL3), VIRB 진행 중 / IDR 필요없음(IL 3)</t>
    <phoneticPr fontId="17" type="noConversion"/>
  </si>
  <si>
    <t>MR019</t>
    <phoneticPr fontId="17" type="noConversion"/>
  </si>
  <si>
    <t>SIDE ENTRY MIXER</t>
  </si>
  <si>
    <t>추가 PO(KOM 완료)</t>
    <phoneticPr fontId="17" type="noConversion"/>
  </si>
  <si>
    <t>MR020</t>
    <phoneticPr fontId="17" type="noConversion"/>
  </si>
  <si>
    <t>SEA WATER BOOSER PUMP</t>
  </si>
  <si>
    <t>4 ea</t>
    <phoneticPr fontId="17" type="noConversion"/>
  </si>
  <si>
    <t>소방/안전</t>
    <phoneticPr fontId="17" type="noConversion"/>
  </si>
  <si>
    <t>SE001</t>
    <phoneticPr fontId="17" type="noConversion"/>
  </si>
  <si>
    <t>FIRE &amp; SAFETY EQUIPMENT</t>
  </si>
  <si>
    <t>1 lot</t>
    <phoneticPr fontId="17" type="noConversion"/>
  </si>
  <si>
    <t>IAP 없음(IL3)</t>
  </si>
  <si>
    <t>SE002</t>
    <phoneticPr fontId="17" type="noConversion"/>
  </si>
  <si>
    <t>CLEAN AGENT FIRE EXTINGUISHING SYSTEM</t>
  </si>
  <si>
    <t>공조</t>
    <phoneticPr fontId="17" type="noConversion"/>
  </si>
  <si>
    <t>HV001</t>
    <phoneticPr fontId="17" type="noConversion"/>
  </si>
  <si>
    <t>HVAC EQUIPMENT</t>
  </si>
  <si>
    <t>기타</t>
    <phoneticPr fontId="17" type="noConversion"/>
  </si>
  <si>
    <t>PR001</t>
    <phoneticPr fontId="17" type="noConversion"/>
  </si>
  <si>
    <t>CHEMICAL</t>
  </si>
  <si>
    <t>PR002</t>
    <phoneticPr fontId="17" type="noConversion"/>
  </si>
  <si>
    <t>SPECIAL CHEMICAL</t>
  </si>
  <si>
    <t>배관</t>
    <phoneticPr fontId="17" type="noConversion"/>
  </si>
  <si>
    <t>PI001</t>
    <phoneticPr fontId="17" type="noConversion"/>
  </si>
  <si>
    <t>RTR PIPING</t>
  </si>
  <si>
    <t>117200 m</t>
    <phoneticPr fontId="17" type="noConversion"/>
  </si>
  <si>
    <t>임효원 책임</t>
    <phoneticPr fontId="17" type="noConversion"/>
  </si>
  <si>
    <t>PI002</t>
    <phoneticPr fontId="17" type="noConversion"/>
  </si>
  <si>
    <t>CPVC PIPING AND VALVE</t>
  </si>
  <si>
    <t>24973 ea, 6465 ea</t>
    <phoneticPr fontId="17" type="noConversion"/>
  </si>
  <si>
    <t>2개 PO 분리 발주, VIRB 접수 필요 (IL 3) , IDR 필요없음</t>
    <phoneticPr fontId="17" type="noConversion"/>
  </si>
  <si>
    <t>PI003</t>
    <phoneticPr fontId="17" type="noConversion"/>
  </si>
  <si>
    <t>CARBON STEEL SMLS PIPE</t>
  </si>
  <si>
    <t>271874 m</t>
    <phoneticPr fontId="17" type="noConversion"/>
  </si>
  <si>
    <t>PI004</t>
    <phoneticPr fontId="17" type="noConversion"/>
  </si>
  <si>
    <t>CARBON STEEL WELDED PIPE</t>
  </si>
  <si>
    <t>29616 m</t>
    <phoneticPr fontId="17" type="noConversion"/>
  </si>
  <si>
    <t>PI005</t>
  </si>
  <si>
    <t>STAINLESS STEEL SMLS PIPE</t>
  </si>
  <si>
    <t>16230 m</t>
    <phoneticPr fontId="17" type="noConversion"/>
  </si>
  <si>
    <t>PI006</t>
  </si>
  <si>
    <t>STAINLESS STEEL WELDED PIPE</t>
  </si>
  <si>
    <t>4440 m</t>
    <phoneticPr fontId="17" type="noConversion"/>
  </si>
  <si>
    <t>IDR 체출완료 / VIRB 제출완료</t>
  </si>
  <si>
    <t>PI007</t>
  </si>
  <si>
    <t>LOW ALLOY STEEL SMLS PIPE</t>
  </si>
  <si>
    <t>402 m</t>
    <phoneticPr fontId="17" type="noConversion"/>
  </si>
  <si>
    <t>PI008</t>
  </si>
  <si>
    <t>LOW ALLOY STEEL WELDED PIPE</t>
  </si>
  <si>
    <t>600 m</t>
    <phoneticPr fontId="17" type="noConversion"/>
  </si>
  <si>
    <t>PI009</t>
  </si>
  <si>
    <t>FORGED FITTING</t>
  </si>
  <si>
    <t>47491 ea</t>
    <phoneticPr fontId="17" type="noConversion"/>
  </si>
  <si>
    <t>PI010</t>
  </si>
  <si>
    <t>WROUGHT FITTING</t>
  </si>
  <si>
    <t>18862 ea, 9418 ea</t>
    <phoneticPr fontId="17" type="noConversion"/>
  </si>
  <si>
    <t>2개 PO 분리 발주</t>
    <phoneticPr fontId="17" type="noConversion"/>
  </si>
  <si>
    <t>PI011</t>
    <phoneticPr fontId="17" type="noConversion"/>
  </si>
  <si>
    <t>FABRICATED FITTING (LATERAL)</t>
  </si>
  <si>
    <t>24 ea</t>
    <phoneticPr fontId="17" type="noConversion"/>
  </si>
  <si>
    <t>PI012</t>
    <phoneticPr fontId="17" type="noConversion"/>
  </si>
  <si>
    <t>FLANGE</t>
  </si>
  <si>
    <t>47427 ea, 818 ea, 134 ea</t>
    <phoneticPr fontId="17" type="noConversion"/>
  </si>
  <si>
    <t>3개 PO 분리 발주, 1건 IDR 제출 완료</t>
  </si>
  <si>
    <t>PI013</t>
    <phoneticPr fontId="17" type="noConversion"/>
  </si>
  <si>
    <t>FIRE WATER VALVE</t>
  </si>
  <si>
    <t>1079 ea, 39 ea</t>
    <phoneticPr fontId="17" type="noConversion"/>
  </si>
  <si>
    <t>2개 PO 분리 발주, 1건 IDR 제출 완료</t>
  </si>
  <si>
    <t>PI014</t>
    <phoneticPr fontId="17" type="noConversion"/>
  </si>
  <si>
    <t>FORGED VALVE</t>
  </si>
  <si>
    <t>9780 ea</t>
    <phoneticPr fontId="17" type="noConversion"/>
  </si>
  <si>
    <t>PI015</t>
    <phoneticPr fontId="17" type="noConversion"/>
  </si>
  <si>
    <t>DIAPHRAGM VALVE</t>
  </si>
  <si>
    <t>909 ea</t>
    <phoneticPr fontId="17" type="noConversion"/>
  </si>
  <si>
    <t>PI016</t>
    <phoneticPr fontId="17" type="noConversion"/>
  </si>
  <si>
    <t>CASTING VALVE</t>
  </si>
  <si>
    <t>2567 ea, 9 ea</t>
    <phoneticPr fontId="17" type="noConversion"/>
  </si>
  <si>
    <t>PI017</t>
    <phoneticPr fontId="17" type="noConversion"/>
  </si>
  <si>
    <t>DUCTILE IRON EPOXY LINED VALVE</t>
  </si>
  <si>
    <t>800 ea, 12 ea</t>
    <phoneticPr fontId="17" type="noConversion"/>
  </si>
  <si>
    <t>PI018</t>
    <phoneticPr fontId="17" type="noConversion"/>
  </si>
  <si>
    <t>BUTTERFLY VALVE</t>
  </si>
  <si>
    <t>595 ea, 18 ea</t>
    <phoneticPr fontId="17" type="noConversion"/>
  </si>
  <si>
    <t>PI019</t>
    <phoneticPr fontId="17" type="noConversion"/>
  </si>
  <si>
    <t>BALL VALVE</t>
  </si>
  <si>
    <t>211 ea, 50 ea</t>
    <phoneticPr fontId="17" type="noConversion"/>
  </si>
  <si>
    <t>PI021</t>
    <phoneticPr fontId="17" type="noConversion"/>
  </si>
  <si>
    <t>DUAL PLATE CHECK VALVE</t>
  </si>
  <si>
    <t>167 ea</t>
    <phoneticPr fontId="17" type="noConversion"/>
  </si>
  <si>
    <t>PI022</t>
    <phoneticPr fontId="17" type="noConversion"/>
  </si>
  <si>
    <t>PLUG VALVE</t>
  </si>
  <si>
    <t>217 ea, 20 ea</t>
    <phoneticPr fontId="17" type="noConversion"/>
  </si>
  <si>
    <t>PI023</t>
    <phoneticPr fontId="17" type="noConversion"/>
  </si>
  <si>
    <t>BRONZE VALVE</t>
  </si>
  <si>
    <t>160 ea, 10 ea</t>
    <phoneticPr fontId="17" type="noConversion"/>
  </si>
  <si>
    <t>PI024</t>
  </si>
  <si>
    <t>AXIAL CHECK VALVE</t>
  </si>
  <si>
    <t>PI025</t>
  </si>
  <si>
    <t>GASKET AND INSULATION KIT</t>
  </si>
  <si>
    <t>55660 ea</t>
    <phoneticPr fontId="17" type="noConversion"/>
  </si>
  <si>
    <t>VIRB 접수 필요, IDR 작성/제출 불 필요 (inspection level 3)</t>
  </si>
  <si>
    <t>PI026</t>
  </si>
  <si>
    <t>BOLT AND NUT</t>
  </si>
  <si>
    <t>350415 ea</t>
    <phoneticPr fontId="17" type="noConversion"/>
  </si>
  <si>
    <t>PI027</t>
  </si>
  <si>
    <t>STEAM TRAP AND MANIFOLD</t>
  </si>
  <si>
    <t>366 ea</t>
    <phoneticPr fontId="17" type="noConversion"/>
  </si>
  <si>
    <t>PI028</t>
  </si>
  <si>
    <t>STRAINER</t>
  </si>
  <si>
    <t>247 ea</t>
    <phoneticPr fontId="17" type="noConversion"/>
  </si>
  <si>
    <t>PI029</t>
  </si>
  <si>
    <t>HOSE AND CONNECTOR</t>
  </si>
  <si>
    <t>533 ea</t>
    <phoneticPr fontId="17" type="noConversion"/>
  </si>
  <si>
    <t>PI030</t>
  </si>
  <si>
    <t>EXPANSION JOINT</t>
  </si>
  <si>
    <t>124 ea</t>
    <phoneticPr fontId="17" type="noConversion"/>
  </si>
  <si>
    <t>PI031</t>
  </si>
  <si>
    <t>INJECTION NOZZLE</t>
  </si>
  <si>
    <t>VIRB 제출완료, IDR 작성/제출 불 필요 (inspection level 3)</t>
    <phoneticPr fontId="17" type="noConversion"/>
  </si>
  <si>
    <t>PI032</t>
  </si>
  <si>
    <t>FBE LINED AND COATED PIPING</t>
  </si>
  <si>
    <t>PI033</t>
  </si>
  <si>
    <t>INTERLOCKING SYSTEM</t>
  </si>
  <si>
    <t>PI034</t>
  </si>
  <si>
    <t>TUBE AND TUBE FITTING</t>
  </si>
  <si>
    <t>22963, 4326</t>
  </si>
  <si>
    <t>PI036</t>
  </si>
  <si>
    <t>SPRING (INCL. COLD SUPPORT)</t>
  </si>
  <si>
    <t>1734 ea</t>
    <phoneticPr fontId="17" type="noConversion"/>
  </si>
  <si>
    <t>PI037</t>
  </si>
  <si>
    <t>PARALLEL SLIDE GATE VALVE (BULK)</t>
  </si>
  <si>
    <t>44 ea</t>
    <phoneticPr fontId="17" type="noConversion"/>
  </si>
  <si>
    <t>PI038</t>
  </si>
  <si>
    <t>KNIFE GATE VALVE</t>
  </si>
  <si>
    <t>69 ea</t>
    <phoneticPr fontId="17" type="noConversion"/>
  </si>
  <si>
    <t>PI039</t>
  </si>
  <si>
    <t>SPECIAL FITTING (BULK)</t>
  </si>
  <si>
    <t>39 ea</t>
    <phoneticPr fontId="17" type="noConversion"/>
  </si>
  <si>
    <t>PI040</t>
  </si>
  <si>
    <t>AIR RELEASE VALVE</t>
  </si>
  <si>
    <t>42 ea</t>
    <phoneticPr fontId="17" type="noConversion"/>
  </si>
  <si>
    <t>전기</t>
    <phoneticPr fontId="17" type="noConversion"/>
  </si>
  <si>
    <t>EL001</t>
    <phoneticPr fontId="17" type="noConversion"/>
  </si>
  <si>
    <t>230KV GIS</t>
  </si>
  <si>
    <t>14 bays</t>
    <phoneticPr fontId="17" type="noConversion"/>
  </si>
  <si>
    <t>LV.2 / IDR 제출 완료 / VIRB 진행 중</t>
    <phoneticPr fontId="17" type="noConversion"/>
  </si>
  <si>
    <t>윤희수 책임</t>
    <phoneticPr fontId="17" type="noConversion"/>
  </si>
  <si>
    <t>강인묵 책임</t>
    <phoneticPr fontId="17" type="noConversion"/>
  </si>
  <si>
    <t>EL002</t>
    <phoneticPr fontId="17" type="noConversion"/>
  </si>
  <si>
    <t>230/34.5KV POWER TRANSFORMER</t>
  </si>
  <si>
    <t>6대</t>
    <phoneticPr fontId="17" type="noConversion"/>
  </si>
  <si>
    <t>LV.2 / IDR 제출 완료 / VIRB 제출 완료</t>
    <phoneticPr fontId="17" type="noConversion"/>
  </si>
  <si>
    <t>EL003</t>
  </si>
  <si>
    <t>230KV CABLE &amp; ACCESSORIES</t>
  </si>
  <si>
    <t>9,585 m</t>
    <phoneticPr fontId="17" type="noConversion"/>
  </si>
  <si>
    <t>EL004</t>
  </si>
  <si>
    <t>POWER TRANSFORMER &amp; NGR</t>
  </si>
  <si>
    <t>68대</t>
    <phoneticPr fontId="17" type="noConversion"/>
  </si>
  <si>
    <t>LV.2 / IDR 작성 중 / VIRB 진행 필요</t>
    <phoneticPr fontId="17" type="noConversion"/>
  </si>
  <si>
    <t>이해석 책임</t>
    <phoneticPr fontId="17" type="noConversion"/>
  </si>
  <si>
    <t>EL005</t>
  </si>
  <si>
    <t>POWER CAPACITOR</t>
  </si>
  <si>
    <t>LV.2 / IDR 제출 완료 / VIRB 독려중</t>
    <phoneticPr fontId="17" type="noConversion"/>
  </si>
  <si>
    <t>EL006</t>
  </si>
  <si>
    <t>HV SWGR (34.5KV) HV SWGR/MCC</t>
  </si>
  <si>
    <t>5 sets</t>
    <phoneticPr fontId="17" type="noConversion"/>
  </si>
  <si>
    <t>LV.2 / IDR 작성 중 / VIRB 독려중</t>
    <phoneticPr fontId="17" type="noConversion"/>
  </si>
  <si>
    <t>EL007</t>
  </si>
  <si>
    <t>HV SWGR (13.8KV &amp; 4.16KV) HV CONTROL GEAR</t>
  </si>
  <si>
    <t>9 sets</t>
    <phoneticPr fontId="17" type="noConversion"/>
  </si>
  <si>
    <t>LV.2 / IDR 작성 중 / VIRB 독려중 / NCR 종결 필요</t>
    <phoneticPr fontId="17" type="noConversion"/>
  </si>
  <si>
    <t>EL008</t>
  </si>
  <si>
    <t>LV SWGR</t>
  </si>
  <si>
    <t>12 sets</t>
    <phoneticPr fontId="17" type="noConversion"/>
  </si>
  <si>
    <t>EL009</t>
  </si>
  <si>
    <t>LV CONTROLGEAR</t>
  </si>
  <si>
    <t>22 sets</t>
    <phoneticPr fontId="17" type="noConversion"/>
  </si>
  <si>
    <t>EL010</t>
  </si>
  <si>
    <t>EMERGENCY DIESEL GENERATOR</t>
  </si>
  <si>
    <t>4 sets</t>
    <phoneticPr fontId="17" type="noConversion"/>
  </si>
  <si>
    <t>LV.3 / IDR 불필요 / VIRB 진행 필요</t>
    <phoneticPr fontId="17" type="noConversion"/>
  </si>
  <si>
    <t>윤희수 책임</t>
  </si>
  <si>
    <t>EL011</t>
  </si>
  <si>
    <t>AC UPS &amp; DC SYSTEM</t>
  </si>
  <si>
    <t>58 sets</t>
    <phoneticPr fontId="17" type="noConversion"/>
  </si>
  <si>
    <t>EL012</t>
  </si>
  <si>
    <t>ELECTRICAL CONTROL SYSTEM (ECS)</t>
  </si>
  <si>
    <t>8 sets</t>
    <phoneticPr fontId="17" type="noConversion"/>
  </si>
  <si>
    <t xml:space="preserve">LV.2 / IDR 작성 중 / VIRB 진행 필요 / NCR 종결 필요 </t>
    <phoneticPr fontId="17" type="noConversion"/>
  </si>
  <si>
    <t>EL012-1</t>
    <phoneticPr fontId="17" type="noConversion"/>
  </si>
  <si>
    <t>POWER MONITORING SYSTEM (PMS)</t>
  </si>
  <si>
    <t>LV.2 / EL012  ECS 와 동시 진행 예정</t>
    <phoneticPr fontId="17" type="noConversion"/>
  </si>
  <si>
    <t>EL013</t>
  </si>
  <si>
    <t>CATHODIC PROTECTION SYSTEM</t>
  </si>
  <si>
    <t>Lv 3 / IDR 불필요 / VIRB 진행 필요</t>
    <phoneticPr fontId="17" type="noConversion"/>
  </si>
  <si>
    <t>EL014</t>
  </si>
  <si>
    <t>FIRE ALARM SYSTEM</t>
  </si>
  <si>
    <t>EL015</t>
  </si>
  <si>
    <t>ELECTRIC HEAT TRACING SYSTEM</t>
  </si>
  <si>
    <t>NA</t>
  </si>
  <si>
    <t>Non inspectable</t>
  </si>
  <si>
    <t>EL016</t>
  </si>
  <si>
    <t>POWER &amp; CONTROL CABLE</t>
  </si>
  <si>
    <t>1,841,105 m</t>
    <phoneticPr fontId="17" type="noConversion"/>
  </si>
  <si>
    <t>LV.2 / IDR, VIRB 진행 필요 / 전체 물량 납기 완료 예상(26.5월)</t>
    <phoneticPr fontId="17" type="noConversion"/>
  </si>
  <si>
    <t>EL017</t>
  </si>
  <si>
    <t>CABLE TRAY</t>
  </si>
  <si>
    <t>LV.3 / IDR 불필요 / VIRB 진행 필요 / 전체 물량 납기 완료 예상(26.5월)</t>
    <phoneticPr fontId="17" type="noConversion"/>
  </si>
  <si>
    <t>최종현 책임</t>
    <phoneticPr fontId="17" type="noConversion"/>
  </si>
  <si>
    <t>EL018</t>
  </si>
  <si>
    <t>POWER DISTRIBUTION BOARD (NON-EX) -&gt; INDOOR)</t>
  </si>
  <si>
    <t>126 ea</t>
    <phoneticPr fontId="17" type="noConversion"/>
  </si>
  <si>
    <t>LV.3 / IDR 불필요 / VIRB 진행 필요 / 전체 물량 납기 완료 예상(26.4월)</t>
    <phoneticPr fontId="17" type="noConversion"/>
  </si>
  <si>
    <t>이해석 책임</t>
  </si>
  <si>
    <t>EL019</t>
  </si>
  <si>
    <t>POWER DISTRIBUTION BOARD (EX) -&gt; (WP)</t>
  </si>
  <si>
    <t>60 ea</t>
    <phoneticPr fontId="17" type="noConversion"/>
  </si>
  <si>
    <t>LV.3 / IDR 불필요 / VIRB 진행 필요 / 전체 물량 납기 완료 예상 (26.5월)</t>
    <phoneticPr fontId="17" type="noConversion"/>
  </si>
  <si>
    <t>EL020</t>
  </si>
  <si>
    <t>LOCAL CONTROL STATION &amp; JUNCTION BOX</t>
  </si>
  <si>
    <t>279 ea</t>
    <phoneticPr fontId="17" type="noConversion"/>
  </si>
  <si>
    <t>EL021</t>
  </si>
  <si>
    <t>OUTDOOR LIGHTING FIXTURE (EX, NON-EX)</t>
  </si>
  <si>
    <t>EL022</t>
  </si>
  <si>
    <t>INDOOR LIGHTING FIXTURE (EX, NON-EX)</t>
  </si>
  <si>
    <t>EL023</t>
  </si>
  <si>
    <t>CABLE GLAND</t>
  </si>
  <si>
    <t>EL024</t>
  </si>
  <si>
    <t>TERMINATION &amp; SPLICING KIT</t>
  </si>
  <si>
    <t>EL025</t>
  </si>
  <si>
    <t>GROUNDING SYSTEM</t>
  </si>
  <si>
    <t>EL026</t>
  </si>
  <si>
    <t>CONDUIT &amp; FITTING</t>
  </si>
  <si>
    <t>EL027</t>
  </si>
  <si>
    <t>ELECTRIC CAR CHARGING SYSTEM</t>
  </si>
  <si>
    <t>EL030</t>
    <phoneticPr fontId="17" type="noConversion"/>
  </si>
  <si>
    <t>SIGNAL CABLE</t>
  </si>
  <si>
    <t>179,450 m</t>
    <phoneticPr fontId="17" type="noConversion"/>
  </si>
  <si>
    <t>EL031</t>
    <phoneticPr fontId="17" type="noConversion"/>
  </si>
  <si>
    <t>FIBER OPTIC CABLE</t>
  </si>
  <si>
    <t>69,200 m</t>
    <phoneticPr fontId="17" type="noConversion"/>
  </si>
  <si>
    <t>LV.2 / IDR, VIRB 진행필요 / 전체 물량 납기 완료 예상 (26.5월)</t>
    <phoneticPr fontId="17" type="noConversion"/>
  </si>
  <si>
    <t>EL032</t>
    <phoneticPr fontId="17" type="noConversion"/>
  </si>
  <si>
    <t>ELECTRICAL MCT</t>
  </si>
  <si>
    <t>IDR 불필요, VIRB 제출 완료</t>
    <phoneticPr fontId="17" type="noConversion"/>
  </si>
  <si>
    <t>EL033</t>
    <phoneticPr fontId="17" type="noConversion"/>
  </si>
  <si>
    <t>ERGONOMIC LIGHTING</t>
  </si>
  <si>
    <t>통신</t>
    <phoneticPr fontId="17" type="noConversion"/>
  </si>
  <si>
    <t>TE001</t>
    <phoneticPr fontId="17" type="noConversion"/>
  </si>
  <si>
    <t>PASSIVE COMPONENT</t>
  </si>
  <si>
    <t>계장</t>
    <phoneticPr fontId="17" type="noConversion"/>
  </si>
  <si>
    <t>CI001</t>
    <phoneticPr fontId="17" type="noConversion"/>
  </si>
  <si>
    <t xml:space="preserve">PCS - MAC </t>
  </si>
  <si>
    <t>161 면</t>
    <phoneticPr fontId="17" type="noConversion"/>
  </si>
  <si>
    <t>1) PDP (RAWABI) 총 26개 중 14개 IRC (WITH NCR) 처리 완료 , 12면 Punch 종결 진행중
 -&gt; PUNCH Close 지연중 (Touch up paint 불량 이슈)
2) MMS 1면 (VO) Punch 종결 지연중
3) OTS : TBD</t>
    <phoneticPr fontId="17" type="noConversion"/>
  </si>
  <si>
    <t>CI003</t>
    <phoneticPr fontId="17" type="noConversion"/>
  </si>
  <si>
    <t>ANALYZER SYSTEM</t>
  </si>
  <si>
    <t>20 set</t>
    <phoneticPr fontId="17" type="noConversion"/>
  </si>
  <si>
    <t>CI004</t>
    <phoneticPr fontId="17" type="noConversion"/>
  </si>
  <si>
    <t>AIR QUALITY MONITORING SYSTEM</t>
  </si>
  <si>
    <t>1 set</t>
    <phoneticPr fontId="17" type="noConversion"/>
  </si>
  <si>
    <t>CI005</t>
  </si>
  <si>
    <t>ON-OFF VALVE (BALL)</t>
  </si>
  <si>
    <t>45 ea</t>
    <phoneticPr fontId="17" type="noConversion"/>
  </si>
  <si>
    <t>CI006</t>
  </si>
  <si>
    <t>ON-OFF VALVE (PLUG)</t>
  </si>
  <si>
    <t>CI007</t>
  </si>
  <si>
    <t>BUTTERFLY VALVE (LUG TYPE) -&gt; (CONCENTRIC)</t>
  </si>
  <si>
    <t>127 ea</t>
    <phoneticPr fontId="17" type="noConversion"/>
  </si>
  <si>
    <t>CI008</t>
  </si>
  <si>
    <t>BUTTERFLY VALVE (HIGH PERFORMANCE)</t>
  </si>
  <si>
    <t>28 ea</t>
    <phoneticPr fontId="17" type="noConversion"/>
  </si>
  <si>
    <t>CI009</t>
  </si>
  <si>
    <t>CONTROL VALVE (GLOBE) &amp; PCV</t>
  </si>
  <si>
    <t>89 ea</t>
    <phoneticPr fontId="17" type="noConversion"/>
  </si>
  <si>
    <t>CI010</t>
  </si>
  <si>
    <t>CONTROL VALVE (BUTTERFLY)</t>
  </si>
  <si>
    <t>14 ea</t>
    <phoneticPr fontId="17" type="noConversion"/>
  </si>
  <si>
    <t>CI011</t>
  </si>
  <si>
    <t>PRESSURE RELIEF VALVE</t>
  </si>
  <si>
    <t>CI012</t>
  </si>
  <si>
    <t>FLOWMETER (VORTEX, CORIOLIS, MAGNETIC)</t>
  </si>
  <si>
    <t xml:space="preserve">LV 2 / IDR, VIRB 진행 필요 </t>
    <phoneticPr fontId="17" type="noConversion"/>
  </si>
  <si>
    <t>CI014</t>
    <phoneticPr fontId="17" type="noConversion"/>
  </si>
  <si>
    <t>FLOWMETER (ULTRASONIC)</t>
  </si>
  <si>
    <t>35 ea</t>
    <phoneticPr fontId="17" type="noConversion"/>
  </si>
  <si>
    <t>LV.2 / IDR 준비 중, VIRB 진행 필요</t>
    <phoneticPr fontId="17" type="noConversion"/>
  </si>
  <si>
    <t>CI015</t>
    <phoneticPr fontId="17" type="noConversion"/>
  </si>
  <si>
    <t>TRANSMITTERS</t>
  </si>
  <si>
    <t>917 ea</t>
    <phoneticPr fontId="17" type="noConversion"/>
  </si>
  <si>
    <t>LV. 3 / IDR 불필요 / VIRB 진행 필요</t>
    <phoneticPr fontId="17" type="noConversion"/>
  </si>
  <si>
    <t>CI016</t>
    <phoneticPr fontId="17" type="noConversion"/>
  </si>
  <si>
    <t>LEVEL GAUGE AND SIGHT GLASS</t>
  </si>
  <si>
    <t>58 ea</t>
    <phoneticPr fontId="17" type="noConversion"/>
  </si>
  <si>
    <t>CI018</t>
    <phoneticPr fontId="17" type="noConversion"/>
  </si>
  <si>
    <t>LEVEL TRANSMITTER (GWR/RADAR)</t>
  </si>
  <si>
    <t>99 ea</t>
    <phoneticPr fontId="17" type="noConversion"/>
  </si>
  <si>
    <t>CI019</t>
    <phoneticPr fontId="17" type="noConversion"/>
  </si>
  <si>
    <t>FLOW ELEMENT</t>
  </si>
  <si>
    <t>172 ea</t>
    <phoneticPr fontId="17" type="noConversion"/>
  </si>
  <si>
    <t>CI020</t>
    <phoneticPr fontId="17" type="noConversion"/>
  </si>
  <si>
    <t>LOCAL GAUGE</t>
  </si>
  <si>
    <t>CI021</t>
    <phoneticPr fontId="17" type="noConversion"/>
  </si>
  <si>
    <t>GAS DETECTOR, HORN AND BEACON</t>
  </si>
  <si>
    <t>421 ea</t>
    <phoneticPr fontId="17" type="noConversion"/>
  </si>
  <si>
    <t>CI022</t>
    <phoneticPr fontId="17" type="noConversion"/>
  </si>
  <si>
    <t>OPEN PATH GAS DETECTOR</t>
  </si>
  <si>
    <t>73 ea</t>
    <phoneticPr fontId="17" type="noConversion"/>
  </si>
  <si>
    <t>CI023</t>
  </si>
  <si>
    <t>ROTAMETER</t>
  </si>
  <si>
    <t>CI024</t>
  </si>
  <si>
    <t>CORROSION COUPON AND PROBE</t>
  </si>
  <si>
    <t>CI025</t>
  </si>
  <si>
    <t>INSTRUMENT CABLE</t>
  </si>
  <si>
    <t>856,560 m</t>
    <phoneticPr fontId="17" type="noConversion"/>
  </si>
  <si>
    <t>최종현 책임</t>
  </si>
  <si>
    <t>CI026</t>
  </si>
  <si>
    <t>INSTRUMENT CABLE TRAY</t>
  </si>
  <si>
    <t>CI027</t>
  </si>
  <si>
    <t>INSTRUMENT JUNCTION BOX</t>
  </si>
  <si>
    <t>359 ea</t>
    <phoneticPr fontId="17" type="noConversion"/>
  </si>
  <si>
    <t>CI028</t>
  </si>
  <si>
    <t>INSTRUMENT CABLE GLAND</t>
  </si>
  <si>
    <t>CI029</t>
  </si>
  <si>
    <t>INSTRUMENT TUBE</t>
  </si>
  <si>
    <t>LV 3 / IDR 불필요 / VIRB 제출 완료</t>
    <phoneticPr fontId="17" type="noConversion"/>
  </si>
  <si>
    <t>CI030</t>
  </si>
  <si>
    <t>INSTRUMENT TUBE FITTING</t>
  </si>
  <si>
    <t>LV 3 / IDR 불필요 / VIRB 진행 필요</t>
    <phoneticPr fontId="17" type="noConversion"/>
  </si>
  <si>
    <t>CI033</t>
  </si>
  <si>
    <t>INSTRUMENT CONDUIT &amp; FITTING</t>
  </si>
  <si>
    <t>CI034</t>
  </si>
  <si>
    <t>INSTRUMENT BLOCK VALVE</t>
  </si>
  <si>
    <t>CI035</t>
  </si>
  <si>
    <t>INSTRUMENT SUPPORT &amp; CONSUMABLE</t>
  </si>
  <si>
    <t>CI036</t>
  </si>
  <si>
    <t>INSTRUMENT MCT</t>
  </si>
  <si>
    <t>CI038</t>
  </si>
  <si>
    <t>CONTROL VALVE (NON-GENERAL)</t>
  </si>
  <si>
    <t>SHN1</t>
    <phoneticPr fontId="17" type="noConversion"/>
  </si>
  <si>
    <t>2110-2001-001</t>
    <phoneticPr fontId="17" type="noConversion"/>
  </si>
  <si>
    <t>CRACKING FURNACE (PROPRIETARY)</t>
  </si>
  <si>
    <t>Transfer Line Exchanger : 80 ea
Radiant Coil (Liquid Heater) : 64 Set
Radiant Coil (Gas Heater) : 16 Set
High Alloy Castings : 3330 ea
Desuperheaters : 18 ea
Finning : 9424 ea
Strainer and Seat Ring : 80 ea
Burner &amp; Accessories : 1440 ea</t>
    <phoneticPr fontId="17" type="noConversion"/>
  </si>
  <si>
    <t>Burner NCR 종료검사는 5월 말 경 예상</t>
    <phoneticPr fontId="17" type="noConversion"/>
  </si>
  <si>
    <t>박재석 책임</t>
    <phoneticPr fontId="17" type="noConversion"/>
  </si>
  <si>
    <t>나광조 책임</t>
    <phoneticPr fontId="17" type="noConversion"/>
  </si>
  <si>
    <t>2110-2001-002</t>
    <phoneticPr fontId="17" type="noConversion"/>
  </si>
  <si>
    <t>CRACKING FURNACE (NON-PROPRIETARY)</t>
  </si>
  <si>
    <t>Radiant/ STACK : 10 Set
S/S : 7262.5 ton
GTE DUCT : 2163 ton
Convection module : 96 ea
damper/ Seal air fan : 40 Set
seal air fan : 14 Set
flow meter : 100 ea
ignition panel : 10 Pnl.</t>
    <phoneticPr fontId="17" type="noConversion"/>
  </si>
  <si>
    <t>MV cable IRC 잔여, MDRS 미제출</t>
    <phoneticPr fontId="17" type="noConversion"/>
  </si>
  <si>
    <t>2130-2004-001</t>
    <phoneticPr fontId="17" type="noConversion"/>
  </si>
  <si>
    <t>REGENRATIVE THERMAL OXIDIZER</t>
  </si>
  <si>
    <t>MDRS 4월 10일 제출</t>
    <phoneticPr fontId="17" type="noConversion"/>
  </si>
  <si>
    <t>2000-2013-001</t>
    <phoneticPr fontId="17" type="noConversion"/>
  </si>
  <si>
    <t>19 ea</t>
    <phoneticPr fontId="17" type="noConversion"/>
  </si>
  <si>
    <t>MDRS 제출 완료</t>
    <phoneticPr fontId="17" type="noConversion"/>
  </si>
  <si>
    <t>2000-1014-001</t>
    <phoneticPr fontId="17" type="noConversion"/>
  </si>
  <si>
    <t>CRANE &amp; HOIST</t>
  </si>
  <si>
    <t>20 Set</t>
    <phoneticPr fontId="17" type="noConversion"/>
  </si>
  <si>
    <t>MDRS 종결</t>
    <phoneticPr fontId="17" type="noConversion"/>
  </si>
  <si>
    <t>2135-1003-001</t>
    <phoneticPr fontId="17" type="noConversion"/>
  </si>
  <si>
    <t>2000-3003-001</t>
  </si>
  <si>
    <t>33KV GAS INSULATED SWITCHGEAR (C-GIS)</t>
  </si>
  <si>
    <t>26 Set</t>
    <phoneticPr fontId="17" type="noConversion"/>
  </si>
  <si>
    <t>술탄 매니저</t>
    <phoneticPr fontId="17" type="noConversion"/>
  </si>
  <si>
    <t>2000-3005-001</t>
  </si>
  <si>
    <t>LV SWITCHGEAR AND MCC WITH BUS DUCT (LV VVVF 제외)</t>
  </si>
  <si>
    <t>414 Pnl.
BUSDUCT: 293 ea
Aux PDP : 76 Pnl.</t>
    <phoneticPr fontId="17" type="noConversion"/>
  </si>
  <si>
    <t>MDRS 제출 완료 - Code.A</t>
    <phoneticPr fontId="17" type="noConversion"/>
  </si>
  <si>
    <t>2000-3007-001</t>
  </si>
  <si>
    <t>POWER CAPACITOR BANK</t>
  </si>
  <si>
    <t>10 Set</t>
    <phoneticPr fontId="17" type="noConversion"/>
  </si>
  <si>
    <t>MDRS 제출/수정 진행중 -  Code.B (4/13 Vout)</t>
    <phoneticPr fontId="17" type="noConversion"/>
  </si>
  <si>
    <t>2000-3009-001</t>
  </si>
  <si>
    <t>DISTRIBUTION POWER TRANSFORMER WITH NGR</t>
  </si>
  <si>
    <t>71 Set</t>
    <phoneticPr fontId="17" type="noConversion"/>
  </si>
  <si>
    <t>2000-3011-001</t>
  </si>
  <si>
    <t>PMS (POWER MONITORING SYSTEM)</t>
  </si>
  <si>
    <t>30 Pnl.</t>
    <phoneticPr fontId="17" type="noConversion"/>
  </si>
  <si>
    <t>MDRS 제출 완료 - CodeA Cout (발주처 검토중 ,4/10~)</t>
    <phoneticPr fontId="17" type="noConversion"/>
  </si>
  <si>
    <t>2000-3012-001</t>
  </si>
  <si>
    <t>AC / DC UPS WITH BATTERY</t>
  </si>
  <si>
    <t>19 Set</t>
    <phoneticPr fontId="17" type="noConversion"/>
  </si>
  <si>
    <t>2000-3013-001</t>
  </si>
  <si>
    <t>SOLAR POWER SYSTEM</t>
  </si>
  <si>
    <t>7 Group</t>
    <phoneticPr fontId="17" type="noConversion"/>
  </si>
  <si>
    <t>주자재 납품 완료 ( 잔여 : Cable ,Tray 일부)</t>
    <phoneticPr fontId="17" type="noConversion"/>
  </si>
  <si>
    <t>2000-3021-001</t>
  </si>
  <si>
    <t>TR/RECTIFIER 21대 4/ 20~ 검사 진행 예정</t>
    <phoneticPr fontId="17" type="noConversion"/>
  </si>
  <si>
    <t>2000-3028-001</t>
    <phoneticPr fontId="17" type="noConversion"/>
  </si>
  <si>
    <t>33KV POWER AND CONTROL CABLE WITH ACCESSORIES</t>
  </si>
  <si>
    <t>0.6kV/1kV TFR-CVV 12C x 2.5 ㎟ 6,720 m
33kv Power Cable 150mm^2) 10650 m
33kv Power Cable 185mm^2) 6040 m
33kv Power Cable 240mm^2) 660 m
33kv Power Cable 300mm^2) 3540 m
33kv Power Cable 400mm^2) 4530 m
33kv Power Cable 500mm^2) 8498 m
33kv Power Cable 630mm^2) 12480 m
Fiber optic cable : 11688 m 
Termination kit : 7 set</t>
    <phoneticPr fontId="17" type="noConversion"/>
  </si>
  <si>
    <t xml:space="preserve">MDR 제출 지연중 </t>
    <phoneticPr fontId="17" type="noConversion"/>
  </si>
  <si>
    <t>2000-3201-001</t>
  </si>
  <si>
    <t>COMMUNICATION SYSTEM (PKG #1)</t>
  </si>
  <si>
    <t>- Video conference sytem , PABX VO 검사 일정 협의중
- LAB Building remodeling 관련 추가물량 발생 (TBD)</t>
    <phoneticPr fontId="17" type="noConversion"/>
  </si>
  <si>
    <t>2000-3202-001</t>
  </si>
  <si>
    <t>ACS SYSTEM</t>
  </si>
  <si>
    <t xml:space="preserve"> MDRS 제출 지연중</t>
    <phoneticPr fontId="17" type="noConversion"/>
  </si>
  <si>
    <t>2000-3203-001</t>
  </si>
  <si>
    <t xml:space="preserve">CCTV SYSTEM (PKG #1) </t>
  </si>
  <si>
    <t>잔여 검사 일정 확인중 (VO 물량 포함)</t>
    <phoneticPr fontId="17" type="noConversion"/>
  </si>
  <si>
    <t>2000-3204-001</t>
  </si>
  <si>
    <t>PAGING SYSTEM (PKG #1)</t>
  </si>
  <si>
    <t>잔여 검사 일정 확인중</t>
    <phoneticPr fontId="17" type="noConversion"/>
  </si>
  <si>
    <t>2000-3010-001</t>
  </si>
  <si>
    <t>DIESEL ENGINE GENERATOR</t>
  </si>
  <si>
    <t>1 Set</t>
    <phoneticPr fontId="17" type="noConversion"/>
  </si>
  <si>
    <t>MDRS 제출/수정 진행중 - Code.B (3/30 Vout)</t>
    <phoneticPr fontId="17" type="noConversion"/>
  </si>
  <si>
    <t>2130-4009-001</t>
  </si>
  <si>
    <t>ODOR MONITORING SYSTEM</t>
  </si>
  <si>
    <t>1 Lot</t>
    <phoneticPr fontId="17" type="noConversion"/>
  </si>
  <si>
    <t>2110-4012-001</t>
  </si>
  <si>
    <t>LEAK DETECTION AND REPAIRING SYSTEM (LDAR)</t>
  </si>
  <si>
    <t xml:space="preserve">구매 자재로서,  TEST 행위 X. 서류만 검토 </t>
  </si>
  <si>
    <t>2110-8003-001</t>
    <phoneticPr fontId="17" type="noConversion"/>
  </si>
  <si>
    <t>LABORATORY EQUIPMENT</t>
  </si>
  <si>
    <t>IRC 100%발급후 ODC LAB에서 보관 (잔여 : 시약 1 SET)</t>
    <phoneticPr fontId="17" type="noConversion"/>
  </si>
  <si>
    <t>2110-8003-002</t>
    <phoneticPr fontId="17" type="noConversion"/>
  </si>
  <si>
    <t>LABORATORY EQUIPMENT (GC)</t>
  </si>
  <si>
    <t>SEED</t>
    <phoneticPr fontId="17" type="noConversion"/>
  </si>
  <si>
    <t>RM001</t>
    <phoneticPr fontId="17" type="noConversion"/>
  </si>
  <si>
    <t>STEAM TURBINE GNERATOR PKG</t>
  </si>
  <si>
    <t>Duct, Bellow, Dumper 1 Lot</t>
    <phoneticPr fontId="17" type="noConversion"/>
  </si>
  <si>
    <t>강태준 책임</t>
    <phoneticPr fontId="17" type="noConversion"/>
  </si>
  <si>
    <t>MIP6</t>
    <phoneticPr fontId="17" type="noConversion"/>
  </si>
  <si>
    <t>MS019</t>
    <phoneticPr fontId="4" type="noConversion"/>
  </si>
  <si>
    <t>DEHYDRATOR &amp; DESALTER</t>
  </si>
  <si>
    <t>-</t>
    <phoneticPr fontId="17" type="noConversion"/>
  </si>
  <si>
    <t>MS020</t>
    <phoneticPr fontId="4" type="noConversion"/>
  </si>
  <si>
    <t>WATER OIL SEPARATOR PKG</t>
  </si>
  <si>
    <t>MS021</t>
    <phoneticPr fontId="4" type="noConversion"/>
  </si>
  <si>
    <t>LOW PRESSURE PRODUCTION TRAP (LPPT)</t>
  </si>
  <si>
    <t>MS001</t>
    <phoneticPr fontId="4" type="noConversion"/>
  </si>
  <si>
    <t>VESSEL I (CS)</t>
  </si>
  <si>
    <t>MS002</t>
    <phoneticPr fontId="4" type="noConversion"/>
  </si>
  <si>
    <t>VESSEL II (SS)</t>
  </si>
  <si>
    <t>INTERNAL OF STABILIZER</t>
  </si>
  <si>
    <t>FILTER (NON SOUR)</t>
  </si>
  <si>
    <t>MS006</t>
    <phoneticPr fontId="22" type="noConversion"/>
  </si>
  <si>
    <t xml:space="preserve">SHELL &amp; TUBE HEAT EXCHANGER </t>
  </si>
  <si>
    <t>AIR COOLED HEAT EXCHANGER
(TUBE BUNDLE ASSEMBLY)</t>
  </si>
  <si>
    <t>ELECTRICAL HEATER</t>
  </si>
  <si>
    <t>IDR / VIRB 제출 필요</t>
    <phoneticPr fontId="17" type="noConversion"/>
  </si>
  <si>
    <t>MS009</t>
  </si>
  <si>
    <t>MS011</t>
  </si>
  <si>
    <t>MS012</t>
  </si>
  <si>
    <t>MS013</t>
    <phoneticPr fontId="22" type="noConversion"/>
  </si>
  <si>
    <t>N2 GENERATION PACKAGE</t>
  </si>
  <si>
    <t>LIQUID NITROGEN VAPORISER PACKAGE</t>
  </si>
  <si>
    <t>VACCUM DEAERATION PACKAGE</t>
  </si>
  <si>
    <t>CHEMICAL INJECTION PKG OF TEG DEHYDRATION PACKAGE</t>
  </si>
  <si>
    <t>STEEL WORK OF HOT OIL FURNACE PACKAGE</t>
  </si>
  <si>
    <t>MS022</t>
    <phoneticPr fontId="4" type="noConversion"/>
  </si>
  <si>
    <t>STORAGE TANK (FRP)</t>
  </si>
  <si>
    <t>MR001</t>
    <phoneticPr fontId="4" type="noConversion"/>
  </si>
  <si>
    <t>CENTRIFUGAL COMPRESSOR</t>
  </si>
  <si>
    <t>MR002</t>
    <phoneticPr fontId="4" type="noConversion"/>
  </si>
  <si>
    <t>RECIPROCATING COMPRESSOR</t>
  </si>
  <si>
    <t>MR003</t>
  </si>
  <si>
    <t>AIR COMPRESSOR PACKAGE
 (INTEGRALLY GEARED)</t>
  </si>
  <si>
    <t>MR004</t>
  </si>
  <si>
    <t>CENTRIFUGAL PUMP (API 610 -  OH TYPE)</t>
  </si>
  <si>
    <t>MR005</t>
    <phoneticPr fontId="4" type="noConversion"/>
  </si>
  <si>
    <t>CENTRIFUGAL PUMP (API 610 -  BB TYPE)</t>
  </si>
  <si>
    <t>CENTRIFUGAL PUMP (API 610 - VS TYPE)</t>
  </si>
  <si>
    <t>ROTARY PUMP (API 676)</t>
  </si>
  <si>
    <t>SEALLESS PUMP ASME B 73.3 / ISO 15783</t>
  </si>
  <si>
    <t>MR009</t>
  </si>
  <si>
    <t>CENTRIFUGAL PUMP (API 610 - OH6 TYPE)</t>
  </si>
  <si>
    <t>MR010</t>
  </si>
  <si>
    <t>CENTRIFUGAL PUMP-OH TYPE</t>
  </si>
  <si>
    <t>MR011</t>
  </si>
  <si>
    <t>API CENTRIFUGAL  PUMP-VS</t>
  </si>
  <si>
    <t>MR012</t>
  </si>
  <si>
    <t>FIREWATER PUMP</t>
  </si>
  <si>
    <t>MR013</t>
  </si>
  <si>
    <t>SUBMERSIBLE PUMP</t>
  </si>
  <si>
    <t>ODOR ABATEMENT PACKAGE</t>
  </si>
  <si>
    <t>OILY WATER TREATMENT PACKAGE</t>
  </si>
  <si>
    <t>MR017</t>
    <phoneticPr fontId="22" type="noConversion"/>
  </si>
  <si>
    <t>OIL DISC SKIMMER (FLOATING)</t>
  </si>
  <si>
    <t>MR018</t>
  </si>
  <si>
    <t>MR019</t>
  </si>
  <si>
    <t>CRANE</t>
  </si>
  <si>
    <t>MR020</t>
  </si>
  <si>
    <t>WORKSHOP EQUIPMENT</t>
  </si>
  <si>
    <t>MR021</t>
  </si>
  <si>
    <t>FIRE AND SAFETY EQUIPMENT</t>
  </si>
  <si>
    <t>MR022</t>
  </si>
  <si>
    <t>MR024</t>
    <phoneticPr fontId="22" type="noConversion"/>
  </si>
  <si>
    <t>OWSF WATER TREATMENT PACKAGE</t>
  </si>
  <si>
    <t>MR025</t>
  </si>
  <si>
    <t>SEWAGE TREATMENT PACKAGE</t>
  </si>
  <si>
    <t>MR026</t>
    <phoneticPr fontId="4" type="noConversion"/>
  </si>
  <si>
    <t>WATER INJECTION PUMP</t>
  </si>
  <si>
    <t>MR027</t>
    <phoneticPr fontId="23" type="noConversion"/>
  </si>
  <si>
    <t>TRUCK WEIGH BRIDGE</t>
  </si>
  <si>
    <t>MR028</t>
    <phoneticPr fontId="23" type="noConversion"/>
  </si>
  <si>
    <t>SIDE ENTRY TANK MIXER</t>
  </si>
  <si>
    <t>PI001</t>
    <phoneticPr fontId="22" type="noConversion"/>
  </si>
  <si>
    <t>PIPE (CS, LTCS, GALV. SMLS)</t>
  </si>
  <si>
    <t>PI002</t>
    <phoneticPr fontId="22" type="noConversion"/>
  </si>
  <si>
    <t>PIPE (CS, LTCS WELD)</t>
  </si>
  <si>
    <t>PI003</t>
    <phoneticPr fontId="22" type="noConversion"/>
  </si>
  <si>
    <t>PIPE (SS, SUPER DUPLEX, NICKEL ALLOY, SMLS)</t>
  </si>
  <si>
    <t>PI004</t>
    <phoneticPr fontId="22" type="noConversion"/>
  </si>
  <si>
    <t>PIPE (SS, SUPER DUPLEX WELD)</t>
  </si>
  <si>
    <t>PI005</t>
    <phoneticPr fontId="22" type="noConversion"/>
  </si>
  <si>
    <t>PI006</t>
    <phoneticPr fontId="22" type="noConversion"/>
  </si>
  <si>
    <t>PERT PIPING</t>
  </si>
  <si>
    <t>PTFE LINED PIPING</t>
  </si>
  <si>
    <t>PI008</t>
    <phoneticPr fontId="22" type="noConversion"/>
  </si>
  <si>
    <t>COPPER NICKEL PIPING</t>
  </si>
  <si>
    <t>HDPE PIPING</t>
  </si>
  <si>
    <t>PI011</t>
  </si>
  <si>
    <t>PI012</t>
    <phoneticPr fontId="22" type="noConversion"/>
  </si>
  <si>
    <t>PI013</t>
    <phoneticPr fontId="22" type="noConversion"/>
  </si>
  <si>
    <t>PI015</t>
    <phoneticPr fontId="4" type="noConversion"/>
  </si>
  <si>
    <t>HOT BEND</t>
  </si>
  <si>
    <t>PI016</t>
    <phoneticPr fontId="4" type="noConversion"/>
  </si>
  <si>
    <t>FABRICATED LATERAL</t>
  </si>
  <si>
    <t>PI019</t>
    <phoneticPr fontId="4" type="noConversion"/>
  </si>
  <si>
    <t>PIPE (NA SMLS)</t>
  </si>
  <si>
    <t>PI020</t>
    <phoneticPr fontId="4" type="noConversion"/>
  </si>
  <si>
    <t>PIPE (NA WELD)</t>
  </si>
  <si>
    <t>PI021</t>
    <phoneticPr fontId="4" type="noConversion"/>
  </si>
  <si>
    <t>BOLT &amp; NUT</t>
  </si>
  <si>
    <t>PI022</t>
    <phoneticPr fontId="4" type="noConversion"/>
  </si>
  <si>
    <t>GASKET</t>
  </si>
  <si>
    <t>PI031</t>
    <phoneticPr fontId="4" type="noConversion"/>
  </si>
  <si>
    <t>PI032</t>
    <phoneticPr fontId="4" type="noConversion"/>
  </si>
  <si>
    <t>PI033</t>
    <phoneticPr fontId="22" type="noConversion"/>
  </si>
  <si>
    <t>PI034</t>
    <phoneticPr fontId="22" type="noConversion"/>
  </si>
  <si>
    <t>PI035</t>
    <phoneticPr fontId="22" type="noConversion"/>
  </si>
  <si>
    <t>PI036</t>
    <phoneticPr fontId="22" type="noConversion"/>
  </si>
  <si>
    <t>NON SLAM CHECK VALVE</t>
  </si>
  <si>
    <t>POST INDICATOR VALVE</t>
  </si>
  <si>
    <t>DUCTILE IRON VALVE</t>
  </si>
  <si>
    <t>PI040</t>
    <phoneticPr fontId="22" type="noConversion"/>
  </si>
  <si>
    <t>PI041</t>
  </si>
  <si>
    <t>PI044</t>
  </si>
  <si>
    <t>CHOKE VALVE</t>
  </si>
  <si>
    <t>PI046</t>
  </si>
  <si>
    <t>API 6A BALL VALVE</t>
  </si>
  <si>
    <t>PI047</t>
    <phoneticPr fontId="22" type="noConversion"/>
  </si>
  <si>
    <t>LINED PLUG VALVE</t>
  </si>
  <si>
    <t>PI048</t>
  </si>
  <si>
    <t>CRYOGENIC VALVE</t>
  </si>
  <si>
    <t>PI051</t>
    <phoneticPr fontId="4" type="noConversion"/>
  </si>
  <si>
    <t>PI053</t>
    <phoneticPr fontId="4" type="noConversion"/>
  </si>
  <si>
    <t>HOSE &amp; HOSE CONNECTOR</t>
  </si>
  <si>
    <t>PI054</t>
    <phoneticPr fontId="4" type="noConversion"/>
  </si>
  <si>
    <t>INSULATON JOINT</t>
  </si>
  <si>
    <t>SMLS FORGED RINGS</t>
  </si>
  <si>
    <t>PI056</t>
  </si>
  <si>
    <t>FLAME ARRESTOR</t>
  </si>
  <si>
    <t>PI057</t>
  </si>
  <si>
    <t>INJECTION QUILL</t>
  </si>
  <si>
    <t>PI058</t>
  </si>
  <si>
    <t>AIR TRAP</t>
  </si>
  <si>
    <t>PI059</t>
  </si>
  <si>
    <t>BARRED TEE</t>
  </si>
  <si>
    <t>PI060</t>
  </si>
  <si>
    <t>MECHANICAL INTERLOCK</t>
  </si>
  <si>
    <t>PI062</t>
  </si>
  <si>
    <t>SUPPORT (BULK / ITEMIZED)</t>
  </si>
  <si>
    <t>PI063</t>
  </si>
  <si>
    <t>SPRING SUPPORT</t>
  </si>
  <si>
    <t>PI065</t>
    <phoneticPr fontId="4" type="noConversion"/>
  </si>
  <si>
    <t>U-BOLT</t>
  </si>
  <si>
    <t>PI066</t>
    <phoneticPr fontId="4" type="noConversion"/>
  </si>
  <si>
    <t>CONICAL TYPE STRAINER</t>
  </si>
  <si>
    <t>PI101</t>
    <phoneticPr fontId="4" type="noConversion"/>
  </si>
  <si>
    <t>PIPE (CS, LTCS, GALV. SMLS) - 2</t>
  </si>
  <si>
    <t>PI121</t>
    <phoneticPr fontId="4" type="noConversion"/>
  </si>
  <si>
    <t>BOLT &amp; NUT - 2</t>
  </si>
  <si>
    <t>PI113</t>
    <phoneticPr fontId="22" type="noConversion"/>
  </si>
  <si>
    <t>PI131</t>
    <phoneticPr fontId="22" type="noConversion"/>
  </si>
  <si>
    <t>PI162</t>
    <phoneticPr fontId="4" type="noConversion"/>
  </si>
  <si>
    <t>SUPPORT- 2</t>
  </si>
  <si>
    <t>PI163</t>
    <phoneticPr fontId="22" type="noConversion"/>
  </si>
  <si>
    <t>PI201</t>
    <phoneticPr fontId="22" type="noConversion"/>
  </si>
  <si>
    <t>STOCKIEST CS, LTCS, GALV, SMLS PIPE</t>
  </si>
  <si>
    <t>PI213</t>
    <phoneticPr fontId="22" type="noConversion"/>
  </si>
  <si>
    <t>FLANGE-3</t>
  </si>
  <si>
    <t>EL001</t>
    <phoneticPr fontId="4" type="noConversion"/>
  </si>
  <si>
    <t>EL002</t>
    <phoneticPr fontId="4" type="noConversion"/>
  </si>
  <si>
    <t>230KV CABLE AND ACCESSORIES</t>
  </si>
  <si>
    <t>CONTROL AND PROTECTIVE PANEL</t>
  </si>
  <si>
    <t>230KV GANTRY</t>
  </si>
  <si>
    <t xml:space="preserve">MODIFICATION WORK FOR MV SWGR </t>
  </si>
  <si>
    <t>EL007</t>
    <phoneticPr fontId="4" type="noConversion"/>
  </si>
  <si>
    <t>MV SWGR/MCC, CABLEBUS</t>
  </si>
  <si>
    <t>LV SWGR/MCC, CABLEBUS</t>
  </si>
  <si>
    <t>POWER SYSTEM AUTOMATION</t>
  </si>
  <si>
    <t>EL011</t>
    <phoneticPr fontId="22" type="noConversion"/>
  </si>
  <si>
    <t>230KV POWER TRANSFORMER &amp; NGR &amp; SHUNT REACTOR</t>
  </si>
  <si>
    <t>DISTRIBUTION TRANSFORMER &amp; NGR</t>
  </si>
  <si>
    <t>AC UPS &amp; DC BATTERY CHARGER SYSTEM</t>
  </si>
  <si>
    <t>ELECTRICAL HEAT TRACING SYSTEM</t>
  </si>
  <si>
    <t>TELECOMMUNICATION SYSTEM</t>
  </si>
  <si>
    <t>POWER DISTRIBUTION BOARD (NON. EXP.)</t>
  </si>
  <si>
    <t>POWER DISTRIBUTION BOARD (EXP.)</t>
  </si>
  <si>
    <t>LIGHTING FIXTURE, RECEPTACLE</t>
  </si>
  <si>
    <t>LCS &amp; JUNCTION BOX</t>
  </si>
  <si>
    <t>CABLE TRAYS</t>
  </si>
  <si>
    <t>GROUNDING &amp; LIGHTNING PROTECTION SYSTEM</t>
  </si>
  <si>
    <t>TERMINATION KIT</t>
  </si>
  <si>
    <t>POWER CABLE</t>
  </si>
  <si>
    <t>CONDUIT &amp; FITTINGS</t>
  </si>
  <si>
    <t>EL028</t>
  </si>
  <si>
    <t>ELECTRICAL MISCELLANEOUS MATERIALS</t>
  </si>
  <si>
    <t>EL030</t>
    <phoneticPr fontId="4" type="noConversion"/>
  </si>
  <si>
    <t>PAD MOUNTED SF6 SWGR</t>
  </si>
  <si>
    <t>EL031</t>
    <phoneticPr fontId="4" type="noConversion"/>
  </si>
  <si>
    <t>COMMUNICATION CABLE (FIBER OPTIC)</t>
  </si>
  <si>
    <t>EL032</t>
  </si>
  <si>
    <t>MODIFICATION WORK FOR AC UPS</t>
  </si>
  <si>
    <t>IN001</t>
    <phoneticPr fontId="4" type="noConversion"/>
  </si>
  <si>
    <t>PROCESS CONTROL SYSTEM 
(DCS/DISTRIBUTION CONTROL SYSTEM)</t>
  </si>
  <si>
    <t>IN002</t>
    <phoneticPr fontId="4" type="noConversion"/>
  </si>
  <si>
    <t>ANALYZER SYSTEM WITH SHELTER</t>
  </si>
  <si>
    <t>IN003</t>
  </si>
  <si>
    <t>CORROSION MONITORING SYSTEM (CRMS)</t>
  </si>
  <si>
    <t>IN005</t>
  </si>
  <si>
    <t>PIPELINE LEAK DETECTION SYSTEM (PLDS)</t>
  </si>
  <si>
    <t>IN006</t>
    <phoneticPr fontId="22" type="noConversion"/>
  </si>
  <si>
    <t>AIR QUALITY MONITORING SYSTEM (AQMS)</t>
  </si>
  <si>
    <t>IN008</t>
  </si>
  <si>
    <t>ON-OFF VALVE_HIPS</t>
  </si>
  <si>
    <t>IN009</t>
  </si>
  <si>
    <t xml:space="preserve">CONTROL VALVE </t>
  </si>
  <si>
    <t>IN010</t>
    <phoneticPr fontId="22" type="noConversion"/>
  </si>
  <si>
    <t>ON-OFF VALVE_BALL TYPE</t>
  </si>
  <si>
    <t>IN011</t>
  </si>
  <si>
    <t>ON-OFF VALVE_GATE TYPE</t>
  </si>
  <si>
    <t>IN012</t>
    <phoneticPr fontId="22" type="noConversion"/>
  </si>
  <si>
    <t>ON-OFF VALVE (GLOBE)</t>
  </si>
  <si>
    <t>IN013</t>
  </si>
  <si>
    <t>MOTOR OPERATED VALVE_BALL</t>
  </si>
  <si>
    <t>IN014</t>
  </si>
  <si>
    <t>MOTOR OPERATED VALVE_GATE</t>
  </si>
  <si>
    <t>IN015</t>
  </si>
  <si>
    <t>PRESSURE SAFETY &amp; RELIEF VALVE</t>
  </si>
  <si>
    <t>IN016</t>
  </si>
  <si>
    <t>MAGNETIC FLOWMETER</t>
  </si>
  <si>
    <t>IN017</t>
  </si>
  <si>
    <t>ULTRASONIC FLOWMETER</t>
  </si>
  <si>
    <t>IN018</t>
  </si>
  <si>
    <t>IN019</t>
  </si>
  <si>
    <t>TRANSMITTER</t>
  </si>
  <si>
    <t>IN020</t>
  </si>
  <si>
    <t>NUCLEAR LEVEL TRANSMITTER</t>
  </si>
  <si>
    <t>IN021</t>
  </si>
  <si>
    <t>LEVEL TRANSMITTER</t>
  </si>
  <si>
    <t>IN022</t>
  </si>
  <si>
    <t>LEVEL GAUGE</t>
  </si>
  <si>
    <t>IN023</t>
    <phoneticPr fontId="4" type="noConversion"/>
  </si>
  <si>
    <t>IN024</t>
  </si>
  <si>
    <t>GAS DETECTOR</t>
  </si>
  <si>
    <t>IN025</t>
  </si>
  <si>
    <t>CONTROL VALVE 
(NON-GENERAL SERVICES)</t>
  </si>
  <si>
    <t>IN026</t>
    <phoneticPr fontId="4" type="noConversion"/>
  </si>
  <si>
    <t>IN031</t>
    <phoneticPr fontId="4" type="noConversion"/>
  </si>
  <si>
    <t>BUCKLING PIN RELIEF VALVE</t>
  </si>
  <si>
    <t>IN032</t>
    <phoneticPr fontId="22" type="noConversion"/>
  </si>
  <si>
    <t>CORIOLIS FLOWMETER</t>
  </si>
  <si>
    <t>IN033</t>
    <phoneticPr fontId="22" type="noConversion"/>
  </si>
  <si>
    <t>HIGH INTEGRITY PROTECTION SYSTEM (HIPS)</t>
  </si>
  <si>
    <t>IN100</t>
    <phoneticPr fontId="4" type="noConversion"/>
  </si>
  <si>
    <t>IN101</t>
    <phoneticPr fontId="4" type="noConversion"/>
  </si>
  <si>
    <t>INSTRUMENT CABLE TRAY&amp; TRAY FITTING</t>
  </si>
  <si>
    <t>IN102</t>
  </si>
  <si>
    <t>IN103</t>
  </si>
  <si>
    <t>IN104</t>
  </si>
  <si>
    <t>INSTRUMENT CONDUIT &amp; CONDUIT FITTING</t>
  </si>
  <si>
    <t>IN105</t>
  </si>
  <si>
    <t>IN106</t>
  </si>
  <si>
    <t>IN107</t>
  </si>
  <si>
    <t>MULTI CABLE TRANSIT (MCT)</t>
  </si>
  <si>
    <t>IN108</t>
    <phoneticPr fontId="22" type="noConversion"/>
  </si>
  <si>
    <t>INSTRUMENT SUPPORT &amp; CONSUMABLE MATERIAL</t>
  </si>
  <si>
    <t>HV001</t>
    <phoneticPr fontId="4" type="noConversion"/>
  </si>
  <si>
    <t>HVAC EQUIPMENT &amp; CONTROL SYSTEM</t>
  </si>
  <si>
    <t>HV003</t>
    <phoneticPr fontId="22" type="noConversion"/>
  </si>
  <si>
    <t>MFD, MFSD, MFGD &amp; MGD</t>
  </si>
  <si>
    <t>SC001</t>
    <phoneticPr fontId="4" type="noConversion"/>
  </si>
  <si>
    <t>STEEL STRUCTURE</t>
  </si>
  <si>
    <t>SC002</t>
    <phoneticPr fontId="22" type="noConversion"/>
  </si>
  <si>
    <t>ANCHOR BOLT FOR STEEL STRUCTURE</t>
  </si>
  <si>
    <t>SM12</t>
    <phoneticPr fontId="17" type="noConversion"/>
  </si>
  <si>
    <t>PRESSURE VESSEL-I (CS)</t>
  </si>
  <si>
    <t>PRESSURE VESSEL II (SS)</t>
  </si>
  <si>
    <t>PLATE AND FRAME TYPE HEAT EXCHANGER</t>
  </si>
  <si>
    <t>FIELD FABRICATED STORAGE TANK</t>
  </si>
  <si>
    <t>WALNUT SHELL FILTRATION PACKAGE</t>
  </si>
  <si>
    <t>LIN AND LOX STORAGE AND VAPORIZATION PACKAGE</t>
  </si>
  <si>
    <t>FLARE PACKAGE (FLARE &amp; BURN PIT PACKAGE)</t>
  </si>
  <si>
    <t>HP Flare 3set (Tip, Stack, Seal, Skid 각 3 ea)
LP Flare 2set (Tip, Stack, Seal, Skid 각 2EA, Seal Drum 4 ea)
LT Flare 2set (Tip, Stack, Seal Skid 각 2 ea)
Commmon HP/LT T&amp;I (Tip, Stack, Seal, Skid 각 1 ea)
Burn Pit (Tip 4EA, Skid 2 ea)</t>
    <phoneticPr fontId="17" type="noConversion"/>
  </si>
  <si>
    <t>IRC 상 99.997%이나 종결로 간주, IDR 작성 / 제출 필요</t>
    <phoneticPr fontId="17" type="noConversion"/>
  </si>
  <si>
    <t>MS010</t>
  </si>
  <si>
    <t>Flare Gas Recovery PKG 2 PKG (Piping Spool, Valve, Instrument etc.)
Ejector 4 ea
Air Cooled HEX 2 ea
Separation Vessel 4 ea
Centrifugal Pump 4 ea</t>
    <phoneticPr fontId="17" type="noConversion"/>
  </si>
  <si>
    <t>FGRU Suction Piping Line 설계 오류로 인한 Design THK 부족으로 추가 발주 되어야 함</t>
    <phoneticPr fontId="17" type="noConversion"/>
  </si>
  <si>
    <t>EXPLOSION RELIEF PANEL</t>
  </si>
  <si>
    <t>AIR SEPARATION UNIT</t>
  </si>
  <si>
    <t>ASU 사고 후 재 발주 필요 Item 파악 중</t>
    <phoneticPr fontId="17" type="noConversion"/>
  </si>
  <si>
    <t>TSA REACTIVATION HEATER</t>
  </si>
  <si>
    <t>DISPOSAL VAPORIZER</t>
  </si>
  <si>
    <t>SAND FILTER PACKAGE</t>
  </si>
  <si>
    <t>AIR COMPRESSOR</t>
  </si>
  <si>
    <t>RM002</t>
  </si>
  <si>
    <t>CENTRIFUGAL PUMP API 610-BB</t>
  </si>
  <si>
    <t>RM003</t>
  </si>
  <si>
    <t>CENTRIFUGAL PUMP API 610-OH2</t>
  </si>
  <si>
    <t>RM004</t>
  </si>
  <si>
    <t>CENTRIFUGAL PUMP ASME B73.1 OR ISO 5199</t>
  </si>
  <si>
    <t>RM005</t>
  </si>
  <si>
    <t>SELF-PRIMING PUMP</t>
  </si>
  <si>
    <t>RM006</t>
  </si>
  <si>
    <t>RM009</t>
  </si>
  <si>
    <t>FIRE WATER PUMP</t>
  </si>
  <si>
    <t>RM010</t>
  </si>
  <si>
    <t>VERTICAL PUMP</t>
  </si>
  <si>
    <t>RM011</t>
  </si>
  <si>
    <t>RM012</t>
  </si>
  <si>
    <t>RM013</t>
  </si>
  <si>
    <t>CPI (CORRUGATED PLATE INTERCEPTOR) &amp; OIL SKIMMER</t>
  </si>
  <si>
    <t>RM014</t>
  </si>
  <si>
    <t>WATER RECOVERY PACKAGE</t>
  </si>
  <si>
    <t>RM015</t>
  </si>
  <si>
    <t>OILY WATER BOOM</t>
  </si>
  <si>
    <t>RM016</t>
  </si>
  <si>
    <t>RM017</t>
  </si>
  <si>
    <t>CRANE AND HOIST</t>
  </si>
  <si>
    <t>RM018</t>
  </si>
  <si>
    <t>RM020</t>
  </si>
  <si>
    <t>VERTICAL PUMP II (API 610 VS1 TYPE)</t>
  </si>
  <si>
    <t>RM021</t>
  </si>
  <si>
    <t>MAIN AIR COMPRESSOR FOR ASU</t>
  </si>
  <si>
    <t>RM022</t>
  </si>
  <si>
    <t>CENTRIFUGAL PUMP (API 610 - OH2) - II</t>
  </si>
  <si>
    <t>RM023</t>
  </si>
  <si>
    <t>SEALLESS PUMP</t>
  </si>
  <si>
    <t>PIPE (CS, LTCS, GALV, SMLS)</t>
  </si>
  <si>
    <t>PI002</t>
  </si>
  <si>
    <t>PIPE (CS, LTCS WELDED)</t>
  </si>
  <si>
    <t>PI003</t>
  </si>
  <si>
    <t>PIPE (SS, NICKEL ALLOY, SMLS)</t>
  </si>
  <si>
    <t>PI004</t>
  </si>
  <si>
    <t>PIPE (SS, WELDED)</t>
  </si>
  <si>
    <t>PI007</t>
    <phoneticPr fontId="17" type="noConversion"/>
  </si>
  <si>
    <t>Pipe: 32,195.6 m, Fitting: 20,489 ea</t>
    <phoneticPr fontId="17" type="noConversion"/>
  </si>
  <si>
    <t>IDR 작성/제출 필요</t>
    <phoneticPr fontId="17" type="noConversion"/>
  </si>
  <si>
    <t>External Coating 결함 관련 현장에서 조치 완료</t>
    <phoneticPr fontId="17" type="noConversion"/>
  </si>
  <si>
    <t>PI012</t>
  </si>
  <si>
    <t>CLAD PIPING</t>
  </si>
  <si>
    <t>PI017</t>
  </si>
  <si>
    <t>3개 PO 분리 발주</t>
    <phoneticPr fontId="17" type="noConversion"/>
  </si>
  <si>
    <t>PI018</t>
  </si>
  <si>
    <t>9/22 추가 분 검사 예정</t>
    <phoneticPr fontId="17" type="noConversion"/>
  </si>
  <si>
    <t>BOLT / NUT</t>
  </si>
  <si>
    <t>PI022</t>
  </si>
  <si>
    <t>Level 0</t>
    <phoneticPr fontId="17" type="noConversion"/>
  </si>
  <si>
    <t>PI031</t>
    <phoneticPr fontId="17" type="noConversion"/>
  </si>
  <si>
    <t>3개 PO 분리 발주
1. AMPO: 100.00%
2. SPSV: 100.00%
3. PK: 100.00%</t>
    <phoneticPr fontId="17" type="noConversion"/>
  </si>
  <si>
    <t>1. IVM: 100.00%
2. OMB: 100.00%</t>
    <phoneticPr fontId="17" type="noConversion"/>
  </si>
  <si>
    <t>(IDR 작성/제출 필요)</t>
    <phoneticPr fontId="17" type="noConversion"/>
  </si>
  <si>
    <t>PI035</t>
  </si>
  <si>
    <t>NON-SLAM CHECK VALVE</t>
  </si>
  <si>
    <t>POST INDICATE VALVE</t>
  </si>
  <si>
    <t>추가 발주 VO7</t>
    <phoneticPr fontId="17" type="noConversion"/>
  </si>
  <si>
    <t>2개 PO 분리 발주
1. Flowserve: 100.00% 
2. G&amp;C: 100.00%</t>
    <phoneticPr fontId="17" type="noConversion"/>
  </si>
  <si>
    <t>AIR RLEASE VALVE</t>
  </si>
  <si>
    <t>PI051</t>
    <phoneticPr fontId="17" type="noConversion"/>
  </si>
  <si>
    <t>PI052</t>
  </si>
  <si>
    <t>STEAM AND AIR TRAP</t>
  </si>
  <si>
    <t>PI053</t>
  </si>
  <si>
    <t>PI054</t>
  </si>
  <si>
    <t>SUPPORT</t>
  </si>
  <si>
    <t>PI055</t>
  </si>
  <si>
    <t>HOSE CONNECTOR</t>
  </si>
  <si>
    <t>MEHANICAL INTERLOCK</t>
  </si>
  <si>
    <t>OXYGEN NEEDLE VALVE</t>
  </si>
  <si>
    <t>PI064</t>
  </si>
  <si>
    <t>OXYGEN GENERAL VALVE</t>
  </si>
  <si>
    <t>PI068</t>
    <phoneticPr fontId="17" type="noConversion"/>
  </si>
  <si>
    <t>NICKEL ALLOY PIPE</t>
  </si>
  <si>
    <t>PI069</t>
  </si>
  <si>
    <t>PI070</t>
  </si>
  <si>
    <t>INSULATION JOINT</t>
  </si>
  <si>
    <t>PI071</t>
  </si>
  <si>
    <t>ASU OXYGEN GASKET</t>
  </si>
  <si>
    <t>HV SWGR &amp; MCC</t>
  </si>
  <si>
    <t>22  sets</t>
    <phoneticPr fontId="17" type="noConversion"/>
  </si>
  <si>
    <t>EL002</t>
  </si>
  <si>
    <t>LV SWGR &amp; MCC, LV SWITCHRACK</t>
  </si>
  <si>
    <t>36 sets</t>
    <phoneticPr fontId="17" type="noConversion"/>
  </si>
  <si>
    <t>TRANSFORMER &amp; NGR (230 / 13.8KV)</t>
  </si>
  <si>
    <t>26 units</t>
    <phoneticPr fontId="17" type="noConversion"/>
  </si>
  <si>
    <t>TRANSFORMER &amp; NGR</t>
  </si>
  <si>
    <t>31 units</t>
    <phoneticPr fontId="17" type="noConversion"/>
  </si>
  <si>
    <t>27 sets</t>
    <phoneticPr fontId="17" type="noConversion"/>
  </si>
  <si>
    <t>4 units</t>
    <phoneticPr fontId="17" type="noConversion"/>
  </si>
  <si>
    <t>POWER DISTRIBUTION BOARD (EX, NON-EX)</t>
  </si>
  <si>
    <t>ELECTRICAL TRACING SYSTEM</t>
  </si>
  <si>
    <t>LIGHTING FIXTURE (EX, NON-EX)</t>
  </si>
  <si>
    <t>CONDUIT &amp; FITTING, BULK MATERIAL</t>
  </si>
  <si>
    <t>EL020</t>
    <phoneticPr fontId="17" type="noConversion"/>
  </si>
  <si>
    <t>TELECOMMUNICATION CABLE</t>
  </si>
  <si>
    <t>TE002</t>
  </si>
  <si>
    <t>PE ROUTER</t>
  </si>
  <si>
    <t>TE003</t>
  </si>
  <si>
    <t>TRANSMISSON SYSTEM</t>
  </si>
  <si>
    <t>TE004</t>
  </si>
  <si>
    <t>RADIO SYSTEM</t>
  </si>
  <si>
    <t>TE005</t>
  </si>
  <si>
    <t>PA/PAGING SYSTEM</t>
  </si>
  <si>
    <t>TE006</t>
  </si>
  <si>
    <t>RADIO TOWER</t>
  </si>
  <si>
    <t>EL201</t>
    <phoneticPr fontId="17" type="noConversion"/>
  </si>
  <si>
    <t>230KV GIS (GAS INSULATED SWITCHGEAR) &amp; GIB</t>
  </si>
  <si>
    <t>50 bays</t>
    <phoneticPr fontId="17" type="noConversion"/>
  </si>
  <si>
    <t>EL202</t>
  </si>
  <si>
    <t>44,273 m</t>
    <phoneticPr fontId="17" type="noConversion"/>
  </si>
  <si>
    <t>EL203</t>
  </si>
  <si>
    <t>CONTROL AND PROTECTIVE RELAY PANEL</t>
  </si>
  <si>
    <t>88 sets</t>
    <phoneticPr fontId="17" type="noConversion"/>
  </si>
  <si>
    <t>IN001</t>
    <phoneticPr fontId="17" type="noConversion"/>
  </si>
  <si>
    <t>PROCESS CONTROL SYSTEM (DCS, ESD, MPS, CCS AND ETC.)</t>
  </si>
  <si>
    <t>325 sets</t>
    <phoneticPr fontId="17" type="noConversion"/>
  </si>
  <si>
    <t>IN002</t>
  </si>
  <si>
    <t xml:space="preserve">ANALYZER SYSTEM WITH SHELTER </t>
  </si>
  <si>
    <t>20 units</t>
    <phoneticPr fontId="17" type="noConversion"/>
  </si>
  <si>
    <t>Shop 검사 모두 완료 (MPS Shelter NCR open 남음)</t>
    <phoneticPr fontId="17" type="noConversion"/>
  </si>
  <si>
    <t xml:space="preserve">STEAM TRAP MONITORING SYSTEM </t>
  </si>
  <si>
    <t>IN004</t>
  </si>
  <si>
    <t xml:space="preserve">CORROSION MONITORING SYSTEM (CRMS) </t>
  </si>
  <si>
    <t xml:space="preserve">ON-OFF VALVE (BALL) </t>
  </si>
  <si>
    <t>3개 PO 분리 발주
1. IVM: 100.00%
2. OMS: 100.00%
3. Petrolvalve: 100.00%</t>
    <phoneticPr fontId="17" type="noConversion"/>
  </si>
  <si>
    <t>IN006</t>
  </si>
  <si>
    <t xml:space="preserve">MOV (MOTOR OPERATED VALVE - BUTTERFLY) </t>
  </si>
  <si>
    <t>IN007</t>
  </si>
  <si>
    <t xml:space="preserve">CONTROL VALVE (GENERAL) </t>
  </si>
  <si>
    <t xml:space="preserve">PRESSURE RELIEF VALVE </t>
  </si>
  <si>
    <t>BUCKING PIN RELIEF VALVE</t>
  </si>
  <si>
    <t>IN010</t>
  </si>
  <si>
    <t xml:space="preserve">ULTRASONIC FLOWMETER </t>
  </si>
  <si>
    <t xml:space="preserve">FLOWMETER (ROTAMETER) </t>
  </si>
  <si>
    <t>53 ea</t>
    <phoneticPr fontId="17" type="noConversion"/>
  </si>
  <si>
    <t>IN012</t>
  </si>
  <si>
    <t xml:space="preserve">AIR QUALITY MONITORING STATION (AQMS) </t>
  </si>
  <si>
    <t>1 unit</t>
    <phoneticPr fontId="17" type="noConversion"/>
  </si>
  <si>
    <t>IN021</t>
    <phoneticPr fontId="17" type="noConversion"/>
  </si>
  <si>
    <t xml:space="preserve">TRANSMITTERS (PRESS.,TEMP., DIFF. PRESS., DBB) </t>
  </si>
  <si>
    <t>545 ea</t>
    <phoneticPr fontId="17" type="noConversion"/>
  </si>
  <si>
    <t xml:space="preserve">LEVEL GAUGE </t>
  </si>
  <si>
    <t>82 ea</t>
    <phoneticPr fontId="17" type="noConversion"/>
  </si>
  <si>
    <t>IN023</t>
  </si>
  <si>
    <t xml:space="preserve">LEVEL TRANSMITTER (GWR, NCR, ETC) </t>
  </si>
  <si>
    <t>138 ea</t>
    <phoneticPr fontId="17" type="noConversion"/>
  </si>
  <si>
    <t xml:space="preserve">FLOW ELEMENT (ORIFICE, VENTURI TUBE, ETC.) </t>
  </si>
  <si>
    <t>162 ea</t>
    <phoneticPr fontId="17" type="noConversion"/>
  </si>
  <si>
    <t xml:space="preserve">LOCAL GAUGE </t>
  </si>
  <si>
    <t>1.252 ea</t>
    <phoneticPr fontId="17" type="noConversion"/>
  </si>
  <si>
    <t>IN026</t>
  </si>
  <si>
    <t xml:space="preserve">GAS DETECTOR, HORN AND BEACON </t>
  </si>
  <si>
    <t>IN027</t>
  </si>
  <si>
    <t>FLOWMETER (MAGNETIC)</t>
  </si>
  <si>
    <t>IN031</t>
    <phoneticPr fontId="17" type="noConversion"/>
  </si>
  <si>
    <t>IN032</t>
  </si>
  <si>
    <t>IN033</t>
  </si>
  <si>
    <t>JUNCTION BOX</t>
  </si>
  <si>
    <t>IN034</t>
  </si>
  <si>
    <t>IN035</t>
  </si>
  <si>
    <t>IN036</t>
  </si>
  <si>
    <t>INSTRUMENT TUBE FITTING &amp; BLOCK VALVE</t>
  </si>
  <si>
    <t>IN039</t>
    <phoneticPr fontId="17" type="noConversion"/>
  </si>
  <si>
    <t>7 EA</t>
    <phoneticPr fontId="17" type="noConversion"/>
  </si>
  <si>
    <t>Valve 1개 남았으며 공장 설치 용이 아닌 Training 용</t>
    <phoneticPr fontId="17" type="noConversion"/>
  </si>
  <si>
    <t>IN041</t>
    <phoneticPr fontId="17" type="noConversion"/>
  </si>
  <si>
    <t>SAMPLING CONNECTION</t>
  </si>
  <si>
    <t>16 units</t>
    <phoneticPr fontId="17" type="noConversion"/>
  </si>
  <si>
    <t>IN042</t>
  </si>
  <si>
    <t>PRESSURE REGULATOR</t>
  </si>
  <si>
    <t>IN043</t>
  </si>
  <si>
    <t>CONTROL VALVE GENERAL BUTTERFLY</t>
  </si>
  <si>
    <t>IN044</t>
  </si>
  <si>
    <t>IN045</t>
  </si>
  <si>
    <t>CORIOLIS MASS FLOWMETER</t>
  </si>
  <si>
    <t>IN047</t>
    <phoneticPr fontId="17" type="noConversion"/>
  </si>
  <si>
    <t>ON-OFF VALVE FOR ASU</t>
  </si>
  <si>
    <t>IN048</t>
    <phoneticPr fontId="17" type="noConversion"/>
  </si>
  <si>
    <t>CONTROL VALVE (NON-GENERAL) FOR ASU</t>
  </si>
  <si>
    <t>PR003</t>
    <phoneticPr fontId="17" type="noConversion"/>
  </si>
  <si>
    <t>SC001</t>
    <phoneticPr fontId="17" type="noConversion"/>
  </si>
  <si>
    <t>STEEL STRUCTURE - I</t>
  </si>
  <si>
    <t>STEEL STRUCTURE - II</t>
  </si>
  <si>
    <t>SAC2</t>
    <phoneticPr fontId="17" type="noConversion"/>
  </si>
  <si>
    <t>CI0001</t>
    <phoneticPr fontId="17" type="noConversion"/>
  </si>
  <si>
    <t>PROCESS CONTROL SYSTEM</t>
  </si>
  <si>
    <t>378 ea</t>
    <phoneticPr fontId="17" type="noConversion"/>
  </si>
  <si>
    <t>CI0002</t>
  </si>
  <si>
    <t>CUSTODY METERING PACKAGE</t>
  </si>
  <si>
    <t>SKID 1 ea
Cabinet 3 ea</t>
    <phoneticPr fontId="17" type="noConversion"/>
  </si>
  <si>
    <t>QM 35 감독관 수배하여 상주 검사 진행 중, FAT 일정 : 4/26~27일</t>
    <phoneticPr fontId="17" type="noConversion"/>
  </si>
  <si>
    <t>CI0003</t>
  </si>
  <si>
    <t>SULFUR TRUCK LOADING SYSTEM</t>
  </si>
  <si>
    <t>Cabinet - 4 EA</t>
    <phoneticPr fontId="17" type="noConversion"/>
  </si>
  <si>
    <t>IDR 제출</t>
  </si>
  <si>
    <t>CI0004</t>
  </si>
  <si>
    <t>STEAM TRAP MONITORING SYSTEM</t>
  </si>
  <si>
    <t>1 Lot
7,500 ea</t>
    <phoneticPr fontId="17" type="noConversion"/>
  </si>
  <si>
    <t>CI0005</t>
  </si>
  <si>
    <t>CORROSION MONITORING SYSTEM</t>
  </si>
  <si>
    <t>1 Lot
26 ea</t>
    <phoneticPr fontId="17" type="noConversion"/>
  </si>
  <si>
    <t>CI0007</t>
  </si>
  <si>
    <t>ANALYZER SYSTEM (INCLUDING CEMS)</t>
  </si>
  <si>
    <t>Shelter 7 ea
Cabinet 8 ea
3-side shelter 6 ea
Rack 26 ea
Sampling 146 ea</t>
    <phoneticPr fontId="4" type="noConversion"/>
  </si>
  <si>
    <t>CI0011</t>
    <phoneticPr fontId="17" type="noConversion"/>
  </si>
  <si>
    <t>192 ea</t>
    <phoneticPr fontId="17" type="noConversion"/>
  </si>
  <si>
    <t>강택기 책임</t>
    <phoneticPr fontId="17" type="noConversion"/>
  </si>
  <si>
    <t>황윤섭 책임</t>
    <phoneticPr fontId="17" type="noConversion"/>
  </si>
  <si>
    <t>CI0012</t>
  </si>
  <si>
    <t>ON-OFF VALVE (BUTTERFLY)</t>
  </si>
  <si>
    <t>76 ea</t>
    <phoneticPr fontId="17" type="noConversion"/>
  </si>
  <si>
    <t>Emerson 신규 PO(19 ea) IAP/PIM 예정</t>
    <phoneticPr fontId="17" type="noConversion"/>
  </si>
  <si>
    <t>CI0013</t>
  </si>
  <si>
    <t>ON-OFF VALVE (GATE)</t>
  </si>
  <si>
    <t>32 ea</t>
    <phoneticPr fontId="17" type="noConversion"/>
  </si>
  <si>
    <t>CI0015</t>
    <phoneticPr fontId="17" type="noConversion"/>
  </si>
  <si>
    <t>CONTROL VALVE (GENERAL)</t>
  </si>
  <si>
    <t>234 ea</t>
    <phoneticPr fontId="17" type="noConversion"/>
  </si>
  <si>
    <t>Inspection Level 0</t>
    <phoneticPr fontId="17" type="noConversion"/>
  </si>
  <si>
    <t>CI0016</t>
  </si>
  <si>
    <t>CONTROL VALVE (NON GENERAL)</t>
  </si>
  <si>
    <t>86 ea</t>
    <phoneticPr fontId="17" type="noConversion"/>
  </si>
  <si>
    <t>BH-Conde(10 ea), Valmet Finland(10 ea) IAP/PIM 예정</t>
    <phoneticPr fontId="17" type="noConversion"/>
  </si>
  <si>
    <t>CI0017</t>
  </si>
  <si>
    <t>184 ea</t>
    <phoneticPr fontId="17" type="noConversion"/>
  </si>
  <si>
    <t>CI0018</t>
  </si>
  <si>
    <t>RUPTURE DISC</t>
  </si>
  <si>
    <t>8 ea</t>
    <phoneticPr fontId="17" type="noConversion"/>
  </si>
  <si>
    <t>VIRB 제출 필요</t>
    <phoneticPr fontId="17" type="noConversion"/>
  </si>
  <si>
    <t>황윤섭 책임</t>
  </si>
  <si>
    <t>CI0021</t>
    <phoneticPr fontId="17" type="noConversion"/>
  </si>
  <si>
    <t>ORIFICE</t>
  </si>
  <si>
    <t>335 ea</t>
    <phoneticPr fontId="17" type="noConversion"/>
  </si>
  <si>
    <t>CI0022</t>
  </si>
  <si>
    <t>ANNUBAR &amp; VENTURI TUBE</t>
  </si>
  <si>
    <t>54 ea</t>
    <phoneticPr fontId="17" type="noConversion"/>
  </si>
  <si>
    <t>CI0023</t>
  </si>
  <si>
    <t>CI0024</t>
  </si>
  <si>
    <t>FLOWMETER (MAGNETIC, VORTEX)</t>
  </si>
  <si>
    <t>IDR 작성 중 / VIRB 제출 필요</t>
    <phoneticPr fontId="17" type="noConversion"/>
  </si>
  <si>
    <t>CI0025</t>
  </si>
  <si>
    <t>FLOWMETER (COLIOLIS)</t>
  </si>
  <si>
    <t>27 ea</t>
    <phoneticPr fontId="17" type="noConversion"/>
  </si>
  <si>
    <t>CI0026</t>
  </si>
  <si>
    <t>119 ea</t>
    <phoneticPr fontId="17" type="noConversion"/>
  </si>
  <si>
    <t>술탄 매니저</t>
  </si>
  <si>
    <t>CI0027</t>
  </si>
  <si>
    <t>RADAR TYPE LEVEL TRANSMITTER</t>
  </si>
  <si>
    <t>Transmitter 242 ea
Chamber  137 ea</t>
    <phoneticPr fontId="17" type="noConversion"/>
  </si>
  <si>
    <t>Chamber는 Level 0이나, FAT는 시공사 TPI witness 필요, 검사 진행 중 - 4/10, 4/20</t>
    <phoneticPr fontId="17" type="noConversion"/>
  </si>
  <si>
    <t>CI0028</t>
  </si>
  <si>
    <t>IDR 완료 / VIRB 제출 필요</t>
    <phoneticPr fontId="17" type="noConversion"/>
  </si>
  <si>
    <t>CI0029</t>
  </si>
  <si>
    <t>2,146 ea</t>
    <phoneticPr fontId="17" type="noConversion"/>
  </si>
  <si>
    <t>CI0030</t>
  </si>
  <si>
    <t>LOCAL GAUGE &amp; TEMPERATURE ELEMENT</t>
  </si>
  <si>
    <t>463 ea</t>
    <phoneticPr fontId="17" type="noConversion"/>
  </si>
  <si>
    <t>CI0031</t>
  </si>
  <si>
    <t>FIRE AND GAS DETECTOR &amp; ALARM DEVICE</t>
  </si>
  <si>
    <t>516 ea</t>
    <phoneticPr fontId="17" type="noConversion"/>
  </si>
  <si>
    <t>CI0032</t>
  </si>
  <si>
    <t>DELUGE VALVE</t>
  </si>
  <si>
    <t>5 ea</t>
    <phoneticPr fontId="17" type="noConversion"/>
  </si>
  <si>
    <t>Instrument cable (Level 0) : 3.35%</t>
  </si>
  <si>
    <t>CI0041</t>
    <phoneticPr fontId="17" type="noConversion"/>
  </si>
  <si>
    <t>FO - 328,602 m
Instrument - 2,205,160 m</t>
    <phoneticPr fontId="17" type="noConversion"/>
  </si>
  <si>
    <t>CI0042</t>
  </si>
  <si>
    <t>INSTRUMENT CABLE TRAY &amp; TRAY FITTING</t>
  </si>
  <si>
    <t>180,630 ea</t>
    <phoneticPr fontId="17" type="noConversion"/>
  </si>
  <si>
    <t>Level 1으로 상향되어, FAT에 검사원 배정하여 진행중</t>
    <phoneticPr fontId="17" type="noConversion"/>
  </si>
  <si>
    <t>CI0043</t>
  </si>
  <si>
    <t>940 ea</t>
    <phoneticPr fontId="17" type="noConversion"/>
  </si>
  <si>
    <t>CI0044</t>
  </si>
  <si>
    <t>17,696 ea</t>
    <phoneticPr fontId="17" type="noConversion"/>
  </si>
  <si>
    <t>CI0045</t>
  </si>
  <si>
    <t>INSTRUMENT TUBE &amp; TUBE FITTING</t>
  </si>
  <si>
    <t>Fitting - 17,751 ea</t>
    <phoneticPr fontId="17" type="noConversion"/>
  </si>
  <si>
    <t>CI0047</t>
  </si>
  <si>
    <t>Conduit - 173,550 ea
Fitting - 100,098 ea</t>
    <phoneticPr fontId="17" type="noConversion"/>
  </si>
  <si>
    <t>CI0048</t>
  </si>
  <si>
    <t>5,637 ea</t>
    <phoneticPr fontId="17" type="noConversion"/>
  </si>
  <si>
    <t>CI0050</t>
  </si>
  <si>
    <t xml:space="preserve">SUPPORT &amp; CONSUMABLE </t>
  </si>
  <si>
    <t>187,465 ea</t>
    <phoneticPr fontId="17" type="noConversion"/>
  </si>
  <si>
    <t>TEL0001</t>
    <phoneticPr fontId="17" type="noConversion"/>
  </si>
  <si>
    <t>TELECOM SYSTEM</t>
  </si>
  <si>
    <t>1 Lot
2,598 ea</t>
    <phoneticPr fontId="17" type="noConversion"/>
  </si>
  <si>
    <t>TEL0002</t>
    <phoneticPr fontId="17" type="noConversion"/>
  </si>
  <si>
    <t>TELECOM SYSTEM (NON-IT)</t>
  </si>
  <si>
    <t>1 Lot
3,901 ea</t>
    <phoneticPr fontId="17" type="noConversion"/>
  </si>
  <si>
    <t>TEL0003</t>
    <phoneticPr fontId="17" type="noConversion"/>
  </si>
  <si>
    <t>SECURITY SYSTEM</t>
  </si>
  <si>
    <t>1 Lot
510 ea</t>
    <phoneticPr fontId="17" type="noConversion"/>
  </si>
  <si>
    <t>PI0001</t>
    <phoneticPr fontId="17" type="noConversion"/>
  </si>
  <si>
    <t>CS SMLS PIPE</t>
  </si>
  <si>
    <t>204338.79 m</t>
    <phoneticPr fontId="17" type="noConversion"/>
  </si>
  <si>
    <r>
      <t>3개 PO 분리 발주</t>
    </r>
    <r>
      <rPr>
        <sz val="10"/>
        <rFont val="맑은 고딕"/>
        <family val="3"/>
        <charset val="129"/>
      </rPr>
      <t xml:space="preserve"> (1개 P.O IDR 제출)</t>
    </r>
    <phoneticPr fontId="17" type="noConversion"/>
  </si>
  <si>
    <t>박지애 매니저</t>
    <phoneticPr fontId="17" type="noConversion"/>
  </si>
  <si>
    <t>PI0002</t>
  </si>
  <si>
    <t>CS WELDED PIPE</t>
  </si>
  <si>
    <t>16271.52 m</t>
    <phoneticPr fontId="17" type="noConversion"/>
  </si>
  <si>
    <r>
      <t>4개 PO 분리 발주, Sub-P.O 3개</t>
    </r>
    <r>
      <rPr>
        <sz val="10"/>
        <rFont val="맑은 고딕"/>
        <family val="3"/>
        <charset val="129"/>
      </rPr>
      <t>(2개 P.O &amp; 2개 Sub P.O IDR 제출)</t>
    </r>
    <phoneticPr fontId="17" type="noConversion"/>
  </si>
  <si>
    <t>PI0003</t>
  </si>
  <si>
    <t>HIGH ALLOY PIPE</t>
  </si>
  <si>
    <r>
      <t>594</t>
    </r>
    <r>
      <rPr>
        <sz val="10"/>
        <rFont val="맑은 고딕"/>
        <family val="1"/>
        <charset val="129"/>
      </rPr>
      <t>71</t>
    </r>
    <r>
      <rPr>
        <sz val="10"/>
        <rFont val="현대하모니 L"/>
        <family val="1"/>
        <charset val="129"/>
      </rPr>
      <t>.</t>
    </r>
    <r>
      <rPr>
        <sz val="10"/>
        <rFont val="맑은 고딕"/>
        <family val="1"/>
        <charset val="129"/>
      </rPr>
      <t>83</t>
    </r>
    <r>
      <rPr>
        <sz val="10"/>
        <rFont val="현대하모니 L"/>
        <family val="1"/>
        <charset val="129"/>
      </rPr>
      <t xml:space="preserve"> m</t>
    </r>
    <phoneticPr fontId="17" type="noConversion"/>
  </si>
  <si>
    <t>PI0007</t>
    <phoneticPr fontId="17" type="noConversion"/>
  </si>
  <si>
    <r>
      <rPr>
        <sz val="10"/>
        <rFont val="맑은 고딕"/>
        <family val="1"/>
        <charset val="129"/>
      </rPr>
      <t>411</t>
    </r>
    <r>
      <rPr>
        <sz val="10"/>
        <rFont val="현대하모니 L"/>
        <family val="1"/>
        <charset val="129"/>
      </rPr>
      <t>.7 m/ea</t>
    </r>
    <phoneticPr fontId="17" type="noConversion"/>
  </si>
  <si>
    <r>
      <t xml:space="preserve">Sub P.O </t>
    </r>
    <r>
      <rPr>
        <sz val="10"/>
        <rFont val="맑은 고딕"/>
        <family val="3"/>
        <charset val="129"/>
      </rPr>
      <t>4</t>
    </r>
    <r>
      <rPr>
        <sz val="10"/>
        <rFont val="현대하모니 L"/>
        <family val="1"/>
        <charset val="129"/>
      </rPr>
      <t>개</t>
    </r>
    <r>
      <rPr>
        <sz val="10"/>
        <rFont val="맑은 고딕"/>
        <family val="3"/>
        <charset val="129"/>
      </rPr>
      <t>(Sub P.O 3개 IDR 제출)</t>
    </r>
    <phoneticPr fontId="17" type="noConversion"/>
  </si>
  <si>
    <t>PI0008</t>
  </si>
  <si>
    <t>37036 m/ea</t>
    <phoneticPr fontId="17" type="noConversion"/>
  </si>
  <si>
    <t>박지애 매니저</t>
  </si>
  <si>
    <t>PI0010</t>
  </si>
  <si>
    <r>
      <t>8</t>
    </r>
    <r>
      <rPr>
        <sz val="10"/>
        <rFont val="맑은 고딕"/>
        <family val="1"/>
        <charset val="129"/>
      </rPr>
      <t>8019</t>
    </r>
    <r>
      <rPr>
        <sz val="10"/>
        <rFont val="현대하모니 L"/>
        <family val="1"/>
        <charset val="129"/>
      </rPr>
      <t xml:space="preserve"> m/ea</t>
    </r>
    <phoneticPr fontId="17" type="noConversion"/>
  </si>
  <si>
    <t>PI0021</t>
    <phoneticPr fontId="17" type="noConversion"/>
  </si>
  <si>
    <t>12932 ea</t>
    <phoneticPr fontId="17" type="noConversion"/>
  </si>
  <si>
    <t>PI0022</t>
  </si>
  <si>
    <r>
      <t>438</t>
    </r>
    <r>
      <rPr>
        <sz val="10"/>
        <rFont val="맑은 고딕"/>
        <family val="1"/>
        <charset val="129"/>
      </rPr>
      <t>20</t>
    </r>
    <r>
      <rPr>
        <sz val="10"/>
        <rFont val="현대하모니 L"/>
        <family val="1"/>
        <charset val="129"/>
      </rPr>
      <t xml:space="preserve"> ea</t>
    </r>
    <phoneticPr fontId="17" type="noConversion"/>
  </si>
  <si>
    <r>
      <t>3개 PO 분리 발주, Sub-P.O 1개</t>
    </r>
    <r>
      <rPr>
        <sz val="10"/>
        <rFont val="맑은 고딕"/>
        <family val="3"/>
        <charset val="129"/>
      </rPr>
      <t>(Sub P.O 1개 IDR 제출)</t>
    </r>
    <phoneticPr fontId="17" type="noConversion"/>
  </si>
  <si>
    <t>PI0023</t>
  </si>
  <si>
    <t>FABRICATED SPOOL FITTING</t>
  </si>
  <si>
    <r>
      <t>21</t>
    </r>
    <r>
      <rPr>
        <sz val="10"/>
        <rFont val="맑은 고딕"/>
        <family val="1"/>
        <charset val="129"/>
      </rPr>
      <t>6</t>
    </r>
    <r>
      <rPr>
        <sz val="10"/>
        <rFont val="현대하모니 L"/>
        <family val="1"/>
        <charset val="129"/>
      </rPr>
      <t xml:space="preserve"> ea</t>
    </r>
    <phoneticPr fontId="17" type="noConversion"/>
  </si>
  <si>
    <t>PI0024</t>
  </si>
  <si>
    <t>CROSS FITTING</t>
  </si>
  <si>
    <t>557 ea</t>
    <phoneticPr fontId="17" type="noConversion"/>
  </si>
  <si>
    <t>IDR 제출 완료, VIRB 진행중</t>
    <phoneticPr fontId="17" type="noConversion"/>
  </si>
  <si>
    <t>PI0031</t>
    <phoneticPr fontId="17" type="noConversion"/>
  </si>
  <si>
    <r>
      <t>6</t>
    </r>
    <r>
      <rPr>
        <sz val="10"/>
        <rFont val="맑은 고딕"/>
        <family val="1"/>
        <charset val="129"/>
      </rPr>
      <t>2025</t>
    </r>
    <r>
      <rPr>
        <sz val="10"/>
        <rFont val="현대하모니 L"/>
        <family val="1"/>
        <charset val="129"/>
      </rPr>
      <t xml:space="preserve"> ea</t>
    </r>
    <phoneticPr fontId="17" type="noConversion"/>
  </si>
  <si>
    <t>4개 PO 분리 발주</t>
    <phoneticPr fontId="17" type="noConversion"/>
  </si>
  <si>
    <t>PI0032</t>
  </si>
  <si>
    <r>
      <t>40</t>
    </r>
    <r>
      <rPr>
        <sz val="10"/>
        <rFont val="맑은 고딕"/>
        <family val="1"/>
        <charset val="129"/>
      </rPr>
      <t>5076</t>
    </r>
    <r>
      <rPr>
        <sz val="10"/>
        <rFont val="현대하모니 L"/>
        <family val="1"/>
        <charset val="129"/>
      </rPr>
      <t xml:space="preserve"> ea</t>
    </r>
    <phoneticPr fontId="17" type="noConversion"/>
  </si>
  <si>
    <t>PI0033</t>
  </si>
  <si>
    <t>119030 ea</t>
    <phoneticPr fontId="17" type="noConversion"/>
  </si>
  <si>
    <t>강택기 책임</t>
  </si>
  <si>
    <t>PI0037</t>
    <phoneticPr fontId="17" type="noConversion"/>
  </si>
  <si>
    <t>PIPE SUPPORT</t>
  </si>
  <si>
    <t>76908.63 ea</t>
    <phoneticPr fontId="17" type="noConversion"/>
  </si>
  <si>
    <t>PI0038</t>
    <phoneticPr fontId="17" type="noConversion"/>
  </si>
  <si>
    <t>170 ea</t>
    <phoneticPr fontId="17" type="noConversion"/>
  </si>
  <si>
    <t>PI0041</t>
    <phoneticPr fontId="17" type="noConversion"/>
  </si>
  <si>
    <r>
      <t>22</t>
    </r>
    <r>
      <rPr>
        <sz val="10"/>
        <rFont val="맑은 고딕"/>
        <family val="1"/>
        <charset val="129"/>
      </rPr>
      <t>116</t>
    </r>
    <r>
      <rPr>
        <sz val="10"/>
        <rFont val="현대하모니 L"/>
        <family val="1"/>
        <charset val="129"/>
      </rPr>
      <t xml:space="preserve"> ea</t>
    </r>
    <phoneticPr fontId="17" type="noConversion"/>
  </si>
  <si>
    <r>
      <t xml:space="preserve">Sub P.O 1개
</t>
    </r>
    <r>
      <rPr>
        <sz val="10"/>
        <rFont val="맑은 고딕"/>
        <family val="3"/>
        <charset val="129"/>
      </rPr>
      <t>Oxygen Service Valve (Sub Vendor 제작분) 현장 도착한 Valve 226ea 중 49ea에서 Sealing Damage 발생함. Project 요구사항에 따라서 Sealing 되어야 하며, 문제 발생한 49ea 의 Valve는 Vendor로 반출할 예정(Italy). 추 후 재발 방지를 위한 검사 주기 확대관련 협의 진행 예정</t>
    </r>
    <phoneticPr fontId="17" type="noConversion"/>
  </si>
  <si>
    <t>PI0042</t>
  </si>
  <si>
    <t>7506 ea</t>
    <phoneticPr fontId="17" type="noConversion"/>
  </si>
  <si>
    <r>
      <t>4개 PO 분리 발주</t>
    </r>
    <r>
      <rPr>
        <sz val="10"/>
        <rFont val="맑은 고딕"/>
        <family val="1"/>
        <charset val="129"/>
      </rPr>
      <t>(</t>
    </r>
    <r>
      <rPr>
        <sz val="10"/>
        <rFont val="맑은 고딕"/>
        <family val="3"/>
        <charset val="129"/>
      </rPr>
      <t>1개 P.O IDR 제출</t>
    </r>
    <r>
      <rPr>
        <sz val="10"/>
        <rFont val="맑은 고딕"/>
        <family val="1"/>
        <charset val="129"/>
      </rPr>
      <t>)</t>
    </r>
    <phoneticPr fontId="17" type="noConversion"/>
  </si>
  <si>
    <t>PI0043</t>
  </si>
  <si>
    <r>
      <t>2</t>
    </r>
    <r>
      <rPr>
        <sz val="10"/>
        <rFont val="맑은 고딕"/>
        <family val="1"/>
        <charset val="129"/>
      </rPr>
      <t>69</t>
    </r>
    <r>
      <rPr>
        <sz val="10"/>
        <rFont val="현대하모니 L"/>
        <family val="1"/>
        <charset val="129"/>
      </rPr>
      <t>9 ea</t>
    </r>
    <phoneticPr fontId="17" type="noConversion"/>
  </si>
  <si>
    <r>
      <t>3개 PO 분리 발주, Sub-P.O 1개</t>
    </r>
    <r>
      <rPr>
        <sz val="10"/>
        <rFont val="맑은 고딕"/>
        <family val="1"/>
        <charset val="129"/>
      </rPr>
      <t>(</t>
    </r>
    <r>
      <rPr>
        <sz val="10"/>
        <rFont val="맑은 고딕"/>
        <family val="3"/>
        <charset val="129"/>
      </rPr>
      <t>2개 P.O IDR 제출</t>
    </r>
    <r>
      <rPr>
        <sz val="10"/>
        <rFont val="맑은 고딕"/>
        <family val="1"/>
        <charset val="129"/>
      </rPr>
      <t>)</t>
    </r>
    <phoneticPr fontId="17" type="noConversion"/>
  </si>
  <si>
    <t>PI0044</t>
  </si>
  <si>
    <r>
      <t>2</t>
    </r>
    <r>
      <rPr>
        <sz val="10"/>
        <rFont val="맑은 고딕"/>
        <family val="1"/>
        <charset val="129"/>
      </rPr>
      <t>35</t>
    </r>
    <r>
      <rPr>
        <sz val="10"/>
        <rFont val="현대하모니 L"/>
        <family val="1"/>
        <charset val="129"/>
      </rPr>
      <t xml:space="preserve"> ea</t>
    </r>
    <phoneticPr fontId="17" type="noConversion"/>
  </si>
  <si>
    <t>3개 PO 분리 발주</t>
  </si>
  <si>
    <t>PI0045</t>
  </si>
  <si>
    <t>148 ea</t>
    <phoneticPr fontId="17" type="noConversion"/>
  </si>
  <si>
    <t>PI0046</t>
  </si>
  <si>
    <r>
      <t>1</t>
    </r>
    <r>
      <rPr>
        <sz val="10"/>
        <rFont val="맑은 고딕"/>
        <family val="1"/>
        <charset val="129"/>
      </rPr>
      <t>78</t>
    </r>
    <r>
      <rPr>
        <sz val="10"/>
        <rFont val="현대하모니 L"/>
        <family val="1"/>
        <charset val="129"/>
      </rPr>
      <t xml:space="preserve"> ea</t>
    </r>
    <phoneticPr fontId="17" type="noConversion"/>
  </si>
  <si>
    <t>PI0047</t>
  </si>
  <si>
    <r>
      <t>12</t>
    </r>
    <r>
      <rPr>
        <sz val="10"/>
        <rFont val="맑은 고딕"/>
        <family val="1"/>
        <charset val="129"/>
      </rPr>
      <t>50</t>
    </r>
    <r>
      <rPr>
        <sz val="10"/>
        <rFont val="현대하모니 L"/>
        <family val="1"/>
        <charset val="129"/>
      </rPr>
      <t xml:space="preserve"> ea</t>
    </r>
    <phoneticPr fontId="17" type="noConversion"/>
  </si>
  <si>
    <r>
      <t xml:space="preserve">3개 PO 분리 발주
</t>
    </r>
    <r>
      <rPr>
        <sz val="10"/>
        <rFont val="Calibri"/>
        <family val="1"/>
      </rPr>
      <t xml:space="preserve">Aramco Monitoring </t>
    </r>
    <r>
      <rPr>
        <sz val="10"/>
        <rFont val="맑은 고딕"/>
        <family val="1"/>
        <charset val="129"/>
      </rPr>
      <t xml:space="preserve">검사원의 </t>
    </r>
    <r>
      <rPr>
        <sz val="10"/>
        <rFont val="Calibri"/>
        <family val="1"/>
      </rPr>
      <t xml:space="preserve">Comment </t>
    </r>
    <r>
      <rPr>
        <sz val="10"/>
        <rFont val="맑은 고딕"/>
        <family val="1"/>
        <charset val="129"/>
      </rPr>
      <t xml:space="preserve">발생 (12건: Painting 7, 자재추적 2, PMI 1, Report 2) 으로. </t>
    </r>
    <r>
      <rPr>
        <sz val="10"/>
        <rFont val="Calibri"/>
        <family val="1"/>
      </rPr>
      <t>Vendor</t>
    </r>
    <r>
      <rPr>
        <sz val="10"/>
        <rFont val="맑은 고딕"/>
        <family val="1"/>
        <charset val="129"/>
      </rPr>
      <t xml:space="preserve">와 </t>
    </r>
    <r>
      <rPr>
        <sz val="10"/>
        <rFont val="Calibri"/>
        <family val="1"/>
      </rPr>
      <t xml:space="preserve">Clarification </t>
    </r>
    <r>
      <rPr>
        <sz val="10"/>
        <rFont val="맑은 고딕"/>
        <family val="1"/>
        <charset val="129"/>
      </rPr>
      <t>중</t>
    </r>
    <phoneticPr fontId="17" type="noConversion"/>
  </si>
  <si>
    <t>PI0049</t>
    <phoneticPr fontId="17" type="noConversion"/>
  </si>
  <si>
    <t>2824 ea</t>
    <phoneticPr fontId="17" type="noConversion"/>
  </si>
  <si>
    <t>PI0050</t>
  </si>
  <si>
    <t>891 ea</t>
    <phoneticPr fontId="17" type="noConversion"/>
  </si>
  <si>
    <t>PI0051</t>
  </si>
  <si>
    <t>158 ea</t>
    <phoneticPr fontId="17" type="noConversion"/>
  </si>
  <si>
    <t>PI0061</t>
    <phoneticPr fontId="17" type="noConversion"/>
  </si>
  <si>
    <t>155 ea</t>
    <phoneticPr fontId="17" type="noConversion"/>
  </si>
  <si>
    <t>IDR 제출 예정</t>
    <phoneticPr fontId="17" type="noConversion"/>
  </si>
  <si>
    <t>PI0062</t>
  </si>
  <si>
    <t>STEAM TRAP</t>
  </si>
  <si>
    <t>PI0063</t>
  </si>
  <si>
    <t>HOSE &amp; CONNECTOR</t>
  </si>
  <si>
    <t>PI0065</t>
  </si>
  <si>
    <t>PI0066</t>
  </si>
  <si>
    <t>STEAM TRACING PACKAGE</t>
  </si>
  <si>
    <t>8763 ea</t>
    <phoneticPr fontId="17" type="noConversion"/>
  </si>
  <si>
    <t>PI0069</t>
    <phoneticPr fontId="17" type="noConversion"/>
  </si>
  <si>
    <t>PI0070</t>
  </si>
  <si>
    <t>CARBON CANISTER</t>
  </si>
  <si>
    <t>PI0081</t>
    <phoneticPr fontId="17" type="noConversion"/>
  </si>
  <si>
    <t>PENSTOCK VALVE</t>
  </si>
  <si>
    <t>ALOM</t>
    <phoneticPr fontId="17" type="noConversion"/>
  </si>
  <si>
    <t>ME-001</t>
  </si>
  <si>
    <t>HRSG (PRESSURE PART)</t>
  </si>
  <si>
    <t>Embedded Material 1 set
Casing 1 set
Expansion Joint &amp; Bellow 1 set
Module 1 set
HP/LP/IP Drum 3 set
Deaerator 1set
External Piping 1lot
Internal Piping 1lot 
Pipe Hanger &amp; Support 1 lot
Safety Valve 1 set
Control Valve, MOV
Silencer 1 lot
Electrical &amp; I&amp;C 2 set
Stack Damper 1EA
Steel Structure 1 lot
Inlet/Outlet Duct 1 set
Stack 1 set</t>
    <phoneticPr fontId="17" type="noConversion"/>
  </si>
  <si>
    <t>HRSG 잔여 공급 분 (Sub-Component) 남아있음</t>
  </si>
  <si>
    <t>N/A (현시점 지정 불필요)</t>
  </si>
  <si>
    <t>ME-002</t>
  </si>
  <si>
    <t>AIR COOLED CONDENSER</t>
  </si>
  <si>
    <t>석우경 매니저</t>
    <phoneticPr fontId="17" type="noConversion"/>
  </si>
  <si>
    <t>ME-003</t>
  </si>
  <si>
    <t>STEAM BYPASS SYSTEM</t>
  </si>
  <si>
    <t>석우경 매니저</t>
  </si>
  <si>
    <t>ME-004</t>
  </si>
  <si>
    <t>NATURAL GAS SUPPLY SYSTEM</t>
  </si>
  <si>
    <t>ME-005</t>
  </si>
  <si>
    <t>ELECTRIC HEATER</t>
  </si>
  <si>
    <t>ME-006</t>
  </si>
  <si>
    <t>FIN FAN AIR COOLER</t>
  </si>
  <si>
    <t>ME-007</t>
  </si>
  <si>
    <t>BOILER FEEDWATER PUMP</t>
  </si>
  <si>
    <t>ME-008</t>
  </si>
  <si>
    <t>CONDENSATE EXTRACTION PUMP</t>
  </si>
  <si>
    <t>ME-009</t>
  </si>
  <si>
    <t>GENERAL SERVICE PUMP</t>
  </si>
  <si>
    <t>ME-010</t>
  </si>
  <si>
    <t>SUMP PUMP</t>
  </si>
  <si>
    <t>FIDB 제출 필요</t>
    <phoneticPr fontId="17" type="noConversion"/>
  </si>
  <si>
    <t>ME-011</t>
  </si>
  <si>
    <t>SHOP FABRICATED TANK</t>
  </si>
  <si>
    <t>ME-012</t>
  </si>
  <si>
    <t>ME-013</t>
  </si>
  <si>
    <t>ME-014</t>
  </si>
  <si>
    <t>EXHAUST GAS BYPASS SYSTEM</t>
  </si>
  <si>
    <t>ME-015</t>
  </si>
  <si>
    <t>ME-017</t>
  </si>
  <si>
    <t xml:space="preserve">AUXILIARY BOILER </t>
  </si>
  <si>
    <t>EN-001</t>
  </si>
  <si>
    <t>WATER &amp; WASTEWATER TREATMENT SYSTEM</t>
  </si>
  <si>
    <t>EN-002</t>
  </si>
  <si>
    <t>CHEMICAL DOSING SYSTEM</t>
  </si>
  <si>
    <t>EN-003</t>
  </si>
  <si>
    <t>LABORATORY</t>
  </si>
  <si>
    <t>PP-001</t>
  </si>
  <si>
    <t>PIPE(AS SMLS)</t>
  </si>
  <si>
    <t>6959.63 m</t>
    <phoneticPr fontId="17" type="noConversion"/>
  </si>
  <si>
    <t>PP-002</t>
  </si>
  <si>
    <t>PIPE(AS WELDED)</t>
  </si>
  <si>
    <t>28 pcs</t>
    <phoneticPr fontId="17" type="noConversion"/>
  </si>
  <si>
    <t>PP-003</t>
  </si>
  <si>
    <t>PIPE(SS SMLS)</t>
  </si>
  <si>
    <t>402 pcs</t>
    <phoneticPr fontId="17" type="noConversion"/>
  </si>
  <si>
    <t>PP-004</t>
  </si>
  <si>
    <t>PIPE(SS WELDED)</t>
  </si>
  <si>
    <t>7134.5 m</t>
    <phoneticPr fontId="17" type="noConversion"/>
  </si>
  <si>
    <t>PP-005</t>
  </si>
  <si>
    <t>PIPE(CS SMLS)</t>
  </si>
  <si>
    <t>38301.5 m</t>
    <phoneticPr fontId="17" type="noConversion"/>
  </si>
  <si>
    <t>PP-006</t>
  </si>
  <si>
    <t>PIPE(CS WELDED)</t>
  </si>
  <si>
    <t>1644.5 m</t>
    <phoneticPr fontId="17" type="noConversion"/>
  </si>
  <si>
    <t>PP-007</t>
  </si>
  <si>
    <t>DOUBLE WALLED PIPING</t>
  </si>
  <si>
    <t>60 pcs</t>
    <phoneticPr fontId="17" type="noConversion"/>
  </si>
  <si>
    <t>PP-008</t>
  </si>
  <si>
    <t>FORGED  FITTING</t>
  </si>
  <si>
    <t>20624 ea</t>
    <phoneticPr fontId="17" type="noConversion"/>
  </si>
  <si>
    <t>FIDB 제출 필요</t>
  </si>
  <si>
    <t>PP-009</t>
  </si>
  <si>
    <t>8320 ea</t>
    <phoneticPr fontId="17" type="noConversion"/>
  </si>
  <si>
    <t>PP-010</t>
  </si>
  <si>
    <t>4481 ea</t>
    <phoneticPr fontId="17" type="noConversion"/>
  </si>
  <si>
    <t>PP-011</t>
  </si>
  <si>
    <t>6786 ea</t>
    <phoneticPr fontId="17" type="noConversion"/>
  </si>
  <si>
    <t>PP-012</t>
  </si>
  <si>
    <t>35416 ea</t>
    <phoneticPr fontId="17" type="noConversion"/>
  </si>
  <si>
    <t>PP-013</t>
  </si>
  <si>
    <t>3781 ea</t>
    <phoneticPr fontId="17" type="noConversion"/>
  </si>
  <si>
    <t>PP-014</t>
  </si>
  <si>
    <t>PIPING MATERIAL FOR STORAGE TANK(OUMACHE-I)</t>
  </si>
  <si>
    <t>PP-014-1</t>
    <phoneticPr fontId="17" type="noConversion"/>
  </si>
  <si>
    <t>6 ea</t>
    <phoneticPr fontId="17" type="noConversion"/>
  </si>
  <si>
    <t>PP-015</t>
  </si>
  <si>
    <t>200 ea</t>
    <phoneticPr fontId="17" type="noConversion"/>
  </si>
  <si>
    <t>PP-016</t>
  </si>
  <si>
    <t>122 ea</t>
    <phoneticPr fontId="17" type="noConversion"/>
  </si>
  <si>
    <t>PP-017</t>
  </si>
  <si>
    <t>PSV</t>
  </si>
  <si>
    <t>43 ea</t>
    <phoneticPr fontId="17" type="noConversion"/>
  </si>
  <si>
    <t>PP-018</t>
  </si>
  <si>
    <t>EXPANSION JOINT &amp; FLEXIBLE HOSE</t>
  </si>
  <si>
    <t>PP-019</t>
  </si>
  <si>
    <t>TRAP</t>
  </si>
  <si>
    <t>51 ea</t>
    <phoneticPr fontId="17" type="noConversion"/>
  </si>
  <si>
    <t>PP-020</t>
  </si>
  <si>
    <t>PP-021</t>
  </si>
  <si>
    <t>HANGER &amp; SUPPORT</t>
  </si>
  <si>
    <t>13414 ea</t>
    <phoneticPr fontId="17" type="noConversion"/>
  </si>
  <si>
    <t>PP-023</t>
  </si>
  <si>
    <t>SHOP FABRICATED PIPING</t>
  </si>
  <si>
    <t>32603 pcs (fitting,flange) / 49379 m(piping)</t>
    <phoneticPr fontId="17" type="noConversion"/>
  </si>
  <si>
    <t>PP-024</t>
    <phoneticPr fontId="17" type="noConversion"/>
  </si>
  <si>
    <t>INSULATION</t>
  </si>
  <si>
    <t>PP-026</t>
  </si>
  <si>
    <t>COATING</t>
  </si>
  <si>
    <t>628 pcs</t>
    <phoneticPr fontId="17" type="noConversion"/>
  </si>
  <si>
    <t>Coated Pipe</t>
    <phoneticPr fontId="17" type="noConversion"/>
  </si>
  <si>
    <t>PP-A03</t>
    <phoneticPr fontId="17" type="noConversion"/>
  </si>
  <si>
    <t>CLADDING</t>
  </si>
  <si>
    <t>Cladding Pipe</t>
    <phoneticPr fontId="17" type="noConversion"/>
  </si>
  <si>
    <t>EL-003</t>
  </si>
  <si>
    <t>POWER TRANSFORMERS</t>
  </si>
  <si>
    <t>EL-004</t>
  </si>
  <si>
    <t>GCB</t>
  </si>
  <si>
    <t>EL-005</t>
  </si>
  <si>
    <t>IPB</t>
  </si>
  <si>
    <t>EL-006</t>
  </si>
  <si>
    <t>MV SWGR</t>
  </si>
  <si>
    <t>EL-007</t>
  </si>
  <si>
    <t>LV SWGR AND MCC</t>
  </si>
  <si>
    <t>478 ea</t>
    <phoneticPr fontId="17" type="noConversion"/>
  </si>
  <si>
    <t>EL-008</t>
  </si>
  <si>
    <t>DC AND UPS SYSTEM</t>
  </si>
  <si>
    <t>40 sets</t>
    <phoneticPr fontId="17" type="noConversion"/>
  </si>
  <si>
    <t>EL-009</t>
  </si>
  <si>
    <t>PROTECTION AND METERING PANEL</t>
  </si>
  <si>
    <t>EL-010</t>
  </si>
  <si>
    <t>EL-011</t>
  </si>
  <si>
    <t>ALOM-BM-EL-001</t>
    <phoneticPr fontId="17" type="noConversion"/>
  </si>
  <si>
    <t>BM - POWER AND CONTROL CABLES</t>
  </si>
  <si>
    <t>7,7500 m
518,000 m
558,600 m
231,600 m
65,500 m</t>
    <phoneticPr fontId="17" type="noConversion"/>
  </si>
  <si>
    <t>ALOM-BM-EL-002</t>
  </si>
  <si>
    <t>BM - CABLE TRAYS</t>
  </si>
  <si>
    <t>ALOM-BM-EL-003</t>
    <phoneticPr fontId="11" type="noConversion"/>
  </si>
  <si>
    <t>BM - CONDUIT AND ACCESSORIES</t>
  </si>
  <si>
    <t>ALOM-BM-EL-004</t>
    <phoneticPr fontId="11" type="noConversion"/>
  </si>
  <si>
    <t>BM - GROUNDING AND LIGHTNING PROTECTION SYSTEM</t>
  </si>
  <si>
    <t>CI-001</t>
  </si>
  <si>
    <t>DISTRIBUTED CONTROL SYSTEM(DCS)</t>
  </si>
  <si>
    <t>CI-002</t>
  </si>
  <si>
    <t>CONTINUOUS EMISSION MONITORING SYSTEM(CEMS)</t>
  </si>
  <si>
    <t>CI-003</t>
  </si>
  <si>
    <t>STEAM &amp; WATER SAMPLING &amp; ANALYSIS SYSTEM(SWAS)</t>
  </si>
  <si>
    <t>CI-004</t>
  </si>
  <si>
    <t>VIBRATION MONITORING SYSTEM(VMS)</t>
  </si>
  <si>
    <t>CI-005</t>
  </si>
  <si>
    <t>CONTROL VALVE</t>
  </si>
  <si>
    <t>CI-006</t>
  </si>
  <si>
    <t>FLOW ELEMENT AND SIGHT GLASS</t>
  </si>
  <si>
    <t>CI-007</t>
  </si>
  <si>
    <t>LEVEL SWITCH</t>
  </si>
  <si>
    <t>CI-008</t>
  </si>
  <si>
    <t>CI-009</t>
  </si>
  <si>
    <t>LOCAL INDICATOR</t>
  </si>
  <si>
    <t>BM-INSTRUMENT BULK MATERIALS</t>
  </si>
  <si>
    <t>CI-011</t>
  </si>
  <si>
    <t>MISCELLANEOUS EQUIPMENT FOR C&amp;I</t>
  </si>
  <si>
    <t>준공 6개월 전 시점에서 발주 예정</t>
  </si>
  <si>
    <t>CI-012</t>
  </si>
  <si>
    <t>MOV (GATE &amp; GLOBE)</t>
  </si>
  <si>
    <t>CI-013</t>
  </si>
  <si>
    <t>INSTRUMENTATION BULK</t>
  </si>
  <si>
    <t>HV-001</t>
  </si>
  <si>
    <t xml:space="preserve">HVAC EQUIPMENT </t>
  </si>
  <si>
    <t>HV-002</t>
  </si>
  <si>
    <t>GT VENTILATION DUCT</t>
  </si>
  <si>
    <t>AR-001</t>
    <phoneticPr fontId="4" type="noConversion"/>
  </si>
  <si>
    <t>STRUCTURAL STEEL</t>
  </si>
  <si>
    <t>VEQU</t>
    <phoneticPr fontId="17" type="noConversion"/>
  </si>
  <si>
    <t>QT1-RFQ-M-001</t>
  </si>
  <si>
    <t>STG AND AUXILIARIES</t>
  </si>
  <si>
    <t>26년 3월 FIDB 접수 완료 (종결)</t>
  </si>
  <si>
    <t>QT1-RFQ-M-002</t>
  </si>
  <si>
    <t>BOILER (PC, USC) AND AUXILIAIRES</t>
  </si>
  <si>
    <t>QT1-RFQ-M-003</t>
  </si>
  <si>
    <t>ASH HANDLING SYSTEM</t>
  </si>
  <si>
    <t>나광조 책임</t>
  </si>
  <si>
    <t>QT1-RFQ-M-004</t>
  </si>
  <si>
    <t>COAL HANDLING SYSTEM</t>
  </si>
  <si>
    <t>STOP GATE</t>
  </si>
  <si>
    <t>3 Lot</t>
    <phoneticPr fontId="17" type="noConversion"/>
  </si>
  <si>
    <t>QT1-RFQ-M-005</t>
  </si>
  <si>
    <t>ELECTROSTATIC PRECIPITATOR</t>
  </si>
  <si>
    <t>QT1-RFQ-M-006</t>
  </si>
  <si>
    <t>ID FAN</t>
  </si>
  <si>
    <t>QT1-RFQ-M-007</t>
  </si>
  <si>
    <t>INTAKE FACILITY</t>
  </si>
  <si>
    <t>QT1-RFQ-M-008</t>
  </si>
  <si>
    <t>CWPS</t>
  </si>
  <si>
    <t>QT1-RFQ-M-009</t>
  </si>
  <si>
    <t>CONDENSER WITH VACUUM SYSTEM</t>
  </si>
  <si>
    <t>QT1-RFQ-M-010</t>
  </si>
  <si>
    <t>CTCS AND DEBRIS FILTER</t>
  </si>
  <si>
    <t>2 Unit (378 MT)</t>
  </si>
  <si>
    <t>QT1-RFQ-M-011</t>
  </si>
  <si>
    <t>QT1-RFQ-M-012</t>
  </si>
  <si>
    <t>FW HEATER</t>
  </si>
  <si>
    <t>QT1-RFQ-M-013</t>
  </si>
  <si>
    <t>DEAERATOR AND FW STORAGE TANK</t>
  </si>
  <si>
    <t>QT1-RFQ-M-014</t>
  </si>
  <si>
    <t>BOILER FEEDWATER PUMPS</t>
  </si>
  <si>
    <t>QT1-RFQ-M-015</t>
  </si>
  <si>
    <t>CCW COOLER</t>
  </si>
  <si>
    <t>QT1-RFQ-M-016</t>
  </si>
  <si>
    <t>COMPRESSED AIR SYSTEM</t>
  </si>
  <si>
    <t>QT1-RFQ-M-017</t>
  </si>
  <si>
    <t xml:space="preserve">CRANE &amp; HOIST </t>
  </si>
  <si>
    <t>QT1-RFQ-M-018</t>
  </si>
  <si>
    <t>FIELD ERECTED TANK</t>
  </si>
  <si>
    <t>QT1-RFQ-M-019</t>
  </si>
  <si>
    <t>QT1-RFQ-M-020</t>
  </si>
  <si>
    <t>GENERAL SERVICE PUMP (HORIZONTAL)</t>
  </si>
  <si>
    <t>QT1-RFQ-M-021</t>
  </si>
  <si>
    <t>GENERAL SERVICE PUMP (VERTICAL)</t>
  </si>
  <si>
    <t>QT1-RFQ-M-022</t>
  </si>
  <si>
    <t>AUX. BOILER PACKAGE</t>
  </si>
  <si>
    <t>QT1-RFQ-M-023</t>
  </si>
  <si>
    <t>H2 PLANT</t>
  </si>
  <si>
    <t>QT1-RFQ-M-024</t>
  </si>
  <si>
    <t>SERVICE GAS (N2, CO2) SYSTEM</t>
  </si>
  <si>
    <t>QT1-RFQ-M-026</t>
  </si>
  <si>
    <t>STACKER AND RECLAIMER</t>
  </si>
  <si>
    <t>QT1-RFQ-M-029</t>
  </si>
  <si>
    <t>VACUUM CLEANING SYSTEM</t>
  </si>
  <si>
    <t>QT1-RFQ-M-032</t>
  </si>
  <si>
    <t>STEEL STRUCTURE &amp; COAL BUNKER FOR BOILER</t>
  </si>
  <si>
    <t>19726 MT</t>
  </si>
  <si>
    <t>FIDB 불필요</t>
    <phoneticPr fontId="17" type="noConversion"/>
  </si>
  <si>
    <t>QT1-RFQ-W-001</t>
  </si>
  <si>
    <t>WATER&amp;WASTEWATER TREATMENT SYSTEM</t>
  </si>
  <si>
    <t>QT1-RFQ-W-002</t>
  </si>
  <si>
    <t>CONDENSATE POLISHING SYSTEM</t>
  </si>
  <si>
    <t>1 Unit</t>
  </si>
  <si>
    <t>QT1-RFQ-W-003</t>
  </si>
  <si>
    <t>GAS CHLORINATION SYSTEM</t>
  </si>
  <si>
    <t>QT1-RFQ-W-004</t>
  </si>
  <si>
    <t>QT1-RFQ-MS-003</t>
  </si>
  <si>
    <t>NH3 SUPPLY SYSTEM</t>
  </si>
  <si>
    <t>QT1-RFQ-MS-002</t>
  </si>
  <si>
    <t>SEA WATER FGD SYSTEM</t>
  </si>
  <si>
    <t>QT1-RFQ-W-007</t>
  </si>
  <si>
    <t>LABORATORY SYSTEM</t>
  </si>
  <si>
    <t>QT1-RFQ-P-001</t>
  </si>
  <si>
    <t>A/S PIPES (SEAMLESS)</t>
  </si>
  <si>
    <r>
      <t xml:space="preserve">(VO 가능성 </t>
    </r>
    <r>
      <rPr>
        <sz val="10"/>
        <rFont val="Gulim"/>
        <family val="1"/>
        <charset val="129"/>
      </rPr>
      <t>高</t>
    </r>
    <r>
      <rPr>
        <sz val="10"/>
        <rFont val="현대하모니 L"/>
        <family val="1"/>
        <charset val="129"/>
      </rPr>
      <t>)</t>
    </r>
    <phoneticPr fontId="17" type="noConversion"/>
  </si>
  <si>
    <t>QT1-RFQ-P-002</t>
  </si>
  <si>
    <t>A/S PIPES (SEAM)</t>
  </si>
  <si>
    <t>QT1-RFQ-P-003</t>
  </si>
  <si>
    <t>C/S PIPES (SEAMLESS)</t>
  </si>
  <si>
    <t>QT1-RFQ-P-004</t>
  </si>
  <si>
    <t>C/S PIPES (SEAM)</t>
  </si>
  <si>
    <t>QT1-RFQ-P-005</t>
  </si>
  <si>
    <t>S/S PIPES (SEAMLESS)</t>
  </si>
  <si>
    <t>QT1-RFQ-P-006</t>
  </si>
  <si>
    <t>S/S PIPES (SEAM)</t>
  </si>
  <si>
    <t>QT1-RFQ-P-008</t>
  </si>
  <si>
    <t>QT1-RFQ-P-009</t>
  </si>
  <si>
    <t>QT1-RFQ-P-010</t>
  </si>
  <si>
    <t>QT1-RFQ-P-011</t>
  </si>
  <si>
    <t>QT1-RFQ-P-012</t>
  </si>
  <si>
    <t>BOLT/NUT</t>
  </si>
  <si>
    <t>QT1-RFQ-P-013</t>
  </si>
  <si>
    <t>CASTING VALVE (MANUAL)</t>
  </si>
  <si>
    <t>2개 PO [MANUAL, 4500#: 100.0% / MANUAL, upto 2500#: 100.0%]</t>
    <phoneticPr fontId="17" type="noConversion"/>
  </si>
  <si>
    <t>QT1-RFQ-P-014</t>
  </si>
  <si>
    <t>FORGED VALVE (MANUAL)</t>
  </si>
  <si>
    <t>QT1-RFQ-P-015</t>
  </si>
  <si>
    <t>BUTTERFLY VALVE (MANUAL)</t>
  </si>
  <si>
    <t>QT1-RFQ-P-016</t>
  </si>
  <si>
    <t>BALL VALVE (MANUAL)</t>
  </si>
  <si>
    <t>QT1-RFQ-P-017</t>
  </si>
  <si>
    <t>QT1-RFQ-P-018</t>
  </si>
  <si>
    <t>STEAM/AIR TRAP</t>
  </si>
  <si>
    <t>QT1-RFQ-P-019</t>
  </si>
  <si>
    <t>FLEXIBLE &amp; EXPANSION JOINT</t>
  </si>
  <si>
    <t>QT1-RFQ-P-020</t>
  </si>
  <si>
    <t>QT1-RFQ-P-021</t>
  </si>
  <si>
    <t>HDPE</t>
  </si>
  <si>
    <t>QT1-RFQ-P-022</t>
  </si>
  <si>
    <t>CPVC</t>
  </si>
  <si>
    <t>QT1-RFQ-P-023</t>
  </si>
  <si>
    <t>COATED/LINED PIPE</t>
  </si>
  <si>
    <t>QT1-RFQ-P-030</t>
  </si>
  <si>
    <t>GRP PIPING (FOR SW FGD)</t>
  </si>
  <si>
    <t>계장</t>
  </si>
  <si>
    <t>QT1-RFQ-I-001</t>
  </si>
  <si>
    <t>DISTRIBUTED CONTROL SYSTEM (DCS)</t>
  </si>
  <si>
    <t>QT1-RFQ-I-002</t>
  </si>
  <si>
    <t>VIBRATION MONITORING SYSTEM (VMS)</t>
  </si>
  <si>
    <t>2 sets</t>
    <phoneticPr fontId="17" type="noConversion"/>
  </si>
  <si>
    <t>QT1-RFQ-I-003</t>
  </si>
  <si>
    <t>CONTINUOUS EMISSION MONITORING SYSTEM (CEMS)</t>
  </si>
  <si>
    <t>QT1-RFQ-I-004</t>
  </si>
  <si>
    <t>STEAM/WATER SAMPLING AND ANALYZING SYSTEM (SWAS)</t>
  </si>
  <si>
    <t>QT1-RFQ-I-005</t>
  </si>
  <si>
    <t>QT1-RFQ-I-006</t>
  </si>
  <si>
    <t>FIELD TRANSMITTER</t>
  </si>
  <si>
    <t>751 ea</t>
    <phoneticPr fontId="17" type="noConversion"/>
  </si>
  <si>
    <t>QT1-RFQ-I-007</t>
  </si>
  <si>
    <t>556 ea</t>
    <phoneticPr fontId="17" type="noConversion"/>
  </si>
  <si>
    <t>QT1-RFQ-I-008</t>
  </si>
  <si>
    <t>LEVEL INSTRUMENT</t>
  </si>
  <si>
    <t>108 ea</t>
    <phoneticPr fontId="17" type="noConversion"/>
  </si>
  <si>
    <t>QT1-RFQ-I-009</t>
  </si>
  <si>
    <t>215 ea</t>
    <phoneticPr fontId="17" type="noConversion"/>
  </si>
  <si>
    <t>QT1-RFQ-I-010</t>
  </si>
  <si>
    <t>MOTORIZED OPERATING VALVE (GATE &amp; GLOBE TYPE)</t>
  </si>
  <si>
    <t>QT1-RFQ-I-011</t>
  </si>
  <si>
    <t>MOTORIZED OPERATING VALVE (BUTTERFLY TYPE)</t>
  </si>
  <si>
    <t>QT1-RFQ-I-015</t>
  </si>
  <si>
    <t>INSTRUMENT INSTALLATION MATERIALS</t>
  </si>
  <si>
    <t>QT1-RFQ-I-016</t>
  </si>
  <si>
    <t>I&amp;C CABLE</t>
  </si>
  <si>
    <t>QT1-RFQ-I-017</t>
  </si>
  <si>
    <t>I&amp;C CABLE CONDUIT AND ACCESSORIES</t>
  </si>
  <si>
    <t>QT1-RFQ-I-018</t>
  </si>
  <si>
    <t>I&amp;C CABLE ACCESSORIES</t>
  </si>
  <si>
    <t>QT1-RFQ-I-012</t>
  </si>
  <si>
    <t xml:space="preserve">STEAM BYPASS SYSTEM </t>
  </si>
  <si>
    <t>QT1-RFQ-I-013</t>
  </si>
  <si>
    <t>SAFETY VALVE</t>
  </si>
  <si>
    <t>QT1-RFQ-I-019</t>
  </si>
  <si>
    <t>COMBINED NON RETURN CHECK VALVE (COMBINED NRV)</t>
  </si>
  <si>
    <t>QT1-RFQ-E-001</t>
  </si>
  <si>
    <t>500KV EHV OVERHEAD LINE</t>
  </si>
  <si>
    <t>QT1-RFQ-E-002</t>
  </si>
  <si>
    <t>GENERATOR STEP-UP TRANSFORMER</t>
  </si>
  <si>
    <t>2 units</t>
    <phoneticPr fontId="17" type="noConversion"/>
  </si>
  <si>
    <t>QT1-RFQ-E-003</t>
  </si>
  <si>
    <t>UNIT AUXILIARY TRANSFORMER</t>
  </si>
  <si>
    <t>QT1-RFQ-E-004</t>
  </si>
  <si>
    <t>GENERATOR CIRCUIT BREAKER</t>
  </si>
  <si>
    <t>QT1-RFQ-E-005</t>
  </si>
  <si>
    <t>ISOLATED PHASE BUSDUCT</t>
  </si>
  <si>
    <t>1,261m</t>
    <phoneticPr fontId="17" type="noConversion"/>
  </si>
  <si>
    <t>QT1-RFQ-E-006</t>
  </si>
  <si>
    <t>QT1-RFQ-E-007</t>
  </si>
  <si>
    <t>PROTECTION AND METERING SYSTEM</t>
  </si>
  <si>
    <t>QT1-RFQ-E-008</t>
  </si>
  <si>
    <t>MV SWITCHGEAR</t>
  </si>
  <si>
    <t>136 ea</t>
    <phoneticPr fontId="17" type="noConversion"/>
  </si>
  <si>
    <t>QT1-RFQ-E-009</t>
  </si>
  <si>
    <t>LV SWITCHGEAR AND MCC</t>
  </si>
  <si>
    <t>429 ea</t>
    <phoneticPr fontId="17" type="noConversion"/>
  </si>
  <si>
    <t>QT1-RFQ-E-010</t>
  </si>
  <si>
    <t>DC AND UPS SYTEM</t>
  </si>
  <si>
    <t>QT1-RFQ-E-011</t>
  </si>
  <si>
    <t>QT1-RFQ-E-013</t>
  </si>
  <si>
    <t>COMMUNICATION SYSTEM
 1 TELEPHONE &amp; LAN SYSTEM
 2 PUBLIC ADDRESS SYSTEM
 3 RADIO SYSTEM
 4 CCTV SYSTEM
 5 SLAVE CLOCK SYSTEM
 6 INSTRUSION ALARM SYSTEM
 7 UNINTERRUPTED POWER SUPPLY SYSTEM</t>
  </si>
  <si>
    <t>7 sets</t>
    <phoneticPr fontId="17" type="noConversion"/>
  </si>
  <si>
    <t>FIDB 불 필요</t>
    <phoneticPr fontId="17" type="noConversion"/>
  </si>
  <si>
    <t>QT1-RFQ-E-014</t>
  </si>
  <si>
    <t>CABLE</t>
  </si>
  <si>
    <t>1,705,719 m</t>
    <phoneticPr fontId="17" type="noConversion"/>
  </si>
  <si>
    <t>QT1-RFQ-E-015</t>
  </si>
  <si>
    <t>47648 m</t>
    <phoneticPr fontId="17" type="noConversion"/>
  </si>
  <si>
    <t>QT1-RFQ-E-016</t>
  </si>
  <si>
    <t>CONDUIT AND CABLE ACCESSORIES</t>
  </si>
  <si>
    <t>60,674 m</t>
    <phoneticPr fontId="17" type="noConversion"/>
  </si>
  <si>
    <t>QT1-RFQ-E-017</t>
  </si>
  <si>
    <t>GROUNDING AND LIGHTNING PROTECTION</t>
  </si>
  <si>
    <t>84,496 m/ea</t>
    <phoneticPr fontId="17" type="noConversion"/>
  </si>
  <si>
    <t>QT1-RFQ-E-018</t>
  </si>
  <si>
    <t>LIGHTING FIXTURE AND SAMLL POWER</t>
  </si>
  <si>
    <t>11,413 EA</t>
    <phoneticPr fontId="17" type="noConversion"/>
  </si>
  <si>
    <t>QT1-RFQ-E-019</t>
  </si>
  <si>
    <t>CABLE ACCESSORIES</t>
  </si>
  <si>
    <t>2,592,892 ea</t>
    <phoneticPr fontId="17" type="noConversion"/>
  </si>
  <si>
    <t>QT1-RFQ-E-020</t>
  </si>
  <si>
    <t>GROUNDING CABLE</t>
  </si>
  <si>
    <t>IBRU</t>
    <phoneticPr fontId="17" type="noConversion"/>
  </si>
  <si>
    <t>철골</t>
    <phoneticPr fontId="11" type="noConversion"/>
  </si>
  <si>
    <t>RN2120-001</t>
    <phoneticPr fontId="11" type="noConversion"/>
  </si>
  <si>
    <t>ANCHOR BOLT</t>
  </si>
  <si>
    <t>RN2130-001</t>
    <phoneticPr fontId="11" type="noConversion"/>
  </si>
  <si>
    <t xml:space="preserve">SHOP FABRICATED STRUCTURAL STEEL </t>
  </si>
  <si>
    <t>공조</t>
    <phoneticPr fontId="28"/>
  </si>
  <si>
    <t>RN2140-001</t>
    <phoneticPr fontId="28"/>
  </si>
  <si>
    <t>RN2140-002</t>
    <phoneticPr fontId="28"/>
  </si>
  <si>
    <t>HVAC CONTROL</t>
  </si>
  <si>
    <t>RN2151-304</t>
    <phoneticPr fontId="11" type="noConversion"/>
  </si>
  <si>
    <t>DRUMS (CS &amp; SS LESS THAN 30TON)</t>
  </si>
  <si>
    <t>정진우 책임</t>
    <phoneticPr fontId="11" type="noConversion"/>
  </si>
  <si>
    <t>RN2151-501</t>
    <phoneticPr fontId="11" type="noConversion"/>
  </si>
  <si>
    <t>FILTER &amp; COALESCER</t>
  </si>
  <si>
    <t>RN2151-701</t>
    <phoneticPr fontId="11" type="noConversion"/>
  </si>
  <si>
    <t>SULPHUR LOCKS</t>
  </si>
  <si>
    <t>RN2153-101</t>
    <phoneticPr fontId="11" type="noConversion"/>
  </si>
  <si>
    <t>AIR COOLED HEAT EXCHANGER (MODULE)</t>
  </si>
  <si>
    <t>RN2153-201</t>
    <phoneticPr fontId="11" type="noConversion"/>
  </si>
  <si>
    <t xml:space="preserve">SULPHUR CONDENSERS </t>
  </si>
  <si>
    <t>RN2153-202</t>
    <phoneticPr fontId="11" type="noConversion"/>
  </si>
  <si>
    <t>SHELL AND TUBE HEAT EXCHANGERS (D-TYPE)</t>
  </si>
  <si>
    <t>RN2153-206</t>
    <phoneticPr fontId="11" type="noConversion"/>
  </si>
  <si>
    <t>SHELL AND TUBE HEAT EXCHANGERS (CS, SS) (MODULE+SITE)</t>
  </si>
  <si>
    <t>RN216G-202</t>
    <phoneticPr fontId="11" type="noConversion"/>
  </si>
  <si>
    <t>RN216G-203</t>
    <phoneticPr fontId="11" type="noConversion"/>
  </si>
  <si>
    <t>DESUPERHEATER</t>
  </si>
  <si>
    <t>RN216G-205</t>
    <phoneticPr fontId="11" type="noConversion"/>
  </si>
  <si>
    <t>EJECTOR</t>
  </si>
  <si>
    <t>RN2151-306</t>
    <phoneticPr fontId="11" type="noConversion"/>
  </si>
  <si>
    <t>BULLET TANK</t>
  </si>
  <si>
    <t>RN2153-204</t>
    <phoneticPr fontId="11" type="noConversion"/>
  </si>
  <si>
    <t>SHELL AND TUBE HEAT EXCHANGERS (ALLOY, CLAD, DUPLEX)</t>
  </si>
  <si>
    <t>RN2153-205</t>
    <phoneticPr fontId="11" type="noConversion"/>
  </si>
  <si>
    <t>SHELL AND TUBE HEAT EXCHANGERS (HIC CS)</t>
  </si>
  <si>
    <t>RN2153-207</t>
    <phoneticPr fontId="11" type="noConversion"/>
  </si>
  <si>
    <t>SHELL AND TUBE HEAT EXCHANGERS (CS, SS)</t>
  </si>
  <si>
    <t>RN2152-501</t>
    <phoneticPr fontId="11" type="noConversion"/>
  </si>
  <si>
    <t>PLATFORM AND LADDER</t>
  </si>
  <si>
    <t>RN2154-101</t>
    <phoneticPr fontId="11" type="noConversion"/>
  </si>
  <si>
    <t>ATMOSPHERIC STORAGE TANKS-I (HDEC AREA)</t>
  </si>
  <si>
    <t>RN2154-102</t>
    <phoneticPr fontId="11" type="noConversion"/>
  </si>
  <si>
    <t>ATMOSPHERIC STORAGE TANKS-II (JGC AREA)</t>
  </si>
  <si>
    <t>RN2158-500</t>
    <phoneticPr fontId="11" type="noConversion"/>
  </si>
  <si>
    <t>MIXER</t>
  </si>
  <si>
    <t>RN2155-222</t>
    <phoneticPr fontId="11" type="noConversion"/>
  </si>
  <si>
    <t>CAUSTIC SODA DISSOLUTION PACKAGE</t>
  </si>
  <si>
    <t>RN2155-321</t>
    <phoneticPr fontId="11" type="noConversion"/>
  </si>
  <si>
    <t>SULPHUR SOLIDIFICATION PACKAGE</t>
  </si>
  <si>
    <t>RN2155-521</t>
    <phoneticPr fontId="28"/>
  </si>
  <si>
    <t>SOLID SULPHUR HANDLING AND LOADING FACILITY</t>
  </si>
  <si>
    <t>RN2155-621</t>
    <phoneticPr fontId="11" type="noConversion"/>
  </si>
  <si>
    <t>WEIGHING BRIDGE</t>
  </si>
  <si>
    <t>RN2155-622</t>
    <phoneticPr fontId="11" type="noConversion"/>
  </si>
  <si>
    <t>SOLID SULPHUR BAGGING AND PALLETIZING PACKAGE</t>
  </si>
  <si>
    <t>RN2155-721</t>
    <phoneticPr fontId="11" type="noConversion"/>
  </si>
  <si>
    <t>RN2156-101</t>
    <phoneticPr fontId="11" type="noConversion"/>
  </si>
  <si>
    <t>FIRED HEATER</t>
  </si>
  <si>
    <t>RN2157-301</t>
    <phoneticPr fontId="11" type="noConversion"/>
  </si>
  <si>
    <t>SRU BURNER, CHAMBER &amp; WHB &amp; INCINERATOR PKG</t>
  </si>
  <si>
    <t>RN2158-203</t>
    <phoneticPr fontId="11" type="noConversion"/>
  </si>
  <si>
    <t>API 672 AIR COMPRESSOR PACKAGE (STEAM TURBINE 2, MOTOR 1)</t>
  </si>
  <si>
    <t>RN2158-101</t>
    <phoneticPr fontId="11" type="noConversion"/>
  </si>
  <si>
    <t>API 610 HEAVY DUTY CENTRIFUGAL PUMPS (BB5)</t>
  </si>
  <si>
    <t>RN2158-102</t>
    <phoneticPr fontId="11" type="noConversion"/>
  </si>
  <si>
    <t>API 610 CENTRIFUGAL PUMPS (HORIZONTAL TYPE)</t>
  </si>
  <si>
    <t>RN2158-103</t>
    <phoneticPr fontId="11" type="noConversion"/>
  </si>
  <si>
    <t>API 610 CENTRIFUGAL PUMPS (VERTICAL TYPE)</t>
  </si>
  <si>
    <t>RN2158-104</t>
    <phoneticPr fontId="11" type="noConversion"/>
  </si>
  <si>
    <t>NON-API CENTRIFUGAL PUMPS</t>
  </si>
  <si>
    <t>RN2158-108</t>
    <phoneticPr fontId="11" type="noConversion"/>
  </si>
  <si>
    <t>SULPHUR PUMPS</t>
  </si>
  <si>
    <t>RN2158-109</t>
    <phoneticPr fontId="11" type="noConversion"/>
  </si>
  <si>
    <t>NFPA 20 FIRE WATER PUMPS</t>
  </si>
  <si>
    <t>RN2158-111</t>
    <phoneticPr fontId="11" type="noConversion"/>
  </si>
  <si>
    <t>API 674 RECIPROCATING PUMP</t>
  </si>
  <si>
    <t>RN215A-221</t>
    <phoneticPr fontId="11" type="noConversion"/>
  </si>
  <si>
    <t>COOLING TOWER SAND FILTER PKG</t>
  </si>
  <si>
    <t>나광조 책임</t>
    <phoneticPr fontId="11" type="noConversion"/>
  </si>
  <si>
    <t>RN215A-301</t>
    <phoneticPr fontId="11" type="noConversion"/>
  </si>
  <si>
    <t>RN215A-401</t>
    <phoneticPr fontId="11" type="noConversion"/>
  </si>
  <si>
    <t>RN215A-501</t>
    <phoneticPr fontId="11" type="noConversion"/>
  </si>
  <si>
    <t>AIR DRYERS PACKAGE</t>
  </si>
  <si>
    <t>RN215A-601</t>
    <phoneticPr fontId="11" type="noConversion"/>
  </si>
  <si>
    <t>N2 GENERATION, LIN STORAGE AND VAPORIZATION PKG</t>
  </si>
  <si>
    <t>Distillation column 재 제작 (4/20 Pneumatic Test 및 Final Inspection 예정)</t>
    <phoneticPr fontId="17" type="noConversion"/>
  </si>
  <si>
    <t>장동철 책임</t>
    <phoneticPr fontId="11" type="noConversion"/>
  </si>
  <si>
    <t>RN215A-801</t>
    <phoneticPr fontId="11" type="noConversion"/>
  </si>
  <si>
    <t>WASTE WATER TREATMENT PACKAGE</t>
  </si>
  <si>
    <t>RN215A-Z01</t>
    <phoneticPr fontId="11" type="noConversion"/>
  </si>
  <si>
    <t>SPENT CAUSTIC TREATMENT PACKAGE</t>
  </si>
  <si>
    <t>RN215A-901</t>
    <phoneticPr fontId="11" type="noConversion"/>
  </si>
  <si>
    <t>RN215B-401</t>
    <phoneticPr fontId="11" type="noConversion"/>
  </si>
  <si>
    <t>RN215Z-002</t>
  </si>
  <si>
    <t>SAFETY EQUIPMENT &amp; MOBILE EQUIPMENT</t>
  </si>
  <si>
    <t>RN215Z-003</t>
  </si>
  <si>
    <t>BUILDING FIREFIGHTING EQUIPMENT</t>
  </si>
  <si>
    <t>RN216A-101</t>
    <phoneticPr fontId="11" type="noConversion"/>
  </si>
  <si>
    <t>CARBON STEEL AND LTCS SEAMLESS PIPES</t>
  </si>
  <si>
    <t>석우경 매니저</t>
    <phoneticPr fontId="11" type="noConversion"/>
  </si>
  <si>
    <t>RN216A-102</t>
    <phoneticPr fontId="11" type="noConversion"/>
  </si>
  <si>
    <t>CARBON STEEL AND LTCS WELDED PIPES</t>
  </si>
  <si>
    <t>RN216A-103</t>
    <phoneticPr fontId="11" type="noConversion"/>
  </si>
  <si>
    <t>LOW ALLOY STEEL SEAMLESS PIPES</t>
  </si>
  <si>
    <t>RN216A-105</t>
    <phoneticPr fontId="11" type="noConversion"/>
  </si>
  <si>
    <t>STAINLESS STEEL SEAMLESS PIPES</t>
  </si>
  <si>
    <t>강태준 책임</t>
    <phoneticPr fontId="11" type="noConversion"/>
  </si>
  <si>
    <t>RN216A-106</t>
    <phoneticPr fontId="11" type="noConversion"/>
  </si>
  <si>
    <t>STAINLESS STEEL WELDED PIPES</t>
  </si>
  <si>
    <t>RN216A-109</t>
    <phoneticPr fontId="11" type="noConversion"/>
  </si>
  <si>
    <t>GRP PIPES AND PIPING COMPONENTS</t>
  </si>
  <si>
    <t>RN216A-110</t>
    <phoneticPr fontId="11" type="noConversion"/>
  </si>
  <si>
    <t>PVC PIPES AND PIPING COMPONENTS</t>
  </si>
  <si>
    <t>RN216A-112</t>
    <phoneticPr fontId="11" type="noConversion"/>
  </si>
  <si>
    <t>HDPE PIPES AND PIPING COMPONENTS</t>
  </si>
  <si>
    <t>RN216B-131</t>
    <phoneticPr fontId="11" type="noConversion"/>
  </si>
  <si>
    <t>CAST STEEL VALVES</t>
  </si>
  <si>
    <t>RN216B-135</t>
    <phoneticPr fontId="11" type="noConversion"/>
  </si>
  <si>
    <t>FORGED STEEL VALVES</t>
  </si>
  <si>
    <t>RN216B-137</t>
    <phoneticPr fontId="11" type="noConversion"/>
  </si>
  <si>
    <t>BALL VALVES</t>
  </si>
  <si>
    <t>RN216B-139</t>
    <phoneticPr fontId="11" type="noConversion"/>
  </si>
  <si>
    <t>BUTTERFLY VALVES</t>
  </si>
  <si>
    <t>RN216B-142</t>
    <phoneticPr fontId="11" type="noConversion"/>
  </si>
  <si>
    <t>DUAL PLATE CHECK VALVES</t>
  </si>
  <si>
    <t>RN216B-143</t>
    <phoneticPr fontId="11" type="noConversion"/>
  </si>
  <si>
    <t>PLUG VALVES</t>
  </si>
  <si>
    <t>RN216B-144</t>
    <phoneticPr fontId="11" type="noConversion"/>
  </si>
  <si>
    <t>BRONZE VALVES</t>
  </si>
  <si>
    <t>RN216B-145</t>
    <phoneticPr fontId="11" type="noConversion"/>
  </si>
  <si>
    <t>DIAPHRAGM VALVES</t>
  </si>
  <si>
    <t>RN216B-149</t>
    <phoneticPr fontId="11" type="noConversion"/>
  </si>
  <si>
    <t>UNLISTED VALVES</t>
  </si>
  <si>
    <t>RN216C-161</t>
    <phoneticPr fontId="11" type="noConversion"/>
  </si>
  <si>
    <t>WROUGHT FITTING (BUTT WELDING FITTING)</t>
  </si>
  <si>
    <t>RN216C-164</t>
    <phoneticPr fontId="11" type="noConversion"/>
  </si>
  <si>
    <t>FORGED STEEL FITTINGS</t>
  </si>
  <si>
    <t>RN216D-171</t>
    <phoneticPr fontId="11" type="noConversion"/>
  </si>
  <si>
    <t>FLANGES</t>
  </si>
  <si>
    <t>RN216D-171-B</t>
    <phoneticPr fontId="11" type="noConversion"/>
  </si>
  <si>
    <t>RN216E-181</t>
    <phoneticPr fontId="11" type="noConversion"/>
  </si>
  <si>
    <t>BOLTS AND NUTS</t>
  </si>
  <si>
    <t>VO 진행 중</t>
    <phoneticPr fontId="17" type="noConversion"/>
  </si>
  <si>
    <t>RN216F-191</t>
    <phoneticPr fontId="11" type="noConversion"/>
  </si>
  <si>
    <t>GASKETS</t>
  </si>
  <si>
    <t>RN216G-201</t>
    <phoneticPr fontId="11" type="noConversion"/>
  </si>
  <si>
    <t>STRAINERS</t>
  </si>
  <si>
    <t>RN216G-204</t>
    <phoneticPr fontId="11" type="noConversion"/>
  </si>
  <si>
    <t>SILENCERS</t>
  </si>
  <si>
    <t>RN216G-206</t>
    <phoneticPr fontId="11" type="noConversion"/>
  </si>
  <si>
    <t>STEAM TRAPS</t>
  </si>
  <si>
    <t>RN216G-211</t>
    <phoneticPr fontId="11" type="noConversion"/>
  </si>
  <si>
    <t>FLAME ARRESTORS</t>
  </si>
  <si>
    <t>RN216G-215</t>
    <phoneticPr fontId="11" type="noConversion"/>
  </si>
  <si>
    <t>RUBBER EXPANSION JOINTS</t>
  </si>
  <si>
    <t>RN216G-315</t>
    <phoneticPr fontId="11" type="noConversion"/>
  </si>
  <si>
    <t>BLOWDOWN VALVES</t>
  </si>
  <si>
    <t>RN216G-316</t>
    <phoneticPr fontId="11" type="noConversion"/>
  </si>
  <si>
    <t>RAM VALVES</t>
  </si>
  <si>
    <t>RN216G-604</t>
    <phoneticPr fontId="11" type="noConversion"/>
  </si>
  <si>
    <t>SAMPLE PROBES AND INJECTION NOZZLES</t>
  </si>
  <si>
    <t>RN216G-608</t>
    <phoneticPr fontId="11" type="noConversion"/>
  </si>
  <si>
    <t>VALVE INTERLOCKING DEVICES</t>
  </si>
  <si>
    <t>RN216G-611</t>
    <phoneticPr fontId="11" type="noConversion"/>
  </si>
  <si>
    <t>FLEXIBLE METAL TUBES AND HOSE CONNECTOR</t>
  </si>
  <si>
    <t>RN216G-612</t>
    <phoneticPr fontId="11" type="noConversion"/>
  </si>
  <si>
    <t>HOSE &amp; HOSE COUPLING</t>
  </si>
  <si>
    <t>RN216G-616</t>
    <phoneticPr fontId="11" type="noConversion"/>
  </si>
  <si>
    <t>TUBES AND TUBE FITTINGS</t>
  </si>
  <si>
    <t>RN216G-620</t>
    <phoneticPr fontId="11" type="noConversion"/>
  </si>
  <si>
    <t>PRE-INSULATED TUBE</t>
  </si>
  <si>
    <t>RN216G-621</t>
    <phoneticPr fontId="11" type="noConversion"/>
  </si>
  <si>
    <t>STEAM AND CONDENSATE MANIFOLD</t>
  </si>
  <si>
    <t>RN216G-622</t>
    <phoneticPr fontId="11" type="noConversion"/>
  </si>
  <si>
    <t>VACUUM BREAKER</t>
  </si>
  <si>
    <t>RN216K-704</t>
    <phoneticPr fontId="11" type="noConversion"/>
  </si>
  <si>
    <t>SPRING SUPPORTS, STRUTS, AND SNUBBERS</t>
  </si>
  <si>
    <t>RN2173-101</t>
    <phoneticPr fontId="11" type="noConversion"/>
  </si>
  <si>
    <t>ELECTRONIC FIELD TRANSMITTERS</t>
  </si>
  <si>
    <t>이해석 책임</t>
    <phoneticPr fontId="11" type="noConversion"/>
  </si>
  <si>
    <t>RN2173-202</t>
    <phoneticPr fontId="11" type="noConversion"/>
  </si>
  <si>
    <t>VARIABLE AREA TYPE FLOW INSTRUMENTS</t>
  </si>
  <si>
    <t>RN2173-203</t>
    <phoneticPr fontId="11" type="noConversion"/>
  </si>
  <si>
    <t>VORTEX TYPE FLOW INSTRUMENTS</t>
  </si>
  <si>
    <t>RN2173-204</t>
    <phoneticPr fontId="11" type="noConversion"/>
  </si>
  <si>
    <t>ULTRASONIC FLOW INSTRUMENTS</t>
  </si>
  <si>
    <t>RN2173-208</t>
    <phoneticPr fontId="11" type="noConversion"/>
  </si>
  <si>
    <t>CORIOLIS &amp; ELECTRO MAGNETIC FLOW INSTRUMENTS</t>
  </si>
  <si>
    <t>RN2173-303</t>
    <phoneticPr fontId="11" type="noConversion"/>
  </si>
  <si>
    <t>RADAR  LEVEL TRANSMITTERS</t>
  </si>
  <si>
    <t>RN2173-402</t>
    <phoneticPr fontId="11" type="noConversion"/>
  </si>
  <si>
    <t>THERMOCOUPLES AND RTDS &amp; WELLS</t>
  </si>
  <si>
    <t>RN2173-403</t>
    <phoneticPr fontId="11" type="noConversion"/>
  </si>
  <si>
    <t>MULTIPOINT TEMPERATURE ELEMENT</t>
  </si>
  <si>
    <t>RN2173-501</t>
    <phoneticPr fontId="11" type="noConversion"/>
  </si>
  <si>
    <t>PRESSURE &amp; TEMPERATURE GAUGES</t>
  </si>
  <si>
    <t>RN2173-601</t>
    <phoneticPr fontId="11" type="noConversion"/>
  </si>
  <si>
    <t>FLOW ELEMENTS</t>
  </si>
  <si>
    <t>RN2174-101</t>
    <phoneticPr fontId="11" type="noConversion"/>
  </si>
  <si>
    <t>CONTROL VALVES</t>
  </si>
  <si>
    <t>RN2174-201</t>
    <phoneticPr fontId="11" type="noConversion"/>
  </si>
  <si>
    <t>ON-OFF &amp; MOTOR OPERATED VALVES - BALL TYPE</t>
  </si>
  <si>
    <t>RN2174-202</t>
    <phoneticPr fontId="11" type="noConversion"/>
  </si>
  <si>
    <t>ON-OFF &amp; MOTOR OPERATED VALVES - BUTTERFLY TYPE</t>
  </si>
  <si>
    <t>RN2174-204</t>
    <phoneticPr fontId="11" type="noConversion"/>
  </si>
  <si>
    <t>ON-OFF &amp; MOTOR OPERATED VALVES - GATE</t>
  </si>
  <si>
    <t>RN2174-401</t>
    <phoneticPr fontId="11" type="noConversion"/>
  </si>
  <si>
    <t>RN216G-602</t>
    <phoneticPr fontId="11" type="noConversion"/>
  </si>
  <si>
    <t>SAMPLING SYSTEMS</t>
  </si>
  <si>
    <t>RN2176-001</t>
    <phoneticPr fontId="11" type="noConversion"/>
  </si>
  <si>
    <t>FIRE AND GAS DEVICES</t>
  </si>
  <si>
    <t>RN2178-101</t>
    <phoneticPr fontId="11" type="noConversion"/>
  </si>
  <si>
    <t>INSTRUMENT CABLE TRAYS</t>
  </si>
  <si>
    <t>RN2175-101</t>
    <phoneticPr fontId="11" type="noConversion"/>
  </si>
  <si>
    <t>RN2178-201</t>
    <phoneticPr fontId="11" type="noConversion"/>
  </si>
  <si>
    <t>INSTRUMENT CABLES</t>
  </si>
  <si>
    <t>RN2178-203</t>
    <phoneticPr fontId="11" type="noConversion"/>
  </si>
  <si>
    <t>INSTRUMENT JUNCTION BOXES</t>
  </si>
  <si>
    <t>RN2178-204</t>
    <phoneticPr fontId="11" type="noConversion"/>
  </si>
  <si>
    <t>INSTRUMENT CABLE GLANDS</t>
  </si>
  <si>
    <t>RN2178-306</t>
    <phoneticPr fontId="11" type="noConversion"/>
  </si>
  <si>
    <t>TUBES &amp; TUBE FITTINGS</t>
  </si>
  <si>
    <t>RN2178-601</t>
    <phoneticPr fontId="11" type="noConversion"/>
  </si>
  <si>
    <t>INSTRUMENT BULK MATERIALS</t>
  </si>
  <si>
    <t>RN2178-103</t>
    <phoneticPr fontId="11" type="noConversion"/>
  </si>
  <si>
    <t>INSTRUMENT CABLE TRANSITS</t>
  </si>
  <si>
    <t>RN216G-505</t>
    <phoneticPr fontId="11" type="noConversion"/>
  </si>
  <si>
    <t>LEVEL GAUGES &amp; SIGHT GLASSES</t>
  </si>
  <si>
    <t>RN2180-101</t>
    <phoneticPr fontId="11" type="noConversion"/>
  </si>
  <si>
    <t>ELECTRICAL BULK MATERIALS</t>
  </si>
  <si>
    <t>RN2180-102</t>
    <phoneticPr fontId="11" type="noConversion"/>
  </si>
  <si>
    <t>CABLE TERMINATION &amp; SPLICING KITS</t>
  </si>
  <si>
    <t>RN2180-111</t>
    <phoneticPr fontId="11" type="noConversion"/>
  </si>
  <si>
    <t>RN2180-121</t>
    <phoneticPr fontId="11" type="noConversion"/>
  </si>
  <si>
    <t>RN2181-701</t>
    <phoneticPr fontId="11" type="noConversion"/>
  </si>
  <si>
    <t>ELECTRICAL MISCELLANEOUS PANEL</t>
  </si>
  <si>
    <t>RN2182-211</t>
    <phoneticPr fontId="11" type="noConversion"/>
  </si>
  <si>
    <t xml:space="preserve">LOCAL CONTROL STATION AND ISOLATION SWITCH </t>
  </si>
  <si>
    <t>RN2182-601</t>
    <phoneticPr fontId="11" type="noConversion"/>
  </si>
  <si>
    <t>POWER &amp; CONTROL CABLES</t>
  </si>
  <si>
    <t>RN2183-101</t>
    <phoneticPr fontId="11" type="noConversion"/>
  </si>
  <si>
    <t>OUTDOOR DISTRIBUTION PANEL</t>
  </si>
  <si>
    <t>RN2183-231</t>
    <phoneticPr fontId="11" type="noConversion"/>
  </si>
  <si>
    <t>OUTDOOR LIGHTING FIXTURE, JB &amp; SOCKET OULET</t>
  </si>
  <si>
    <t>RN2183-102</t>
    <phoneticPr fontId="11" type="noConversion"/>
  </si>
  <si>
    <t>INDOOR DISTRIBUTION PANEL</t>
  </si>
  <si>
    <t>RN2183-232</t>
    <phoneticPr fontId="11" type="noConversion"/>
  </si>
  <si>
    <t>INDOOR LIGHTING FIXTURE, JB &amp; SOCKET OULET</t>
  </si>
  <si>
    <t>RN2185-001</t>
    <phoneticPr fontId="11" type="noConversion"/>
  </si>
  <si>
    <t>RN2188-001</t>
    <phoneticPr fontId="11" type="noConversion"/>
  </si>
  <si>
    <t>기타</t>
    <phoneticPr fontId="11" type="noConversion"/>
  </si>
  <si>
    <t>RN21C1-001/002</t>
    <phoneticPr fontId="11" type="noConversion"/>
  </si>
  <si>
    <t>CATALYST</t>
  </si>
  <si>
    <t>RN21C2-002</t>
    <phoneticPr fontId="11" type="noConversion"/>
  </si>
  <si>
    <t>CHEMICAL AND LUBE OILS</t>
  </si>
  <si>
    <t>CSSP</t>
    <phoneticPr fontId="17" type="noConversion"/>
  </si>
  <si>
    <t>MR-MR-001</t>
    <phoneticPr fontId="11" type="noConversion"/>
  </si>
  <si>
    <t>GTG PACKAGE</t>
  </si>
  <si>
    <t>1 item / 5 sets</t>
    <phoneticPr fontId="17" type="noConversion"/>
  </si>
  <si>
    <t>서민 책임</t>
  </si>
  <si>
    <t>MR-MR-002</t>
    <phoneticPr fontId="11" type="noConversion"/>
  </si>
  <si>
    <t>FUEL GAS COMPRESSOR PACKAGE</t>
  </si>
  <si>
    <t>1 item / 3 sets</t>
    <phoneticPr fontId="17" type="noConversion"/>
  </si>
  <si>
    <t>MR-MR-003</t>
    <phoneticPr fontId="11" type="noConversion"/>
  </si>
  <si>
    <t>3 items / 6 sets</t>
    <phoneticPr fontId="17" type="noConversion"/>
  </si>
  <si>
    <t>MR-MR-004</t>
  </si>
  <si>
    <t>SHIPPING PUMP</t>
  </si>
  <si>
    <t>MR-MR-005</t>
  </si>
  <si>
    <t>CENTRIFUGAL PUMP (BB)</t>
  </si>
  <si>
    <t>2 items / 23 sets</t>
    <phoneticPr fontId="17" type="noConversion"/>
  </si>
  <si>
    <t>MR-MR-006</t>
  </si>
  <si>
    <t>CENTRIFUGAL PUMP (VS)</t>
  </si>
  <si>
    <t>2 items / 18 sets</t>
    <phoneticPr fontId="17" type="noConversion"/>
  </si>
  <si>
    <t>MR-MR-007</t>
  </si>
  <si>
    <t>CENTRIFUGAL HORIZONTAL PUMP</t>
  </si>
  <si>
    <t>15 items / 35 sets</t>
    <phoneticPr fontId="17" type="noConversion"/>
  </si>
  <si>
    <t>MR-MR-008</t>
  </si>
  <si>
    <t>15 items / 42 sets</t>
    <phoneticPr fontId="17" type="noConversion"/>
  </si>
  <si>
    <t>MR-MR-009</t>
  </si>
  <si>
    <t>8 items / 31 sets</t>
    <phoneticPr fontId="17" type="noConversion"/>
  </si>
  <si>
    <t>MR-MR-010</t>
  </si>
  <si>
    <t>ROTARY PUMP</t>
  </si>
  <si>
    <t>3 items / 9 sets</t>
    <phoneticPr fontId="17" type="noConversion"/>
  </si>
  <si>
    <t>MR-MR-011</t>
  </si>
  <si>
    <t>PROGRESSIVE CAVITY PUMP</t>
  </si>
  <si>
    <t>2 items / 20 sets</t>
    <phoneticPr fontId="17" type="noConversion"/>
  </si>
  <si>
    <t>MR-MR-012</t>
  </si>
  <si>
    <t>AIR OPERATED DIAPHRAGM PUMP</t>
  </si>
  <si>
    <t>9 items / 23 sets</t>
    <phoneticPr fontId="17" type="noConversion"/>
  </si>
  <si>
    <t>MR-MR-013</t>
  </si>
  <si>
    <t>FIRE WATER PUMP PACKAGE</t>
  </si>
  <si>
    <t>2 items / 3 sets</t>
    <phoneticPr fontId="17" type="noConversion"/>
  </si>
  <si>
    <t>MR-MR-014</t>
  </si>
  <si>
    <t>16 Set</t>
    <phoneticPr fontId="17" type="noConversion"/>
  </si>
  <si>
    <t>장동철 책임</t>
  </si>
  <si>
    <t>MR-MR-015</t>
  </si>
  <si>
    <t>SEAWATER INTAKE SYSTEM</t>
  </si>
  <si>
    <t>Drum Screen : 2 Set, Bar Screen : 4 Set</t>
    <phoneticPr fontId="17" type="noConversion"/>
  </si>
  <si>
    <t>MR-MR-016</t>
  </si>
  <si>
    <t>REACTOR CLARIFIER</t>
  </si>
  <si>
    <t>MR-MR-017</t>
  </si>
  <si>
    <t>ELECTROCHLORINATION SYSTEM</t>
  </si>
  <si>
    <t>Dosing Pump 4 ea
Centrifugal Pump : 2 ea
Storage Tank : 3 기 (Acid Cleaning, Hypochlorite)
Strainer 2 ea
Air Blower : 3 ea
Hypochlorite Generating Module : 3 Set
Ejector : 1 ea</t>
    <phoneticPr fontId="17" type="noConversion"/>
  </si>
  <si>
    <t>MR-MR-018</t>
  </si>
  <si>
    <t>POTABLE WATER GENERATION PACKAGE</t>
  </si>
  <si>
    <t>Metering Pump : 22 EA
Centr. Pump : 15 EA
Tank : 4 기
Filter : 17 EA
RO Module : 4 Set
Turbo Charger : 5 Set</t>
    <phoneticPr fontId="17" type="noConversion"/>
  </si>
  <si>
    <t>MR-MR-021</t>
  </si>
  <si>
    <t>POLYMER MAKEUP SYSTEM PACKAGE</t>
  </si>
  <si>
    <t>3 Set</t>
    <phoneticPr fontId="17" type="noConversion"/>
  </si>
  <si>
    <t>MR-MR-022</t>
  </si>
  <si>
    <t>SEWAGE TREATMENT PAKCAGE</t>
  </si>
  <si>
    <t>Metering Pump : 2 ea
Centri. Pump : 9 ea
Tank : 5기
Decanter : 2 ea
Distribution chamber : 1 ea
SBR : 2 ea
Bin : 2 ae
Aerator : 2 ea
Air Blower : 2 ea
Sludge drying bed : 6 ea</t>
    <phoneticPr fontId="17" type="noConversion"/>
  </si>
  <si>
    <t>MR-MR-023</t>
  </si>
  <si>
    <t>CPI &amp; OIL SKIMMER</t>
  </si>
  <si>
    <t>Oil Skimmer PKG : 2 Set
Separator : 1 ea</t>
    <phoneticPr fontId="17" type="noConversion"/>
  </si>
  <si>
    <t>MR-MR-024</t>
  </si>
  <si>
    <t>CENTRIFUGE SYSTEM</t>
  </si>
  <si>
    <t>Seawater Sludge Centrifuge : 14 ea
Diesel Centrifugal Pump : 3 ea
Diesel Centrifuge : 3 ea</t>
    <phoneticPr fontId="17" type="noConversion"/>
  </si>
  <si>
    <t>MR-MR-025</t>
  </si>
  <si>
    <t>CONVEYOR PACKAGE</t>
  </si>
  <si>
    <t>Sludge Conveyor : 14 Set
Bulk Sludge Conveyor : 3 Set</t>
    <phoneticPr fontId="17" type="noConversion"/>
  </si>
  <si>
    <t>MR-MR-026</t>
  </si>
  <si>
    <t>SUBMERSIBLE MIXER (SIDE ENTRY MIXER)</t>
  </si>
  <si>
    <t>2 items / 6 sets</t>
    <phoneticPr fontId="17" type="noConversion"/>
  </si>
  <si>
    <t>MR-MR-027</t>
  </si>
  <si>
    <t>GOLIATH GANTRY CRANE</t>
  </si>
  <si>
    <t>1 item / 1 set</t>
    <phoneticPr fontId="17" type="noConversion"/>
  </si>
  <si>
    <t>MR-MR-028</t>
  </si>
  <si>
    <t>CLAMSHELL BUCKET CRANE</t>
  </si>
  <si>
    <t>1 item / 4 sets</t>
    <phoneticPr fontId="17" type="noConversion"/>
  </si>
  <si>
    <t>MR-MR-029</t>
  </si>
  <si>
    <t>19 items / 30 sets</t>
    <phoneticPr fontId="17" type="noConversion"/>
  </si>
  <si>
    <t>MR-MR-030</t>
  </si>
  <si>
    <t>MOBILE CRANE &amp; FORKLIFT</t>
  </si>
  <si>
    <t>3 items / 3 sets</t>
    <phoneticPr fontId="17" type="noConversion"/>
  </si>
  <si>
    <t>MR-MR-031</t>
  </si>
  <si>
    <t>TRUCK SCALE</t>
  </si>
  <si>
    <t>5 Set</t>
    <phoneticPr fontId="17" type="noConversion"/>
  </si>
  <si>
    <t>MR-MR-032</t>
  </si>
  <si>
    <t>FUEL DISPENSER UNIT</t>
  </si>
  <si>
    <t>8 Set</t>
    <phoneticPr fontId="17" type="noConversion"/>
  </si>
  <si>
    <t>Inspection Level 4</t>
    <phoneticPr fontId="17" type="noConversion"/>
  </si>
  <si>
    <t>MR-MR-033</t>
  </si>
  <si>
    <t>MR-MR-034</t>
  </si>
  <si>
    <t>ELEVATOR</t>
  </si>
  <si>
    <t>소방/안전</t>
  </si>
  <si>
    <t>MR-EH-001</t>
    <phoneticPr fontId="17" type="noConversion"/>
  </si>
  <si>
    <t>FIRE FIGHTING EQUIPMENT</t>
  </si>
  <si>
    <t>MR-EH-002</t>
    <phoneticPr fontId="17" type="noConversion"/>
  </si>
  <si>
    <t>GAS EXTINGUISHING SYSTEM</t>
  </si>
  <si>
    <t>MR-MS-001</t>
  </si>
  <si>
    <t>VESSEL</t>
  </si>
  <si>
    <t>19 items / 53 sets</t>
  </si>
  <si>
    <t>정진우 책임</t>
  </si>
  <si>
    <t>MR-MS-002</t>
  </si>
  <si>
    <t>2 items / 5 sets</t>
  </si>
  <si>
    <t>MR-MS-003</t>
  </si>
  <si>
    <t>FILTER PACKAGE</t>
  </si>
  <si>
    <t>Vessel 80 sets / Blower 12 sets</t>
  </si>
  <si>
    <t>MR-MS-004</t>
  </si>
  <si>
    <t>VACUUM DEAERATION PACKAGE</t>
  </si>
  <si>
    <t>Vessel 12 sets / Vacuum Pump Skid 28set</t>
  </si>
  <si>
    <t>MR-MS-005</t>
  </si>
  <si>
    <t>NITROGEN PACKAGE</t>
  </si>
  <si>
    <t>10 sets</t>
  </si>
  <si>
    <t>MR-MS-006</t>
  </si>
  <si>
    <t>2 items / 4 sets</t>
  </si>
  <si>
    <t>MR-MS-007</t>
  </si>
  <si>
    <t>STORAGE TANK (AWWA D103)</t>
  </si>
  <si>
    <t>Tank 17 ea</t>
    <phoneticPr fontId="17" type="noConversion"/>
  </si>
  <si>
    <t>MR-MS-008</t>
  </si>
  <si>
    <t>STORAGE TANK (API 650)</t>
  </si>
  <si>
    <t>Tank 9 ea</t>
    <phoneticPr fontId="17" type="noConversion"/>
  </si>
  <si>
    <t>MR-MS-009</t>
  </si>
  <si>
    <t>GRP TANK</t>
  </si>
  <si>
    <t>Tank 28 ea</t>
    <phoneticPr fontId="17" type="noConversion"/>
  </si>
  <si>
    <t>MR-MS-010</t>
    <phoneticPr fontId="17" type="noConversion"/>
  </si>
  <si>
    <t>7 items / 56 sets</t>
  </si>
  <si>
    <t>MR-MS-012</t>
  </si>
  <si>
    <t>2 items / 16 sets</t>
  </si>
  <si>
    <t>MR-MS-013</t>
  </si>
  <si>
    <t>VENT STACK</t>
  </si>
  <si>
    <t>2 items / 2 sets</t>
  </si>
  <si>
    <t>MR-MS-014</t>
  </si>
  <si>
    <t>PIG LAUNCHER</t>
  </si>
  <si>
    <t>MR-MS-015</t>
  </si>
  <si>
    <t>AIR ELIMINATOR</t>
  </si>
  <si>
    <t>1 items / 3 sets</t>
  </si>
  <si>
    <t>MR-MS-016</t>
  </si>
  <si>
    <t>GEODESIK COVER</t>
  </si>
  <si>
    <t>5 items / 24 sets</t>
  </si>
  <si>
    <t>MR-MS-017</t>
  </si>
  <si>
    <t>CARBON DEODORIZER</t>
  </si>
  <si>
    <t>2 items / 7 sets</t>
  </si>
  <si>
    <t>MR-MS-018</t>
  </si>
  <si>
    <t>MR-MS-019</t>
  </si>
  <si>
    <t>CALCITE FILTER</t>
  </si>
  <si>
    <t>1 items / 2 sets</t>
  </si>
  <si>
    <t>MR-MS-020</t>
  </si>
  <si>
    <t>HYDROPNEUMATIC TANK</t>
  </si>
  <si>
    <t>3 items / 3 sets</t>
  </si>
  <si>
    <t>Internal Type (Bladder Internal) 적용으로 MS001 Vessel PO에서 분리 발주</t>
    <phoneticPr fontId="17" type="noConversion"/>
  </si>
  <si>
    <t>MR-MS-021</t>
  </si>
  <si>
    <t>PENSTOCK &amp; STOPGATE</t>
  </si>
  <si>
    <t>3 items / 5 sets</t>
  </si>
  <si>
    <t>PI-0001</t>
    <phoneticPr fontId="17" type="noConversion"/>
  </si>
  <si>
    <t>873.43 ton</t>
  </si>
  <si>
    <t>PI-0002</t>
  </si>
  <si>
    <t>2644.81 ton</t>
  </si>
  <si>
    <t>강태준 책임</t>
  </si>
  <si>
    <t>PI-0003</t>
  </si>
  <si>
    <t>SS SMLS PIPE</t>
  </si>
  <si>
    <t>164.9 ton</t>
  </si>
  <si>
    <t>PI-0004</t>
  </si>
  <si>
    <t>SS WELDED PIPE</t>
  </si>
  <si>
    <t>25.69 ton</t>
  </si>
  <si>
    <t>PI-0005</t>
  </si>
  <si>
    <t>13.71 ton</t>
  </si>
  <si>
    <t>PI-0006</t>
  </si>
  <si>
    <t>344.12  ton</t>
  </si>
  <si>
    <t>PI-0007</t>
  </si>
  <si>
    <t>2182.92 ton</t>
  </si>
  <si>
    <t>PI-0008</t>
  </si>
  <si>
    <t>46.38 ton</t>
  </si>
  <si>
    <t>PI-0009</t>
  </si>
  <si>
    <t>BOLT&amp;NUTS</t>
  </si>
  <si>
    <t>889.47 ton</t>
  </si>
  <si>
    <t>PI-0010</t>
  </si>
  <si>
    <t>1156 EA</t>
    <phoneticPr fontId="17" type="noConversion"/>
  </si>
  <si>
    <t>PI-0011</t>
  </si>
  <si>
    <t>61 EA</t>
    <phoneticPr fontId="17" type="noConversion"/>
  </si>
  <si>
    <t>PI-0012</t>
  </si>
  <si>
    <t>3898 EA</t>
    <phoneticPr fontId="17" type="noConversion"/>
  </si>
  <si>
    <t>PI-0013</t>
  </si>
  <si>
    <t>ECCENTRIC PLUG VALVE</t>
  </si>
  <si>
    <t>138 EA</t>
    <phoneticPr fontId="17" type="noConversion"/>
  </si>
  <si>
    <t>PI-0014</t>
  </si>
  <si>
    <t>222 EA</t>
    <phoneticPr fontId="17" type="noConversion"/>
  </si>
  <si>
    <t>PI-0015</t>
  </si>
  <si>
    <t>988 EA</t>
    <phoneticPr fontId="17" type="noConversion"/>
  </si>
  <si>
    <t>PI-0016</t>
  </si>
  <si>
    <t>1353 EA</t>
    <phoneticPr fontId="17" type="noConversion"/>
  </si>
  <si>
    <t>PI-0017</t>
  </si>
  <si>
    <t>PIV</t>
  </si>
  <si>
    <t>202 EA</t>
    <phoneticPr fontId="17" type="noConversion"/>
  </si>
  <si>
    <t>PI-0018</t>
  </si>
  <si>
    <t>PTFE LINED</t>
  </si>
  <si>
    <t>1772.1 M/EA</t>
    <phoneticPr fontId="17" type="noConversion"/>
  </si>
  <si>
    <t>PI-0019</t>
  </si>
  <si>
    <t>GRV PIPING</t>
  </si>
  <si>
    <t>2305.62 ton</t>
  </si>
  <si>
    <t>PI-0020</t>
  </si>
  <si>
    <t>83.25 ton</t>
  </si>
  <si>
    <t>PI-0021</t>
  </si>
  <si>
    <t>CPVC PIPING</t>
  </si>
  <si>
    <t>112.61 ton</t>
  </si>
  <si>
    <t>PI-0022</t>
  </si>
  <si>
    <t>121 EA</t>
    <phoneticPr fontId="17" type="noConversion"/>
  </si>
  <si>
    <t>PI-0023</t>
  </si>
  <si>
    <t>CHEMICAL INJECTION FITTING</t>
  </si>
  <si>
    <t>46 set</t>
  </si>
  <si>
    <t>PI-0024</t>
  </si>
  <si>
    <t>3 set</t>
  </si>
  <si>
    <t>PI-0026</t>
  </si>
  <si>
    <t>FLEXIBLE HOSE &amp; HOSE COUPLING</t>
  </si>
  <si>
    <t>1628 set</t>
  </si>
  <si>
    <t>PI-0027</t>
  </si>
  <si>
    <t>AIR RELEASE VENT &amp; AIR TRAP</t>
  </si>
  <si>
    <t>41 EA</t>
    <phoneticPr fontId="17" type="noConversion"/>
  </si>
  <si>
    <t>PI-0028</t>
  </si>
  <si>
    <t>42 EA</t>
    <phoneticPr fontId="17" type="noConversion"/>
  </si>
  <si>
    <t>PI-0029</t>
  </si>
  <si>
    <t>119 EA</t>
    <phoneticPr fontId="17" type="noConversion"/>
  </si>
  <si>
    <t>PI-0030</t>
  </si>
  <si>
    <t>INT+EXT COATING</t>
  </si>
  <si>
    <t>5060.43 ton</t>
  </si>
  <si>
    <t>PI-0031</t>
  </si>
  <si>
    <t>TELESCOPIC VALVE</t>
  </si>
  <si>
    <t>10 EA</t>
    <phoneticPr fontId="17" type="noConversion"/>
  </si>
  <si>
    <t>PI-0032</t>
  </si>
  <si>
    <t>OIL STOP VALVE</t>
  </si>
  <si>
    <t>18 EA</t>
    <phoneticPr fontId="17" type="noConversion"/>
  </si>
  <si>
    <t>PL-0003</t>
  </si>
  <si>
    <t>ISOLATING JOINT</t>
  </si>
  <si>
    <t>STEEL STRUTURE</t>
  </si>
  <si>
    <t>17,000 ton</t>
  </si>
  <si>
    <t>공조</t>
  </si>
  <si>
    <t>MR-HV-001</t>
  </si>
  <si>
    <t>HVAC EQUIPMENT (HVAC CONTROL 포함)</t>
  </si>
  <si>
    <t>MR-EL-0001</t>
  </si>
  <si>
    <t>33KV GIS</t>
  </si>
  <si>
    <t>55 bays</t>
    <phoneticPr fontId="17" type="noConversion"/>
  </si>
  <si>
    <t>MR-EL-0002</t>
  </si>
  <si>
    <t>HV SWGR/MCC, BUS DUCT</t>
  </si>
  <si>
    <t>MR-EL-0003</t>
  </si>
  <si>
    <t>LV SWGR/MCC, BUS DUCT</t>
  </si>
  <si>
    <t>MR-EL-0004</t>
    <phoneticPr fontId="17" type="noConversion"/>
  </si>
  <si>
    <t>ECMS</t>
  </si>
  <si>
    <t>MR-EL-0005</t>
    <phoneticPr fontId="17" type="noConversion"/>
  </si>
  <si>
    <t>69 units</t>
    <phoneticPr fontId="17" type="noConversion"/>
  </si>
  <si>
    <t>MR-EL-0006</t>
    <phoneticPr fontId="17" type="noConversion"/>
  </si>
  <si>
    <t>UPS &amp; DC SYSTEM</t>
  </si>
  <si>
    <t>MR-EL-0007</t>
    <phoneticPr fontId="17" type="noConversion"/>
  </si>
  <si>
    <t>MR-EL-0008</t>
    <phoneticPr fontId="17" type="noConversion"/>
  </si>
  <si>
    <t>SOLAR POWER SUPPLY SYSTEM &amp; LOCAL EQUIPMENT ROOM (LER)</t>
  </si>
  <si>
    <t>MR-EL-0009</t>
    <phoneticPr fontId="17" type="noConversion"/>
  </si>
  <si>
    <t>DISTRIBUTION SUBSTATION (DSS)</t>
  </si>
  <si>
    <t>MR-EL-0010</t>
    <phoneticPr fontId="17" type="noConversion"/>
  </si>
  <si>
    <t>MR-EL-0011</t>
    <phoneticPr fontId="17" type="noConversion"/>
  </si>
  <si>
    <t>ELEC. HEAT TRACING SYSTEM</t>
  </si>
  <si>
    <t>MR-EL-0012</t>
    <phoneticPr fontId="17" type="noConversion"/>
  </si>
  <si>
    <t>MR-EL-0013</t>
    <phoneticPr fontId="17" type="noConversion"/>
  </si>
  <si>
    <t>LIGHTING SYSTEM</t>
  </si>
  <si>
    <t>MR-EL-0015</t>
    <phoneticPr fontId="17" type="noConversion"/>
  </si>
  <si>
    <t>POWER AND LIGHTING DISTRIBUTION PANEL</t>
  </si>
  <si>
    <t>MR-EL-0018</t>
    <phoneticPr fontId="17" type="noConversion"/>
  </si>
  <si>
    <t>MR-EL-0019</t>
    <phoneticPr fontId="17" type="noConversion"/>
  </si>
  <si>
    <t>MR-EL-0020</t>
    <phoneticPr fontId="17" type="noConversion"/>
  </si>
  <si>
    <t>MR-EL-0021</t>
    <phoneticPr fontId="17" type="noConversion"/>
  </si>
  <si>
    <t>MR-EL-0022</t>
    <phoneticPr fontId="17" type="noConversion"/>
  </si>
  <si>
    <t>EARTHING &amp; LIGHTNING</t>
  </si>
  <si>
    <t>MR-EL-0023</t>
    <phoneticPr fontId="17" type="noConversion"/>
  </si>
  <si>
    <t>MR-EL-0024</t>
    <phoneticPr fontId="17" type="noConversion"/>
  </si>
  <si>
    <t>CABLE TERMINATION KIT</t>
  </si>
  <si>
    <t>MR-EL-0025</t>
    <phoneticPr fontId="17" type="noConversion"/>
  </si>
  <si>
    <t>MR-EL-0026</t>
    <phoneticPr fontId="17" type="noConversion"/>
  </si>
  <si>
    <t>ELECTRICAL BULK MATERIAL</t>
  </si>
  <si>
    <t>통신</t>
  </si>
  <si>
    <t>MR-TE-0001</t>
    <phoneticPr fontId="17" type="noConversion"/>
  </si>
  <si>
    <t>MR-IC-0001</t>
    <phoneticPr fontId="17" type="noConversion"/>
  </si>
  <si>
    <t>INTEGRATED CONTROL &amp; SAFETY SYSTEM (ICSS)</t>
  </si>
  <si>
    <t>강인묵 책임</t>
  </si>
  <si>
    <t>MR-IC-0002</t>
  </si>
  <si>
    <t>MACHINE CONDITION MONITORING SYSTEM (MCMS)</t>
  </si>
  <si>
    <t>MR-IC-0003</t>
  </si>
  <si>
    <t>CUSTODY TRANSFER METERING SYSTEM</t>
  </si>
  <si>
    <t>MR-IC-0004</t>
  </si>
  <si>
    <t>LEAK DETECTION SYSTEM</t>
  </si>
  <si>
    <t>MR-IC-0005</t>
  </si>
  <si>
    <t>ANALYSER SYSTEM WITH SHELTER</t>
  </si>
  <si>
    <t>MR-IC-0006</t>
  </si>
  <si>
    <t>ON-OFF VALVE AND MOV (BALL)</t>
  </si>
  <si>
    <t>MR-IC-0007</t>
  </si>
  <si>
    <t>ON-OFF VALVE (SOLENOID)</t>
  </si>
  <si>
    <t>MR-IC-0008</t>
  </si>
  <si>
    <t>ON-OFF VALVE AND MOV (BUTTERFLY)</t>
  </si>
  <si>
    <t>MR-IC-0009</t>
  </si>
  <si>
    <t>MOV (PLUG)</t>
  </si>
  <si>
    <t>MR-IC-0010</t>
  </si>
  <si>
    <t>MOV (BUTTERFLY, 600# FBE)</t>
  </si>
  <si>
    <t>MR-IC-0011</t>
  </si>
  <si>
    <t>MR-IC-0012</t>
  </si>
  <si>
    <t>MR-IC-0013</t>
  </si>
  <si>
    <t>PRESSURE SAFETY VALVE AND RUPTURE DISK</t>
  </si>
  <si>
    <t>MR-IC-0014</t>
  </si>
  <si>
    <t>MAGNETIC FLOWMETER AND FLOW SWITCH</t>
  </si>
  <si>
    <t>MR-IC-0015</t>
  </si>
  <si>
    <t>POSITIVE DISPLACEMENT FLOWMETER</t>
  </si>
  <si>
    <t>MR-IC-0016</t>
  </si>
  <si>
    <t>ACTIVE CHECK VALVE</t>
  </si>
  <si>
    <t>MR-IC-0017</t>
  </si>
  <si>
    <t>MR-IC-0018</t>
  </si>
  <si>
    <t>MR-IC-0019</t>
  </si>
  <si>
    <t>MR-IC-0020</t>
    <phoneticPr fontId="17" type="noConversion"/>
  </si>
  <si>
    <t>LEVEL INSTRUMENT AND LEVEL SWITCH</t>
  </si>
  <si>
    <t>MR-IC-0021</t>
    <phoneticPr fontId="17" type="noConversion"/>
  </si>
  <si>
    <t>MR-IC-0022</t>
    <phoneticPr fontId="17" type="noConversion"/>
  </si>
  <si>
    <t>MR-IC-0023</t>
    <phoneticPr fontId="17" type="noConversion"/>
  </si>
  <si>
    <t>MR-IC-0101</t>
    <phoneticPr fontId="17" type="noConversion"/>
  </si>
  <si>
    <t xml:space="preserve">INSTRUMENT CABLE   </t>
  </si>
  <si>
    <t>MR-IC-0102</t>
    <phoneticPr fontId="17" type="noConversion"/>
  </si>
  <si>
    <t>MR-IC-0103</t>
    <phoneticPr fontId="17" type="noConversion"/>
  </si>
  <si>
    <t>INSTRUMENT JUNTION BOX</t>
  </si>
  <si>
    <t>MR-IC-0104</t>
    <phoneticPr fontId="17" type="noConversion"/>
  </si>
  <si>
    <t>MR-IC-0105</t>
    <phoneticPr fontId="17" type="noConversion"/>
  </si>
  <si>
    <t>INSTRUMENT TUBE &amp; FITTING</t>
  </si>
  <si>
    <t>MR-IC-0106</t>
    <phoneticPr fontId="17" type="noConversion"/>
  </si>
  <si>
    <t>INSTRUMENT PIPE &amp; FITTING</t>
  </si>
  <si>
    <t>MR-IC-0107</t>
    <phoneticPr fontId="17" type="noConversion"/>
  </si>
  <si>
    <t>MR-IC-0108</t>
    <phoneticPr fontId="17" type="noConversion"/>
  </si>
  <si>
    <t>INSTRUMENT BLOCK VALVE, AIR MANIFOLD</t>
  </si>
  <si>
    <t>MR-IC-0109</t>
    <phoneticPr fontId="17" type="noConversion"/>
  </si>
  <si>
    <t>MISC BULK</t>
  </si>
  <si>
    <t>MR-IC-0110</t>
    <phoneticPr fontId="17" type="noConversion"/>
  </si>
  <si>
    <t>기타</t>
  </si>
  <si>
    <t>MR-PR-001</t>
  </si>
  <si>
    <t>SPECIALTY CHEMICALS</t>
  </si>
  <si>
    <t>MR-PR-002</t>
    <phoneticPr fontId="17" type="noConversion"/>
  </si>
  <si>
    <t>COMMODITY CHEMICALS</t>
  </si>
  <si>
    <t>MR-PR-002</t>
  </si>
  <si>
    <t>PNG1</t>
    <phoneticPr fontId="17" type="noConversion"/>
  </si>
  <si>
    <t>R-2130-002</t>
  </si>
  <si>
    <t>FABRICATED STRUCTURAL STEEL FOR PRE-SHUTDOWN &amp; SHUTDOWN</t>
  </si>
  <si>
    <t>S120-001</t>
    <phoneticPr fontId="17" type="noConversion"/>
  </si>
  <si>
    <t>CHEMICAL ANCHOR BOLT FOR PRE-SHUTDOWN &amp; SHUTDOWN</t>
  </si>
  <si>
    <t>R-2154-101</t>
  </si>
  <si>
    <t>R-2155-501</t>
  </si>
  <si>
    <t>LNG LOADING ARM</t>
  </si>
  <si>
    <t>R-2155-504</t>
  </si>
  <si>
    <t>CONDENSATE LOADING HOSE &amp; HOSE REEL</t>
  </si>
  <si>
    <t>R-2155-507</t>
  </si>
  <si>
    <t>TELESCOPIC KNUCKLE BOOM CRANE</t>
  </si>
  <si>
    <t>R-2158-103</t>
  </si>
  <si>
    <t>SEA WATER INTAKE PUMP</t>
  </si>
  <si>
    <t>TBA</t>
  </si>
  <si>
    <t>R-2158-104</t>
  </si>
  <si>
    <t>NON-API PUMP</t>
  </si>
  <si>
    <t>R-2158-112</t>
  </si>
  <si>
    <t>BETWEEN BEARING PUMP</t>
  </si>
  <si>
    <t>R-2158-401</t>
  </si>
  <si>
    <t>STEAM TURBINE GENERATOR (YOC → SOC)</t>
  </si>
  <si>
    <t>R-2158-402</t>
  </si>
  <si>
    <t>GAS TURBINE GENERATOR (YOC → SOC)</t>
  </si>
  <si>
    <t>R-215A-101</t>
  </si>
  <si>
    <t>AIR COOLED VACUUM STEAM CONDENSER PACKAGE (YOC → SOC)</t>
  </si>
  <si>
    <t>R-215A-201</t>
  </si>
  <si>
    <t>SEA WATER INTAKE CHLORINATION UNIT</t>
  </si>
  <si>
    <t>R-215A-202</t>
  </si>
  <si>
    <t>HIGHLY DEMINERALIZED WATER GENERATION PACKAGE &amp; BLOWDOWN NEUTRALIZATION PACKAGE</t>
  </si>
  <si>
    <t>R-215A-901</t>
  </si>
  <si>
    <t>R-215B-201</t>
  </si>
  <si>
    <t>HEAT RECOVERY STEAM GENERATOR (HRSG)</t>
  </si>
  <si>
    <t>R-215B-401</t>
  </si>
  <si>
    <t>R-216G-221</t>
  </si>
  <si>
    <t>PIG RECEIVER</t>
  </si>
  <si>
    <t>R-216G-353</t>
  </si>
  <si>
    <t>PIPELINE VALVES</t>
  </si>
  <si>
    <t>R-216G-354</t>
  </si>
  <si>
    <t>HYDROCARBON SENSING VALVES (SPILL STOP VALVE)</t>
  </si>
  <si>
    <t>R-216Z-902</t>
  </si>
  <si>
    <t>PIPELINE PIPES AND FITTINGS</t>
  </si>
  <si>
    <t>엥흐철멍 매니저</t>
    <phoneticPr fontId="17" type="noConversion"/>
  </si>
  <si>
    <t>R-2174-102</t>
  </si>
  <si>
    <t>STEAM CONDITIONING VALVES WITH DUMP TUBE</t>
  </si>
  <si>
    <t>S16G-615</t>
    <phoneticPr fontId="17" type="noConversion"/>
  </si>
  <si>
    <t>INSULATION GASKET KITS</t>
  </si>
  <si>
    <t>S15D-002</t>
    <phoneticPr fontId="17" type="noConversion"/>
  </si>
  <si>
    <t>S15D-003</t>
    <phoneticPr fontId="17" type="noConversion"/>
  </si>
  <si>
    <t>LIFE BUOYS</t>
  </si>
  <si>
    <t>R-2174-204</t>
  </si>
  <si>
    <t>ON-OFF VALVES (GATE)</t>
  </si>
  <si>
    <t>R-2174-402</t>
  </si>
  <si>
    <t>PILOT ACTUATED BUTTERFLY VALVES</t>
  </si>
  <si>
    <t>R-21C2-101</t>
  </si>
  <si>
    <t>CHEMICALS</t>
  </si>
  <si>
    <t>FAT</t>
  </si>
  <si>
    <t>VEQU</t>
  </si>
  <si>
    <t>TLT TURBO</t>
  </si>
  <si>
    <t>PIM</t>
  </si>
  <si>
    <t>INCINERATOR - CHAMBER &amp; STACK</t>
  </si>
  <si>
    <t>MORIMATSU</t>
  </si>
  <si>
    <t>SHN1</t>
  </si>
  <si>
    <t>AC,DC UPS</t>
  </si>
  <si>
    <t>GUTOR</t>
  </si>
  <si>
    <t>말레이시아</t>
  </si>
  <si>
    <t>ON-OFF VALVE BUTTERFLY</t>
  </si>
  <si>
    <t>IMI</t>
  </si>
  <si>
    <t>사우디</t>
  </si>
  <si>
    <t>SAC2</t>
  </si>
  <si>
    <t>ABB</t>
  </si>
  <si>
    <t>CHEMICAL INJECTION PKG</t>
  </si>
  <si>
    <t>SAUDI WELLS</t>
  </si>
  <si>
    <t>ON-OFF VALVE GATE</t>
  </si>
  <si>
    <t>L&amp;T VALVE</t>
  </si>
  <si>
    <t>FLARE PKG - DERRICK STURCTURE</t>
  </si>
  <si>
    <t>DSD-FERROMETALCO</t>
  </si>
  <si>
    <t>이집트</t>
  </si>
  <si>
    <t>FLARE PKG - MPGF</t>
  </si>
  <si>
    <t>ZEECO MIDDLE EAST</t>
  </si>
  <si>
    <t>INCINERATOR PKG - BURNER &amp; SKID</t>
  </si>
  <si>
    <t>Monitoring</t>
  </si>
  <si>
    <t>DAMPER (DIVERTER, GUILLOTINE, LOUVER)</t>
  </si>
  <si>
    <t>남광엔지니어링</t>
  </si>
  <si>
    <t>대한민국</t>
  </si>
  <si>
    <t>요코가와</t>
  </si>
  <si>
    <t>DISTRIBUTION TRANSFORMER</t>
  </si>
  <si>
    <t>효성중공업</t>
  </si>
  <si>
    <t>업체실사</t>
  </si>
  <si>
    <t>DIVERTER DAMPER</t>
  </si>
  <si>
    <t>TS 넥스젠</t>
  </si>
  <si>
    <t>MV SWITCH GEAR</t>
  </si>
  <si>
    <t>LS ELECTRIC</t>
  </si>
  <si>
    <t>REGENERATIVE THERMAL OXIDIZER (RTO) PACKAGE</t>
  </si>
  <si>
    <t>삼경이엔씨</t>
  </si>
  <si>
    <t>PROSAVE</t>
  </si>
  <si>
    <t>MIP6</t>
  </si>
  <si>
    <t>CHROMALOX</t>
  </si>
  <si>
    <t>230KV POWER TRANSFORMER</t>
  </si>
  <si>
    <t>HYOSUNG NANTONG</t>
  </si>
  <si>
    <t>FILTREX SRL</t>
  </si>
  <si>
    <t>이탈리아</t>
  </si>
  <si>
    <t>INCINERATOR PKG - CHAMBER &amp; STACK</t>
  </si>
  <si>
    <t>공장검사</t>
  </si>
  <si>
    <t>광명전기</t>
  </si>
  <si>
    <t>FABTECH INTERNATIONAL</t>
  </si>
  <si>
    <t>UAE</t>
  </si>
  <si>
    <t>COOLING WATER PUMP</t>
  </si>
  <si>
    <t>FLOWSERVE</t>
  </si>
  <si>
    <t>CRACKING HEATER BURNER</t>
  </si>
  <si>
    <t>신아플랜트</t>
  </si>
  <si>
    <t>C/S SEAMLESS PIP</t>
  </si>
  <si>
    <t>HONGDA (흥양 SUB-VENDOR)</t>
  </si>
  <si>
    <t>교육</t>
  </si>
  <si>
    <t>VALVE ACADEMY</t>
  </si>
  <si>
    <t>PK VALVE</t>
  </si>
  <si>
    <t>LOAD SHEDDING</t>
  </si>
  <si>
    <t>코리아데이타</t>
  </si>
  <si>
    <t>대상이엔지</t>
  </si>
  <si>
    <t xml:space="preserve">PRESSURE VESSEL OF FLARE PKG &amp; INCIERATOR </t>
  </si>
  <si>
    <t>PERTON (ZEECO SUB-VENDOR)</t>
  </si>
  <si>
    <t>INCINERATOR PKG - STANDARD FLANGE</t>
  </si>
  <si>
    <t>WUXI PAIKE (ZEECO SUB-VENDOR)</t>
  </si>
  <si>
    <t>BLOW DOWN PUMP(MR-006)</t>
  </si>
  <si>
    <t>DMW(일본)</t>
  </si>
  <si>
    <t>일본</t>
  </si>
  <si>
    <t>AIR COMPRESSOR PKG</t>
  </si>
  <si>
    <t>현대마린엔진(HHI 터보기계 SUB-VENDOR)</t>
  </si>
  <si>
    <t>현안미팅</t>
  </si>
  <si>
    <t>HHI 터보기계</t>
  </si>
  <si>
    <t>FBE COATING / KNIFE GATE VALVE &amp; STRAINER</t>
  </si>
  <si>
    <t>우성플로텍</t>
  </si>
  <si>
    <t>FAN</t>
  </si>
  <si>
    <t>서원풍력</t>
  </si>
  <si>
    <t>TS 넥스젠(남광엔지니어링 임대공장)</t>
  </si>
  <si>
    <t>MV CABLE</t>
  </si>
  <si>
    <t>BAHRA ADVANCED CABLE</t>
  </si>
  <si>
    <t>CRP PANEL</t>
  </si>
  <si>
    <t>HITACHI ENERGY</t>
  </si>
  <si>
    <t>하도</t>
  </si>
  <si>
    <t>XINXIANG SHENGDA FILTRATION TECHNIQUE</t>
  </si>
  <si>
    <t>CERAMIC INSULATOR</t>
  </si>
  <si>
    <t>태성쎄라믹</t>
  </si>
  <si>
    <t>동해밸브</t>
  </si>
  <si>
    <t>세양기업</t>
  </si>
  <si>
    <t>업체감사</t>
  </si>
  <si>
    <t>ALOM</t>
  </si>
  <si>
    <t>티에스넥스젠 인천사업장</t>
  </si>
  <si>
    <t>AIR COOLED CONDENSER PACKAGE</t>
  </si>
  <si>
    <t>SPG DRY COOLING BELGUM</t>
  </si>
  <si>
    <t>태광</t>
  </si>
  <si>
    <t>FBE COATING / LINING</t>
  </si>
  <si>
    <t>세보테크놀로지</t>
  </si>
  <si>
    <t>CSSP</t>
  </si>
  <si>
    <t>VALVE</t>
  </si>
  <si>
    <t>DHV VALVE &amp; FOUNDRY</t>
  </si>
  <si>
    <t>SUFA</t>
  </si>
  <si>
    <t>NEWAY VALVE</t>
  </si>
  <si>
    <t>TYHOO</t>
  </si>
  <si>
    <t>FLANGE / FITTING</t>
  </si>
  <si>
    <t>ZHONGNAN HEAVY INDUSTRIES</t>
  </si>
  <si>
    <t>HV SWGR</t>
  </si>
  <si>
    <t>AL-FANAR</t>
  </si>
  <si>
    <t>HABARA CABLE</t>
  </si>
  <si>
    <t>ANALYZER</t>
  </si>
  <si>
    <t>YOGOKAWA</t>
  </si>
  <si>
    <t>ETHAN COMPRESSOR</t>
  </si>
  <si>
    <t>HITACHI</t>
  </si>
  <si>
    <t>CHROMALOX INC.</t>
  </si>
  <si>
    <t xml:space="preserve">ECS PANEL </t>
  </si>
  <si>
    <t>OIL SKIMMER FOR STORAGE TANK</t>
  </si>
  <si>
    <t>TTS</t>
  </si>
  <si>
    <t>SPOOL FABRICATION &amp; EXTERNAL/INTERNAL COATING</t>
  </si>
  <si>
    <t>웰텍</t>
  </si>
  <si>
    <t>주성이엔지</t>
  </si>
  <si>
    <t>Knife Gate Valve 표면 처리불량</t>
    <phoneticPr fontId="4" type="noConversion"/>
  </si>
  <si>
    <t>FBE 작업 진행 중</t>
    <phoneticPr fontId="4" type="noConversion"/>
  </si>
  <si>
    <t>N2 Receiver 폭발 사고 관련 추가 제작 Item 검사 절차 협의</t>
    <phoneticPr fontId="4" type="noConversion"/>
  </si>
  <si>
    <t>SVL &amp; Inspection Level 협의 중 (SAIR)</t>
    <phoneticPr fontId="4" type="noConversion"/>
  </si>
  <si>
    <t>Produced Water Booster Pump 관련 Casing 파손</t>
    <phoneticPr fontId="4" type="noConversion"/>
  </si>
  <si>
    <t>결함 판독을 위해 현장에서 RT 수행 예정</t>
    <phoneticPr fontId="4" type="noConversion"/>
  </si>
  <si>
    <t>N2 Generation Package 성능 미달</t>
    <phoneticPr fontId="4" type="noConversion"/>
  </si>
  <si>
    <t>제작 및 검사 진행 중</t>
    <phoneticPr fontId="4" type="noConversion"/>
  </si>
  <si>
    <t>Bypass Valve 현장시험 불합격</t>
    <phoneticPr fontId="4" type="noConversion"/>
  </si>
  <si>
    <t>LV Switchgear 내부 부식 발생</t>
    <phoneticPr fontId="4" type="noConversion"/>
  </si>
  <si>
    <t>재제작 진행 중 (5월말 FAT 예상)</t>
    <phoneticPr fontId="4" type="noConversion"/>
  </si>
  <si>
    <t>원소재 성적서 검토 시스템</t>
    <phoneticPr fontId="4" type="noConversion"/>
  </si>
  <si>
    <t>경영분석팀 &amp; IT지원팀 협의 중</t>
    <phoneticPr fontId="4" type="noConversion"/>
  </si>
  <si>
    <t>Punch 관리방법 개선</t>
    <phoneticPr fontId="4" type="noConversion"/>
  </si>
  <si>
    <t>추진안 준비 중</t>
    <phoneticPr fontId="4" type="noConversion"/>
  </si>
  <si>
    <t>TPA Workshop</t>
    <phoneticPr fontId="4" type="noConversion"/>
  </si>
  <si>
    <t>금주 중 참석자 확정 및 사전 설문 완료 예정</t>
    <phoneticPr fontId="4" type="noConversion"/>
  </si>
  <si>
    <t>TPA 실행 비용 분석 및 입찰 예산 적정성 검증</t>
    <phoneticPr fontId="4" type="noConversion"/>
  </si>
  <si>
    <t>프로젝트별 TPA 청산자료 1차 가공 완료</t>
    <phoneticPr fontId="4" type="noConversion"/>
  </si>
  <si>
    <t>배관</t>
    <phoneticPr fontId="4" type="noConversion"/>
  </si>
  <si>
    <t>전기/계장</t>
    <phoneticPr fontId="4" type="noConversion"/>
  </si>
  <si>
    <t>회전기계</t>
    <phoneticPr fontId="4" type="noConversion"/>
  </si>
  <si>
    <t>장치기계</t>
    <phoneticPr fontId="4" type="noConversion"/>
  </si>
  <si>
    <t>전략기획</t>
    <phoneticPr fontId="4" type="noConversion"/>
  </si>
  <si>
    <t>철골</t>
    <phoneticPr fontId="4" type="noConversion"/>
  </si>
  <si>
    <t>Rotating / Piping</t>
    <phoneticPr fontId="4" type="noConversion"/>
  </si>
  <si>
    <t>Static / Structural Steel</t>
    <phoneticPr fontId="4" type="noConversion"/>
  </si>
  <si>
    <t>담당 공종</t>
    <phoneticPr fontId="4" type="noConversion"/>
  </si>
  <si>
    <t>시공품질</t>
    <phoneticPr fontId="4" type="noConversion"/>
  </si>
  <si>
    <t>정기평가 (2023)</t>
    <phoneticPr fontId="4" type="noConversion"/>
  </si>
  <si>
    <t>정기평가 (2024)</t>
    <phoneticPr fontId="4" type="noConversion"/>
  </si>
  <si>
    <t>정기평가 (2026)</t>
    <phoneticPr fontId="4" type="noConversion"/>
  </si>
  <si>
    <t>USD</t>
    <phoneticPr fontId="4" type="noConversion"/>
  </si>
  <si>
    <t>ERAM</t>
    <phoneticPr fontId="4" type="noConversion"/>
  </si>
  <si>
    <t>DNV</t>
    <phoneticPr fontId="4" type="noConversion"/>
  </si>
  <si>
    <t>RINA</t>
    <phoneticPr fontId="4" type="noConversion"/>
  </si>
  <si>
    <t>FE</t>
    <phoneticPr fontId="4" type="noConversion"/>
  </si>
  <si>
    <t>ACES</t>
    <phoneticPr fontId="4" type="noConversion"/>
  </si>
  <si>
    <t>APAVE</t>
    <phoneticPr fontId="4" type="noConversion"/>
  </si>
  <si>
    <t>GISCO</t>
    <phoneticPr fontId="4" type="noConversion"/>
  </si>
  <si>
    <t>PD</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</si>
</sst>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1" formatCode="_-* #,##0_-;\-* #,##0_-;_-* &quot;-&quot;_-;_-@_-"/>
    <numFmt numFmtId="176" formatCode="0_);[Red]\(0\)"/>
    <numFmt numFmtId="177" formatCode="_-* #,##0.0_-;\-* #,##0.0_-;_-* &quot;-&quot;_-;_-@_-"/>
    <numFmt numFmtId="178" formatCode="yyyy/mm"/>
    <numFmt numFmtId="179" formatCode="_-* #,##0.00_-;\-* #,##0.00_-;_-* &quot;-&quot;_-;_-@_-"/>
    <numFmt numFmtId="180" formatCode="0.0%"/>
  </numFmts>
  <fonts count="29">
    <font>
      <sz val="11"/>
      <name val="맑은 고딕"/>
    </font>
    <font>
      <b/>
      <sz val="15"/>
      <color rgb="FF0A2A5E"/>
      <name val="맑은 고딕"/>
      <family val="3"/>
      <charset val="129"/>
    </font>
    <font>
      <b/>
      <sz val="12"/>
      <color rgb="FF0A2A5E"/>
      <name val="맑은 고딕"/>
      <family val="3"/>
      <charset val="129"/>
    </font>
    <font>
      <b/>
      <sz val="10.5"/>
      <color rgb="FFFFFFFF"/>
      <name val="맑은 고딕"/>
      <family val="3"/>
      <charset val="129"/>
    </font>
    <font>
      <sz val="8"/>
      <name val="돋움"/>
      <family val="3"/>
      <charset val="129"/>
    </font>
    <font>
      <sz val="11"/>
      <name val="맑은 고딕"/>
      <family val="3"/>
      <charset val="129"/>
    </font>
    <font>
      <sz val="10"/>
      <name val="맑은 고딕"/>
      <family val="3"/>
      <charset val="129"/>
    </font>
    <font>
      <sz val="10"/>
      <color rgb="FF000000"/>
      <name val="Arial"/>
      <family val="2"/>
    </font>
    <font>
      <sz val="10"/>
      <name val="Arial"/>
      <family val="2"/>
    </font>
    <font>
      <u/>
      <sz val="11"/>
      <color theme="10"/>
      <name val="맑은 고딕"/>
      <family val="3"/>
      <charset val="129"/>
    </font>
    <font>
      <sz val="10"/>
      <color theme="1"/>
      <name val="현대하모니 L"/>
      <family val="1"/>
      <charset val="129"/>
    </font>
    <font>
      <sz val="8"/>
      <name val="맑은 고딕"/>
      <family val="3"/>
      <charset val="129"/>
      <scheme val="minor"/>
    </font>
    <font>
      <sz val="11"/>
      <color rgb="FF262626"/>
      <name val="현대하모니 L"/>
      <family val="1"/>
      <charset val="129"/>
    </font>
    <font>
      <sz val="10"/>
      <color theme="1"/>
      <name val="맑은 고딕"/>
      <family val="3"/>
      <charset val="129"/>
    </font>
    <font>
      <sz val="11"/>
      <color theme="1"/>
      <name val="맑은 고딕"/>
      <family val="2"/>
      <charset val="129"/>
      <scheme val="minor"/>
    </font>
    <font>
      <sz val="10"/>
      <color theme="1"/>
      <name val="맑은 고딕"/>
      <family val="3"/>
      <charset val="129"/>
      <scheme val="minor"/>
    </font>
    <font>
      <sz val="10"/>
      <name val="현대하모니 L"/>
      <family val="1"/>
      <charset val="129"/>
    </font>
    <font>
      <sz val="8"/>
      <name val="맑은 고딕"/>
      <family val="2"/>
      <charset val="129"/>
      <scheme val="minor"/>
    </font>
    <font>
      <sz val="10"/>
      <name val="맑은 고딕"/>
      <family val="1"/>
      <charset val="129"/>
    </font>
    <font>
      <sz val="10"/>
      <name val="현대하모니 L"/>
      <family val="2"/>
      <charset val="129"/>
    </font>
    <font>
      <sz val="10"/>
      <name val="Calibri"/>
      <family val="2"/>
    </font>
    <font>
      <sz val="8"/>
      <name val="현대하모니 L"/>
      <family val="1"/>
      <charset val="129"/>
    </font>
    <font>
      <sz val="12"/>
      <name val="¨?oUAAA¡§u"/>
      <family val="1"/>
      <charset val="129"/>
    </font>
    <font>
      <sz val="8"/>
      <name val="맑은 고딕"/>
      <family val="3"/>
      <charset val="129"/>
    </font>
    <font>
      <sz val="10"/>
      <name val="Calibri"/>
      <family val="1"/>
    </font>
    <font>
      <sz val="11"/>
      <color theme="1"/>
      <name val="맑은 고딕"/>
      <family val="3"/>
      <charset val="129"/>
      <scheme val="minor"/>
    </font>
    <font>
      <sz val="11"/>
      <name val="돋움"/>
      <family val="3"/>
      <charset val="129"/>
    </font>
    <font>
      <sz val="10"/>
      <name val="Gulim"/>
      <family val="1"/>
      <charset val="129"/>
    </font>
    <font>
      <sz val="6"/>
      <name val="맑은 고딕"/>
      <family val="2"/>
      <charset val="128"/>
      <scheme val="minor"/>
    </font>
  </fonts>
  <fills count="7">
    <fill>
      <patternFill patternType="none"/>
    </fill>
    <fill>
      <patternFill patternType="gray125"/>
    </fill>
    <fill>
      <patternFill patternType="solid">
        <fgColor rgb="FF0A2A5E"/>
      </patternFill>
    </fill>
    <fill>
      <patternFill patternType="solid">
        <fgColor rgb="FFFFFFFF"/>
        <bgColor rgb="FF000000"/>
      </patternFill>
    </fill>
    <fill>
      <patternFill patternType="solid">
        <fgColor theme="0" tint="-0.14999847407452621"/>
        <bgColor indexed="64"/>
      </patternFill>
    </fill>
    <fill>
      <patternFill patternType="solid">
        <fgColor theme="0" tint="-0.14996795556505021"/>
        <bgColor indexed="64"/>
      </patternFill>
    </fill>
    <fill>
      <patternFill patternType="solid">
        <fgColor theme="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rgb="FF000000"/>
      </bottom>
      <diagonal/>
    </border>
    <border>
      <left style="thin">
        <color indexed="64"/>
      </left>
      <right/>
      <top/>
      <bottom style="thin">
        <color rgb="FF000000"/>
      </bottom>
      <diagonal/>
    </border>
    <border>
      <left style="thin">
        <color indexed="64"/>
      </left>
      <right/>
      <top style="thin">
        <color indexed="64"/>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style="thin">
        <color rgb="FF000000"/>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8">
    <xf numFmtId="0" fontId="0" fillId="0" borderId="0">
      <alignment vertical="center"/>
    </xf>
    <xf numFmtId="41" fontId="5" fillId="0" borderId="0" applyFont="0" applyFill="0" applyBorder="0" applyAlignment="0" applyProtection="0">
      <alignment vertical="center"/>
    </xf>
    <xf numFmtId="9" fontId="5" fillId="0" borderId="0" applyFont="0" applyFill="0" applyBorder="0" applyAlignment="0" applyProtection="0">
      <alignment vertical="center"/>
    </xf>
    <xf numFmtId="0" fontId="9" fillId="0" borderId="0" applyNumberFormat="0" applyFill="0" applyBorder="0" applyAlignment="0" applyProtection="0">
      <alignment vertical="center"/>
    </xf>
    <xf numFmtId="0" fontId="14" fillId="0" borderId="0">
      <alignment vertical="center"/>
    </xf>
    <xf numFmtId="41" fontId="14" fillId="0" borderId="0" applyFont="0" applyFill="0" applyBorder="0" applyAlignment="0" applyProtection="0">
      <alignment vertical="center"/>
    </xf>
    <xf numFmtId="0" fontId="25" fillId="0" borderId="0">
      <alignment vertical="center"/>
    </xf>
    <xf numFmtId="0" fontId="26" fillId="0" borderId="0">
      <alignment vertical="center"/>
    </xf>
  </cellStyleXfs>
  <cellXfs count="94">
    <xf numFmtId="0" fontId="0" fillId="0" borderId="0" xfId="0">
      <alignment vertical="center"/>
    </xf>
    <xf numFmtId="0" fontId="1" fillId="0" borderId="0" xfId="0" applyFont="1" applyAlignment="1"/>
    <xf numFmtId="0" fontId="2" fillId="0" borderId="0" xfId="0" applyFont="1" applyAlignment="1"/>
    <xf numFmtId="0" fontId="3" fillId="2" borderId="0" xfId="0" applyFont="1" applyFill="1" applyAlignment="1">
      <alignment horizontal="center" vertical="center" wrapText="1"/>
    </xf>
    <xf numFmtId="0" fontId="6" fillId="0" borderId="1" xfId="0" applyFont="1" applyBorder="1" applyAlignment="1">
      <alignment horizontal="center" vertical="center"/>
    </xf>
    <xf numFmtId="41" fontId="6" fillId="0" borderId="1" xfId="1" applyFont="1" applyBorder="1" applyAlignment="1">
      <alignment horizontal="center" vertical="center"/>
    </xf>
    <xf numFmtId="10" fontId="6" fillId="0" borderId="1" xfId="0" applyNumberFormat="1" applyFont="1" applyBorder="1" applyAlignment="1">
      <alignment horizontal="right" vertical="center"/>
    </xf>
    <xf numFmtId="0" fontId="6" fillId="0" borderId="1" xfId="0" applyFont="1" applyBorder="1" applyAlignment="1">
      <alignment horizontal="center" vertical="center" shrinkToFit="1"/>
    </xf>
    <xf numFmtId="0" fontId="7" fillId="0" borderId="1" xfId="0" applyFont="1" applyBorder="1" applyAlignment="1">
      <alignment horizontal="center" vertical="center" wrapText="1"/>
    </xf>
    <xf numFmtId="0" fontId="8" fillId="0" borderId="2" xfId="0" applyFont="1" applyBorder="1" applyAlignment="1">
      <alignment horizontal="center" vertical="center" wrapText="1"/>
    </xf>
    <xf numFmtId="0" fontId="8" fillId="0" borderId="1" xfId="0" applyFont="1" applyBorder="1" applyAlignment="1">
      <alignment horizontal="center" vertical="center" wrapText="1"/>
    </xf>
    <xf numFmtId="14" fontId="8" fillId="0" borderId="1" xfId="0" applyNumberFormat="1" applyFont="1" applyBorder="1" applyAlignment="1">
      <alignment horizontal="center" vertical="center" wrapText="1"/>
    </xf>
    <xf numFmtId="176" fontId="6" fillId="0" borderId="1" xfId="0" applyNumberFormat="1" applyFont="1" applyBorder="1" applyAlignment="1">
      <alignment horizontal="center" vertical="center"/>
    </xf>
    <xf numFmtId="0" fontId="8" fillId="0" borderId="3" xfId="0" applyFont="1" applyBorder="1" applyAlignment="1">
      <alignment horizontal="center" vertical="center" wrapText="1"/>
    </xf>
    <xf numFmtId="0" fontId="8" fillId="0" borderId="4" xfId="0" applyFont="1" applyBorder="1" applyAlignment="1">
      <alignment horizontal="center" vertical="center" wrapText="1"/>
    </xf>
    <xf numFmtId="0" fontId="7" fillId="3" borderId="1" xfId="0" applyFont="1" applyFill="1" applyBorder="1" applyAlignment="1">
      <alignment horizontal="center" vertical="center" wrapText="1"/>
    </xf>
    <xf numFmtId="0" fontId="8" fillId="0" borderId="5" xfId="0" applyFont="1" applyBorder="1" applyAlignment="1">
      <alignment horizontal="center" vertical="center" wrapText="1"/>
    </xf>
    <xf numFmtId="0" fontId="7" fillId="0" borderId="6" xfId="0" applyFont="1" applyBorder="1" applyAlignment="1">
      <alignment horizontal="center" vertical="center" wrapText="1"/>
    </xf>
    <xf numFmtId="14" fontId="7" fillId="0" borderId="1" xfId="0" applyNumberFormat="1" applyFont="1" applyBorder="1" applyAlignment="1">
      <alignment horizontal="center" vertical="center" wrapText="1"/>
    </xf>
    <xf numFmtId="0" fontId="8" fillId="0" borderId="7" xfId="0" applyFont="1" applyBorder="1" applyAlignment="1">
      <alignment horizontal="center" vertical="center" wrapText="1"/>
    </xf>
    <xf numFmtId="0" fontId="10" fillId="0" borderId="1" xfId="0" applyFont="1" applyBorder="1" applyAlignment="1">
      <alignment horizontal="center" vertical="center"/>
    </xf>
    <xf numFmtId="14" fontId="10" fillId="0" borderId="1" xfId="0" applyNumberFormat="1" applyFont="1" applyBorder="1" applyAlignment="1">
      <alignment horizontal="center" vertical="center"/>
    </xf>
    <xf numFmtId="176" fontId="10" fillId="0" borderId="1" xfId="0" applyNumberFormat="1" applyFont="1" applyBorder="1" applyAlignment="1">
      <alignment horizontal="center" vertical="center"/>
    </xf>
    <xf numFmtId="0" fontId="10" fillId="0" borderId="1" xfId="0" quotePrefix="1" applyFont="1" applyBorder="1" applyAlignment="1">
      <alignment horizontal="center" vertical="center"/>
    </xf>
    <xf numFmtId="0" fontId="10" fillId="0" borderId="1" xfId="0" applyFont="1" applyBorder="1" applyAlignment="1">
      <alignment horizontal="center" vertical="center" wrapText="1"/>
    </xf>
    <xf numFmtId="0" fontId="10" fillId="0" borderId="1" xfId="0" applyFont="1" applyBorder="1" applyAlignment="1">
      <alignment horizontal="center" vertical="center" wrapText="1" shrinkToFit="1"/>
    </xf>
    <xf numFmtId="0" fontId="10" fillId="0" borderId="1" xfId="0" applyFont="1" applyBorder="1" applyAlignment="1">
      <alignment horizontal="left" vertical="center" wrapText="1"/>
    </xf>
    <xf numFmtId="0" fontId="9" fillId="0" borderId="1" xfId="3" applyBorder="1" applyAlignment="1">
      <alignment horizontal="left" vertical="center" wrapText="1"/>
    </xf>
    <xf numFmtId="0" fontId="10" fillId="0" borderId="1" xfId="0" applyFont="1" applyBorder="1" applyAlignment="1">
      <alignment horizontal="center" vertical="center" shrinkToFit="1"/>
    </xf>
    <xf numFmtId="0" fontId="10" fillId="0" borderId="1" xfId="0" quotePrefix="1" applyFont="1" applyBorder="1" applyAlignment="1">
      <alignment horizontal="left" vertical="center" wrapText="1"/>
    </xf>
    <xf numFmtId="0" fontId="9" fillId="0" borderId="1" xfId="3" quotePrefix="1" applyBorder="1" applyAlignment="1">
      <alignment horizontal="left" vertical="center" wrapText="1"/>
    </xf>
    <xf numFmtId="0" fontId="12" fillId="0" borderId="1" xfId="0" applyFont="1" applyBorder="1" applyAlignment="1">
      <alignment vertical="center" wrapText="1" readingOrder="1"/>
    </xf>
    <xf numFmtId="177" fontId="13" fillId="0" borderId="1" xfId="1" applyNumberFormat="1" applyFont="1" applyFill="1" applyBorder="1" applyAlignment="1">
      <alignment horizontal="center" vertical="center"/>
    </xf>
    <xf numFmtId="177" fontId="6" fillId="0" borderId="1" xfId="1" applyNumberFormat="1" applyFont="1" applyBorder="1" applyAlignment="1">
      <alignment horizontal="center" vertical="center"/>
    </xf>
    <xf numFmtId="10" fontId="6" fillId="0" borderId="1" xfId="2" applyNumberFormat="1" applyFont="1" applyBorder="1" applyAlignment="1">
      <alignment horizontal="center" vertical="center"/>
    </xf>
    <xf numFmtId="178" fontId="13" fillId="0" borderId="1" xfId="4" applyNumberFormat="1" applyFont="1" applyBorder="1" applyAlignment="1">
      <alignment horizontal="center" vertical="center"/>
    </xf>
    <xf numFmtId="179" fontId="6" fillId="0" borderId="1" xfId="1" applyNumberFormat="1" applyFont="1" applyBorder="1" applyAlignment="1">
      <alignment horizontal="center" vertical="center"/>
    </xf>
    <xf numFmtId="178" fontId="15" fillId="0" borderId="1" xfId="4" applyNumberFormat="1" applyFont="1" applyBorder="1" applyAlignment="1">
      <alignment horizontal="center" vertical="center"/>
    </xf>
    <xf numFmtId="178" fontId="15" fillId="0" borderId="1" xfId="4" quotePrefix="1" applyNumberFormat="1" applyFont="1" applyBorder="1" applyAlignment="1">
      <alignment horizontal="center" vertical="center"/>
    </xf>
    <xf numFmtId="0" fontId="16" fillId="0" borderId="1" xfId="0" applyFont="1" applyBorder="1" applyAlignment="1">
      <alignment horizontal="center" vertical="center"/>
    </xf>
    <xf numFmtId="0" fontId="16" fillId="0" borderId="1" xfId="0" applyFont="1" applyBorder="1" applyAlignment="1">
      <alignment horizontal="center" vertical="center" shrinkToFit="1"/>
    </xf>
    <xf numFmtId="0" fontId="16" fillId="0" borderId="1" xfId="0" applyFont="1" applyBorder="1" applyAlignment="1">
      <alignment horizontal="left" vertical="center"/>
    </xf>
    <xf numFmtId="178" fontId="16" fillId="0" borderId="1" xfId="0" applyNumberFormat="1" applyFont="1" applyBorder="1" applyAlignment="1">
      <alignment horizontal="center" vertical="center"/>
    </xf>
    <xf numFmtId="180" fontId="16" fillId="0" borderId="1" xfId="2" applyNumberFormat="1" applyFont="1" applyBorder="1" applyAlignment="1">
      <alignment horizontal="center" vertical="center"/>
    </xf>
    <xf numFmtId="0" fontId="16" fillId="0" borderId="1" xfId="0" applyFont="1" applyBorder="1">
      <alignment vertical="center"/>
    </xf>
    <xf numFmtId="0" fontId="16" fillId="4" borderId="1" xfId="0" applyFont="1" applyFill="1" applyBorder="1" applyAlignment="1">
      <alignment horizontal="center" vertical="center"/>
    </xf>
    <xf numFmtId="0" fontId="16" fillId="4" borderId="1" xfId="0" applyFont="1" applyFill="1" applyBorder="1" applyAlignment="1">
      <alignment horizontal="center" vertical="center" shrinkToFit="1"/>
    </xf>
    <xf numFmtId="0" fontId="16" fillId="4" borderId="1" xfId="0" applyFont="1" applyFill="1" applyBorder="1">
      <alignment vertical="center"/>
    </xf>
    <xf numFmtId="178" fontId="16" fillId="4" borderId="1" xfId="0" applyNumberFormat="1" applyFont="1" applyFill="1" applyBorder="1" applyAlignment="1">
      <alignment horizontal="center" vertical="center"/>
    </xf>
    <xf numFmtId="180" fontId="16" fillId="4" borderId="1" xfId="2" applyNumberFormat="1" applyFont="1" applyFill="1" applyBorder="1" applyAlignment="1">
      <alignment horizontal="center" vertical="center"/>
    </xf>
    <xf numFmtId="0" fontId="16" fillId="5" borderId="1" xfId="0" applyFont="1" applyFill="1" applyBorder="1" applyAlignment="1">
      <alignment horizontal="center" vertical="center"/>
    </xf>
    <xf numFmtId="0" fontId="16" fillId="5" borderId="1" xfId="0" applyFont="1" applyFill="1" applyBorder="1" applyAlignment="1">
      <alignment horizontal="center" vertical="center" shrinkToFit="1"/>
    </xf>
    <xf numFmtId="0" fontId="16" fillId="5" borderId="1" xfId="0" applyFont="1" applyFill="1" applyBorder="1">
      <alignment vertical="center"/>
    </xf>
    <xf numFmtId="178" fontId="16" fillId="5" borderId="1" xfId="0" applyNumberFormat="1" applyFont="1" applyFill="1" applyBorder="1" applyAlignment="1">
      <alignment horizontal="center" vertical="center"/>
    </xf>
    <xf numFmtId="180" fontId="16" fillId="5" borderId="1" xfId="2" applyNumberFormat="1" applyFont="1" applyFill="1" applyBorder="1" applyAlignment="1">
      <alignment horizontal="center" vertical="center"/>
    </xf>
    <xf numFmtId="180" fontId="16" fillId="0" borderId="1" xfId="2" applyNumberFormat="1" applyFont="1" applyFill="1" applyBorder="1" applyAlignment="1">
      <alignment horizontal="center" vertical="center"/>
    </xf>
    <xf numFmtId="0" fontId="16" fillId="0" borderId="1" xfId="0" applyFont="1" applyBorder="1" applyAlignment="1">
      <alignment horizontal="center" vertical="center" wrapText="1"/>
    </xf>
    <xf numFmtId="0" fontId="18" fillId="0" borderId="1" xfId="0" applyFont="1" applyBorder="1">
      <alignment vertical="center"/>
    </xf>
    <xf numFmtId="0" fontId="18" fillId="0" borderId="1" xfId="0" applyFont="1" applyBorder="1" applyAlignment="1">
      <alignment horizontal="center" vertical="center"/>
    </xf>
    <xf numFmtId="180" fontId="16" fillId="0" borderId="1" xfId="2" applyNumberFormat="1" applyFont="1" applyBorder="1" applyAlignment="1">
      <alignment horizontal="center" vertical="center" wrapText="1"/>
    </xf>
    <xf numFmtId="180" fontId="16" fillId="0" borderId="1" xfId="2" applyNumberFormat="1" applyFont="1" applyFill="1" applyBorder="1" applyAlignment="1">
      <alignment horizontal="center" vertical="center" wrapText="1"/>
    </xf>
    <xf numFmtId="0" fontId="19" fillId="0" borderId="1" xfId="0" applyFont="1" applyBorder="1" applyAlignment="1">
      <alignment horizontal="center" vertical="center"/>
    </xf>
    <xf numFmtId="0" fontId="21" fillId="0" borderId="1" xfId="0" applyFont="1" applyBorder="1" applyAlignment="1">
      <alignment horizontal="center" vertical="center" wrapText="1"/>
    </xf>
    <xf numFmtId="0" fontId="16" fillId="6" borderId="1" xfId="0" applyFont="1" applyFill="1" applyBorder="1" applyAlignment="1">
      <alignment horizontal="center" vertical="center"/>
    </xf>
    <xf numFmtId="0" fontId="16" fillId="6" borderId="1" xfId="0" applyFont="1" applyFill="1" applyBorder="1" applyAlignment="1">
      <alignment horizontal="center" vertical="center" shrinkToFit="1"/>
    </xf>
    <xf numFmtId="0" fontId="16" fillId="6" borderId="1" xfId="0" applyFont="1" applyFill="1" applyBorder="1">
      <alignment vertical="center"/>
    </xf>
    <xf numFmtId="178" fontId="16" fillId="6" borderId="1" xfId="0" applyNumberFormat="1" applyFont="1" applyFill="1" applyBorder="1" applyAlignment="1">
      <alignment horizontal="center" vertical="center"/>
    </xf>
    <xf numFmtId="180" fontId="16" fillId="6" borderId="1" xfId="2" applyNumberFormat="1" applyFont="1" applyFill="1" applyBorder="1" applyAlignment="1">
      <alignment horizontal="center" vertical="center"/>
    </xf>
    <xf numFmtId="0" fontId="16" fillId="0" borderId="1" xfId="0" applyFont="1" applyBorder="1" applyAlignment="1">
      <alignment horizontal="left" vertical="center" wrapText="1"/>
    </xf>
    <xf numFmtId="0" fontId="16" fillId="4" borderId="1" xfId="0" applyFont="1" applyFill="1" applyBorder="1" applyAlignment="1">
      <alignment horizontal="center" vertical="center" wrapText="1"/>
    </xf>
    <xf numFmtId="0" fontId="16" fillId="0" borderId="1" xfId="0" quotePrefix="1" applyFont="1" applyBorder="1" applyAlignment="1">
      <alignment horizontal="center" vertical="center" wrapText="1"/>
    </xf>
    <xf numFmtId="0" fontId="16" fillId="4" borderId="1" xfId="0" applyFont="1" applyFill="1" applyBorder="1" applyAlignment="1">
      <alignment horizontal="left" vertical="center"/>
    </xf>
    <xf numFmtId="0" fontId="16" fillId="5" borderId="1" xfId="0" applyFont="1" applyFill="1" applyBorder="1" applyAlignment="1">
      <alignment horizontal="left" vertical="center"/>
    </xf>
    <xf numFmtId="0" fontId="16" fillId="5" borderId="1" xfId="0" applyFont="1" applyFill="1" applyBorder="1" applyAlignment="1">
      <alignment horizontal="center" vertical="center" wrapText="1"/>
    </xf>
    <xf numFmtId="41" fontId="16" fillId="0" borderId="8" xfId="5" quotePrefix="1" applyFont="1" applyFill="1" applyBorder="1" applyAlignment="1">
      <alignment horizontal="center" vertical="center" wrapText="1"/>
    </xf>
    <xf numFmtId="3" fontId="16" fillId="0" borderId="1" xfId="0" applyNumberFormat="1" applyFont="1" applyBorder="1" applyAlignment="1">
      <alignment horizontal="center" vertical="center"/>
    </xf>
    <xf numFmtId="4" fontId="16" fillId="0" borderId="1" xfId="0" applyNumberFormat="1" applyFont="1" applyBorder="1" applyAlignment="1">
      <alignment horizontal="center" vertical="center"/>
    </xf>
    <xf numFmtId="38" fontId="16" fillId="0" borderId="1" xfId="6" applyNumberFormat="1" applyFont="1" applyBorder="1" applyAlignment="1">
      <alignment horizontal="center" vertical="center" shrinkToFit="1"/>
    </xf>
    <xf numFmtId="0" fontId="16" fillId="0" borderId="1" xfId="6" applyFont="1" applyBorder="1" applyAlignment="1">
      <alignment horizontal="center" vertical="center" shrinkToFit="1"/>
    </xf>
    <xf numFmtId="0" fontId="16" fillId="0" borderId="1" xfId="6" quotePrefix="1" applyFont="1" applyBorder="1" applyAlignment="1">
      <alignment horizontal="center" vertical="center" shrinkToFit="1"/>
    </xf>
    <xf numFmtId="38" fontId="16" fillId="4" borderId="1" xfId="6" applyNumberFormat="1" applyFont="1" applyFill="1" applyBorder="1" applyAlignment="1">
      <alignment horizontal="center" vertical="center" shrinkToFit="1"/>
    </xf>
    <xf numFmtId="0" fontId="16" fillId="4" borderId="1" xfId="6" applyFont="1" applyFill="1" applyBorder="1" applyAlignment="1">
      <alignment horizontal="center" vertical="center" shrinkToFit="1"/>
    </xf>
    <xf numFmtId="0" fontId="16" fillId="4" borderId="1" xfId="6" quotePrefix="1" applyFont="1" applyFill="1" applyBorder="1" applyAlignment="1">
      <alignment horizontal="center" vertical="center" shrinkToFit="1"/>
    </xf>
    <xf numFmtId="14" fontId="16" fillId="0" borderId="1" xfId="7" applyNumberFormat="1" applyFont="1" applyBorder="1" applyAlignment="1">
      <alignment horizontal="center" vertical="center" shrinkToFit="1"/>
    </xf>
    <xf numFmtId="0" fontId="16" fillId="0" borderId="1" xfId="0" applyFont="1" applyBorder="1" applyAlignment="1">
      <alignment horizontal="left" vertical="center" shrinkToFit="1"/>
    </xf>
    <xf numFmtId="178" fontId="18" fillId="5" borderId="1" xfId="0" applyNumberFormat="1" applyFont="1" applyFill="1" applyBorder="1" applyAlignment="1">
      <alignment horizontal="center" vertical="center"/>
    </xf>
    <xf numFmtId="180" fontId="6" fillId="4" borderId="1" xfId="2" applyNumberFormat="1" applyFont="1" applyFill="1" applyBorder="1" applyAlignment="1">
      <alignment horizontal="center" vertical="center"/>
    </xf>
    <xf numFmtId="0" fontId="16" fillId="4" borderId="1" xfId="0" applyFont="1" applyFill="1" applyBorder="1" applyAlignment="1">
      <alignment horizontal="left" vertical="center" wrapText="1"/>
    </xf>
    <xf numFmtId="176" fontId="16" fillId="4" borderId="1" xfId="5" applyNumberFormat="1" applyFont="1" applyFill="1" applyBorder="1" applyAlignment="1">
      <alignment horizontal="center" vertical="center"/>
    </xf>
    <xf numFmtId="0" fontId="16" fillId="0" borderId="9" xfId="0" applyFont="1" applyBorder="1" applyAlignment="1">
      <alignment horizontal="center" vertical="center"/>
    </xf>
    <xf numFmtId="14" fontId="16" fillId="0" borderId="1" xfId="0" applyNumberFormat="1" applyFont="1" applyBorder="1" applyAlignment="1">
      <alignment horizontal="center" vertical="center"/>
    </xf>
    <xf numFmtId="0" fontId="16" fillId="0" borderId="1" xfId="0" applyFont="1" applyBorder="1" applyAlignment="1">
      <alignment vertical="center" shrinkToFit="1"/>
    </xf>
    <xf numFmtId="14" fontId="6" fillId="0" borderId="1" xfId="0" applyNumberFormat="1" applyFont="1" applyBorder="1" applyAlignment="1">
      <alignment horizontal="center" vertical="center"/>
    </xf>
    <xf numFmtId="0" fontId="6" fillId="0" borderId="1" xfId="0" applyFont="1" applyBorder="1">
      <alignment vertical="center"/>
    </xf>
  </cellXfs>
  <cellStyles count="8">
    <cellStyle name="백분율" xfId="2" builtinId="5"/>
    <cellStyle name="쉼표 [0]" xfId="1" builtinId="6"/>
    <cellStyle name="쉼표 [0] 6" xfId="5" xr:uid="{ECC96D73-DBFF-4DAF-BACD-43CEC8C6C79E}"/>
    <cellStyle name="표준" xfId="0" builtinId="0"/>
    <cellStyle name="표준 6" xfId="6" xr:uid="{DBFDEF07-BEA9-4CF0-950C-A4322ADD33C9}"/>
    <cellStyle name="표준 7" xfId="4" xr:uid="{C30B9402-8FC7-4A19-A8B0-02E4946B9AB8}"/>
    <cellStyle name="표준_rfq_list_c&amp;i" xfId="7" xr:uid="{E25D3243-6FBA-48A5-8784-EF9E2896F0E7}"/>
    <cellStyle name="하이퍼링크" xfId="3"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5.xml.rels><?xml version="1.0" encoding="UTF-8" standalone="yes"?>
<Relationships xmlns="http://schemas.openxmlformats.org/package/2006/relationships"><Relationship Id="rId8" Type="http://schemas.openxmlformats.org/officeDocument/2006/relationships/hyperlink" Target="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TargetMode="External"/><Relationship Id="rId13" Type="http://schemas.openxmlformats.org/officeDocument/2006/relationships/hyperlink" Target="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TargetMode="External"/><Relationship Id="rId3"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7" Type="http://schemas.openxmlformats.org/officeDocument/2006/relationships/hyperlink" Target="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TargetMode="External"/><Relationship Id="rId12" Type="http://schemas.openxmlformats.org/officeDocument/2006/relationships/hyperlink" Target="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TargetMode="External"/><Relationship Id="rId2" Type="http://schemas.openxmlformats.org/officeDocument/2006/relationships/hyperlink" Target="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TargetMode="External"/><Relationship Id="rId16" Type="http://schemas.openxmlformats.org/officeDocument/2006/relationships/hyperlink" Target="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TargetMode="External"/><Relationship Id="rId1" Type="http://schemas.openxmlformats.org/officeDocument/2006/relationships/hyperlink" Target="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TargetMode="External"/><Relationship Id="rId6"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1" Type="http://schemas.openxmlformats.org/officeDocument/2006/relationships/hyperlink" Target="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TargetMode="External"/><Relationship Id="rId5" Type="http://schemas.openxmlformats.org/officeDocument/2006/relationships/hyperlink" Target="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TargetMode="External"/><Relationship Id="rId15" Type="http://schemas.openxmlformats.org/officeDocument/2006/relationships/hyperlink" Target="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TargetMode="External"/><Relationship Id="rId10" Type="http://schemas.openxmlformats.org/officeDocument/2006/relationships/hyperlink" Target="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TargetMode="External"/><Relationship Id="rId4" Type="http://schemas.openxmlformats.org/officeDocument/2006/relationships/hyperlink" Target="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TargetMode="External"/><Relationship Id="rId9" Type="http://schemas.openxmlformats.org/officeDocument/2006/relationships/hyperlink" Target="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TargetMode="External"/><Relationship Id="rId14" Type="http://schemas.openxmlformats.org/officeDocument/2006/relationships/hyperlink" Target="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35"/>
  <sheetViews>
    <sheetView workbookViewId="0"/>
  </sheetViews>
  <sheetFormatPr defaultRowHeight="16.5"/>
  <cols>
    <col min="1" max="1" width="118" customWidth="1"/>
  </cols>
  <sheetData>
    <row r="1" spans="1:1" ht="27.95" customHeight="1">
      <c r="A1" s="1" t="s">
        <v>0</v>
      </c>
    </row>
    <row r="3" spans="1:1" ht="17.25" customHeight="1">
      <c r="A3" s="2" t="s">
        <v>1</v>
      </c>
    </row>
    <row r="4" spans="1:1" ht="18" customHeight="1">
      <c r="A4" t="s">
        <v>2</v>
      </c>
    </row>
    <row r="5" spans="1:1" ht="18" customHeight="1">
      <c r="A5" t="s">
        <v>3</v>
      </c>
    </row>
    <row r="6" spans="1:1" ht="18" customHeight="1">
      <c r="A6" t="s">
        <v>4</v>
      </c>
    </row>
    <row r="7" spans="1:1" ht="18" customHeight="1">
      <c r="A7" t="s">
        <v>5</v>
      </c>
    </row>
    <row r="8" spans="1:1" ht="18" customHeight="1">
      <c r="A8" t="s">
        <v>6</v>
      </c>
    </row>
    <row r="10" spans="1:1" ht="17.25" customHeight="1">
      <c r="A10" s="2" t="s">
        <v>7</v>
      </c>
    </row>
    <row r="11" spans="1:1" ht="18" customHeight="1">
      <c r="A11" t="s">
        <v>8</v>
      </c>
    </row>
    <row r="12" spans="1:1" ht="18" customHeight="1">
      <c r="A12" t="s">
        <v>9</v>
      </c>
    </row>
    <row r="13" spans="1:1" ht="18" customHeight="1">
      <c r="A13" t="s">
        <v>10</v>
      </c>
    </row>
    <row r="14" spans="1:1" ht="18" customHeight="1">
      <c r="A14" t="s">
        <v>11</v>
      </c>
    </row>
    <row r="15" spans="1:1" ht="18" customHeight="1">
      <c r="A15" t="s">
        <v>12</v>
      </c>
    </row>
    <row r="16" spans="1:1" ht="18" customHeight="1">
      <c r="A16" t="s">
        <v>13</v>
      </c>
    </row>
    <row r="18" spans="1:1" ht="17.25" customHeight="1">
      <c r="A18" s="2" t="s">
        <v>14</v>
      </c>
    </row>
    <row r="19" spans="1:1" ht="18" customHeight="1">
      <c r="A19" t="s">
        <v>15</v>
      </c>
    </row>
    <row r="20" spans="1:1" ht="18" customHeight="1">
      <c r="A20" t="s">
        <v>16</v>
      </c>
    </row>
    <row r="21" spans="1:1" ht="18" customHeight="1">
      <c r="A21" t="s">
        <v>17</v>
      </c>
    </row>
    <row r="22" spans="1:1" ht="18" customHeight="1">
      <c r="A22" t="s">
        <v>18</v>
      </c>
    </row>
    <row r="23" spans="1:1" ht="18" customHeight="1">
      <c r="A23" t="s">
        <v>19</v>
      </c>
    </row>
    <row r="24" spans="1:1" ht="18" customHeight="1">
      <c r="A24" t="s">
        <v>20</v>
      </c>
    </row>
    <row r="25" spans="1:1" ht="18" customHeight="1">
      <c r="A25" t="s">
        <v>21</v>
      </c>
    </row>
    <row r="26" spans="1:1" ht="18" customHeight="1">
      <c r="A26" t="s">
        <v>22</v>
      </c>
    </row>
    <row r="28" spans="1:1" ht="17.25" customHeight="1">
      <c r="A28" s="2" t="s">
        <v>23</v>
      </c>
    </row>
    <row r="29" spans="1:1" ht="18" customHeight="1">
      <c r="A29" t="s">
        <v>24</v>
      </c>
    </row>
    <row r="30" spans="1:1" ht="18" customHeight="1">
      <c r="A30" t="s">
        <v>25</v>
      </c>
    </row>
    <row r="31" spans="1:1" ht="18" customHeight="1">
      <c r="A31" t="s">
        <v>26</v>
      </c>
    </row>
    <row r="33" spans="1:1" ht="17.25" customHeight="1">
      <c r="A33" s="2" t="s">
        <v>27</v>
      </c>
    </row>
    <row r="34" spans="1:1" ht="18" customHeight="1">
      <c r="A34" t="s">
        <v>28</v>
      </c>
    </row>
    <row r="35" spans="1:1" ht="18" customHeight="1">
      <c r="A35" t="s">
        <v>29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12"/>
  <sheetViews>
    <sheetView tabSelected="1" workbookViewId="0">
      <pane ySplit="1" topLeftCell="A2" activePane="bottomLeft" state="frozen"/>
      <selection pane="bottomLeft" activeCell="H2" sqref="H2"/>
    </sheetView>
  </sheetViews>
  <sheetFormatPr defaultRowHeight="16.5"/>
  <cols>
    <col min="1" max="1" width="16" customWidth="1"/>
    <col min="2" max="5" width="19.5" customWidth="1"/>
    <col min="6" max="9" width="16" customWidth="1"/>
    <col min="10" max="10" width="20.625" bestFit="1" customWidth="1"/>
    <col min="11" max="12" width="16" customWidth="1"/>
  </cols>
  <sheetData>
    <row r="1" spans="1:12" ht="26.1" customHeight="1">
      <c r="A1" s="3" t="s">
        <v>30</v>
      </c>
      <c r="B1" s="3" t="s">
        <v>31</v>
      </c>
      <c r="C1" s="3" t="s">
        <v>32</v>
      </c>
      <c r="D1" s="3" t="s">
        <v>33</v>
      </c>
      <c r="E1" s="3" t="s">
        <v>34</v>
      </c>
      <c r="F1" s="3" t="s">
        <v>35</v>
      </c>
      <c r="G1" s="3" t="s">
        <v>36</v>
      </c>
      <c r="H1" s="3" t="s">
        <v>2861</v>
      </c>
      <c r="I1" s="3" t="s">
        <v>37</v>
      </c>
      <c r="J1" s="3" t="s">
        <v>38</v>
      </c>
      <c r="K1" s="3" t="s">
        <v>39</v>
      </c>
      <c r="L1" s="3" t="s">
        <v>40</v>
      </c>
    </row>
    <row r="2" spans="1:12">
      <c r="A2" s="4" t="s">
        <v>120</v>
      </c>
      <c r="B2" s="5">
        <v>1484</v>
      </c>
      <c r="C2" s="5">
        <v>1484</v>
      </c>
      <c r="D2" s="5"/>
      <c r="E2" s="5"/>
      <c r="F2" s="4" t="s">
        <v>121</v>
      </c>
      <c r="G2" s="4" t="s">
        <v>122</v>
      </c>
      <c r="H2" s="4" t="s">
        <v>123</v>
      </c>
      <c r="I2" s="4" t="s">
        <v>123</v>
      </c>
      <c r="J2" s="4" t="s">
        <v>124</v>
      </c>
      <c r="K2" s="6">
        <v>1</v>
      </c>
      <c r="L2" s="4"/>
    </row>
    <row r="3" spans="1:12">
      <c r="A3" s="4" t="s">
        <v>125</v>
      </c>
      <c r="B3" s="5">
        <v>1318</v>
      </c>
      <c r="C3" s="5">
        <v>1354</v>
      </c>
      <c r="D3" s="5"/>
      <c r="E3" s="5"/>
      <c r="F3" s="4" t="s">
        <v>121</v>
      </c>
      <c r="G3" s="4" t="s">
        <v>126</v>
      </c>
      <c r="H3" s="4" t="s">
        <v>127</v>
      </c>
      <c r="I3" s="4" t="s">
        <v>128</v>
      </c>
      <c r="J3" s="4" t="s">
        <v>129</v>
      </c>
      <c r="K3" s="6">
        <v>0.99960000000000004</v>
      </c>
      <c r="L3" s="4"/>
    </row>
    <row r="4" spans="1:12">
      <c r="A4" s="4" t="s">
        <v>130</v>
      </c>
      <c r="B4" s="5">
        <v>1814</v>
      </c>
      <c r="C4" s="5">
        <v>3778</v>
      </c>
      <c r="D4" s="5"/>
      <c r="E4" s="5"/>
      <c r="F4" s="4" t="s">
        <v>131</v>
      </c>
      <c r="G4" s="4" t="s">
        <v>132</v>
      </c>
      <c r="H4" s="4" t="s">
        <v>133</v>
      </c>
      <c r="I4" s="4" t="s">
        <v>123</v>
      </c>
      <c r="J4" s="4" t="s">
        <v>124</v>
      </c>
      <c r="K4" s="6">
        <v>1</v>
      </c>
      <c r="L4" s="4"/>
    </row>
    <row r="5" spans="1:12">
      <c r="A5" s="4" t="s">
        <v>134</v>
      </c>
      <c r="B5" s="5"/>
      <c r="C5" s="5"/>
      <c r="D5" s="5">
        <v>2389100</v>
      </c>
      <c r="E5" s="5">
        <v>5436800</v>
      </c>
      <c r="F5" s="4" t="s">
        <v>135</v>
      </c>
      <c r="G5" s="4" t="s">
        <v>136</v>
      </c>
      <c r="H5" s="4" t="s">
        <v>137</v>
      </c>
      <c r="I5" s="4" t="s">
        <v>138</v>
      </c>
      <c r="J5" s="4" t="s">
        <v>129</v>
      </c>
      <c r="K5" s="6">
        <v>0.95689999999999997</v>
      </c>
      <c r="L5" s="4"/>
    </row>
    <row r="6" spans="1:12">
      <c r="A6" s="4" t="s">
        <v>139</v>
      </c>
      <c r="B6" s="5">
        <v>584</v>
      </c>
      <c r="C6" s="5">
        <v>730</v>
      </c>
      <c r="D6" s="5"/>
      <c r="E6" s="5"/>
      <c r="F6" s="4" t="s">
        <v>140</v>
      </c>
      <c r="G6" s="4" t="s">
        <v>141</v>
      </c>
      <c r="H6" s="4" t="s">
        <v>142</v>
      </c>
      <c r="I6" s="4" t="s">
        <v>143</v>
      </c>
      <c r="J6" s="4" t="s">
        <v>129</v>
      </c>
      <c r="K6" s="6">
        <v>0.58960000000000001</v>
      </c>
      <c r="L6" s="4"/>
    </row>
    <row r="7" spans="1:12">
      <c r="A7" s="4" t="s">
        <v>144</v>
      </c>
      <c r="B7" s="5">
        <v>952</v>
      </c>
      <c r="C7" s="5">
        <v>1178</v>
      </c>
      <c r="D7" s="5"/>
      <c r="E7" s="5"/>
      <c r="F7" s="4" t="s">
        <v>145</v>
      </c>
      <c r="G7" s="4" t="s">
        <v>146</v>
      </c>
      <c r="H7" s="4" t="s">
        <v>147</v>
      </c>
      <c r="I7" s="4" t="s">
        <v>143</v>
      </c>
      <c r="J7" s="4" t="s">
        <v>129</v>
      </c>
      <c r="K7" s="6">
        <v>0.98950000000000005</v>
      </c>
      <c r="L7" s="4"/>
    </row>
    <row r="8" spans="1:12">
      <c r="A8" s="4" t="s">
        <v>148</v>
      </c>
      <c r="B8" s="5">
        <v>2136</v>
      </c>
      <c r="C8" s="5">
        <v>2136</v>
      </c>
      <c r="D8" s="5"/>
      <c r="E8" s="5"/>
      <c r="F8" s="4" t="s">
        <v>149</v>
      </c>
      <c r="G8" s="4" t="s">
        <v>126</v>
      </c>
      <c r="H8" s="4" t="s">
        <v>150</v>
      </c>
      <c r="I8" s="4" t="s">
        <v>151</v>
      </c>
      <c r="J8" s="4" t="s">
        <v>129</v>
      </c>
      <c r="K8" s="6">
        <v>0.87280000000000002</v>
      </c>
      <c r="L8" s="4"/>
    </row>
    <row r="9" spans="1:12">
      <c r="A9" s="4" t="s">
        <v>152</v>
      </c>
      <c r="B9" s="5">
        <v>1184</v>
      </c>
      <c r="C9" s="5">
        <v>2369</v>
      </c>
      <c r="D9" s="5"/>
      <c r="E9" s="5"/>
      <c r="F9" s="4" t="s">
        <v>121</v>
      </c>
      <c r="G9" s="4" t="s">
        <v>126</v>
      </c>
      <c r="H9" s="4" t="s">
        <v>153</v>
      </c>
      <c r="I9" s="4" t="s">
        <v>154</v>
      </c>
      <c r="J9" s="4" t="s">
        <v>129</v>
      </c>
      <c r="K9" s="6">
        <v>0.70489999999999997</v>
      </c>
      <c r="L9" s="4"/>
    </row>
    <row r="10" spans="1:12">
      <c r="A10" s="4" t="s">
        <v>155</v>
      </c>
      <c r="B10" s="5">
        <v>3160</v>
      </c>
      <c r="C10" s="5">
        <v>3160</v>
      </c>
      <c r="D10" s="5"/>
      <c r="E10" s="5"/>
      <c r="F10" s="4" t="s">
        <v>156</v>
      </c>
      <c r="G10" s="4" t="s">
        <v>157</v>
      </c>
      <c r="H10" s="4" t="s">
        <v>158</v>
      </c>
      <c r="I10" s="4" t="s">
        <v>159</v>
      </c>
      <c r="J10" s="4" t="s">
        <v>129</v>
      </c>
      <c r="K10" s="6">
        <v>6.3E-2</v>
      </c>
      <c r="L10" s="4"/>
    </row>
    <row r="11" spans="1:12">
      <c r="A11" s="4" t="s">
        <v>160</v>
      </c>
      <c r="B11" s="5">
        <v>1600</v>
      </c>
      <c r="C11" s="5">
        <v>4000</v>
      </c>
      <c r="D11" s="5"/>
      <c r="E11" s="5"/>
      <c r="F11" s="4" t="s">
        <v>161</v>
      </c>
      <c r="G11" s="4" t="s">
        <v>162</v>
      </c>
      <c r="H11" s="4" t="s">
        <v>163</v>
      </c>
      <c r="I11" s="4" t="s">
        <v>164</v>
      </c>
      <c r="J11" s="4" t="s">
        <v>129</v>
      </c>
      <c r="K11" s="6">
        <v>0</v>
      </c>
      <c r="L11" s="4"/>
    </row>
    <row r="12" spans="1:12">
      <c r="A12" s="4" t="s">
        <v>165</v>
      </c>
      <c r="B12" s="5">
        <v>5800</v>
      </c>
      <c r="C12" s="5">
        <v>5800</v>
      </c>
      <c r="D12" s="5"/>
      <c r="E12" s="5"/>
      <c r="F12" s="4" t="s">
        <v>166</v>
      </c>
      <c r="G12" s="4" t="s">
        <v>167</v>
      </c>
      <c r="H12" s="4" t="s">
        <v>168</v>
      </c>
      <c r="I12" s="4" t="s">
        <v>164</v>
      </c>
      <c r="J12" s="4" t="s">
        <v>169</v>
      </c>
      <c r="K12" s="6">
        <v>0</v>
      </c>
      <c r="L12"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2"/>
  <sheetViews>
    <sheetView workbookViewId="0">
      <pane ySplit="1" topLeftCell="A2" activePane="bottomLeft" state="frozen"/>
      <selection pane="bottomLeft" activeCell="F17" sqref="F17"/>
    </sheetView>
  </sheetViews>
  <sheetFormatPr defaultRowHeight="16.5"/>
  <cols>
    <col min="1" max="9" width="16" customWidth="1"/>
    <col min="10" max="10" width="18" customWidth="1"/>
    <col min="11" max="11" width="17" customWidth="1"/>
    <col min="12" max="13" width="16" customWidth="1"/>
  </cols>
  <sheetData>
    <row r="1" spans="1:13" ht="26.1" customHeight="1">
      <c r="A1" s="3" t="s">
        <v>30</v>
      </c>
      <c r="B1" s="3" t="s">
        <v>41</v>
      </c>
      <c r="C1" s="3" t="s">
        <v>42</v>
      </c>
      <c r="D1" s="3" t="s">
        <v>43</v>
      </c>
      <c r="E1" s="3" t="s">
        <v>44</v>
      </c>
      <c r="F1" s="3" t="s">
        <v>45</v>
      </c>
      <c r="G1" s="3" t="s">
        <v>46</v>
      </c>
      <c r="H1" s="3" t="s">
        <v>47</v>
      </c>
      <c r="I1" s="3" t="s">
        <v>48</v>
      </c>
      <c r="J1" s="3" t="s">
        <v>49</v>
      </c>
      <c r="K1" s="3" t="s">
        <v>50</v>
      </c>
      <c r="L1" s="3" t="s">
        <v>51</v>
      </c>
      <c r="M1" s="3" t="s">
        <v>52</v>
      </c>
    </row>
    <row r="2" spans="1:13">
      <c r="A2" s="7" t="s">
        <v>120</v>
      </c>
      <c r="B2" s="7" t="s">
        <v>170</v>
      </c>
      <c r="C2" s="7" t="s">
        <v>170</v>
      </c>
      <c r="D2" s="7" t="s">
        <v>170</v>
      </c>
      <c r="E2" s="7" t="s">
        <v>170</v>
      </c>
      <c r="F2" s="7">
        <v>200</v>
      </c>
      <c r="G2" s="7">
        <v>200</v>
      </c>
      <c r="H2" s="7">
        <v>197</v>
      </c>
      <c r="I2" s="7">
        <v>197</v>
      </c>
      <c r="J2" s="7">
        <v>397</v>
      </c>
      <c r="K2" s="7">
        <v>397</v>
      </c>
      <c r="L2" s="7">
        <v>55</v>
      </c>
      <c r="M2" s="7">
        <v>55</v>
      </c>
    </row>
    <row r="3" spans="1:13">
      <c r="A3" s="7" t="s">
        <v>125</v>
      </c>
      <c r="B3" s="7" t="s">
        <v>170</v>
      </c>
      <c r="C3" s="7" t="s">
        <v>170</v>
      </c>
      <c r="D3" s="7" t="s">
        <v>170</v>
      </c>
      <c r="E3" s="7" t="s">
        <v>170</v>
      </c>
      <c r="F3" s="7">
        <v>150</v>
      </c>
      <c r="G3" s="7">
        <v>150</v>
      </c>
      <c r="H3" s="7">
        <v>167</v>
      </c>
      <c r="I3" s="7">
        <v>167</v>
      </c>
      <c r="J3" s="7">
        <v>351</v>
      </c>
      <c r="K3" s="7">
        <v>346</v>
      </c>
      <c r="L3" s="7">
        <v>74</v>
      </c>
      <c r="M3" s="7">
        <v>74</v>
      </c>
    </row>
    <row r="4" spans="1:13">
      <c r="A4" s="7" t="s">
        <v>130</v>
      </c>
      <c r="B4" s="7" t="s">
        <v>170</v>
      </c>
      <c r="C4" s="7" t="s">
        <v>170</v>
      </c>
      <c r="D4" s="7" t="s">
        <v>170</v>
      </c>
      <c r="E4" s="7" t="s">
        <v>170</v>
      </c>
      <c r="F4" s="7">
        <v>124</v>
      </c>
      <c r="G4" s="7">
        <v>124</v>
      </c>
      <c r="H4" s="7">
        <v>45</v>
      </c>
      <c r="I4" s="7">
        <v>45</v>
      </c>
      <c r="J4" s="7">
        <v>124</v>
      </c>
      <c r="K4" s="7">
        <v>124</v>
      </c>
      <c r="L4" s="7">
        <v>7</v>
      </c>
      <c r="M4" s="7">
        <v>7</v>
      </c>
    </row>
    <row r="5" spans="1:13">
      <c r="A5" s="7" t="s">
        <v>134</v>
      </c>
      <c r="B5" s="7" t="s">
        <v>170</v>
      </c>
      <c r="C5" s="7" t="s">
        <v>170</v>
      </c>
      <c r="D5" s="7" t="s">
        <v>170</v>
      </c>
      <c r="E5" s="7" t="s">
        <v>170</v>
      </c>
      <c r="F5" s="7">
        <v>24</v>
      </c>
      <c r="G5" s="7">
        <v>24</v>
      </c>
      <c r="H5" s="7">
        <v>17</v>
      </c>
      <c r="I5" s="7">
        <v>17</v>
      </c>
      <c r="J5" s="7">
        <v>40</v>
      </c>
      <c r="K5" s="7">
        <v>29</v>
      </c>
      <c r="L5" s="7">
        <v>15</v>
      </c>
      <c r="M5" s="7">
        <v>15</v>
      </c>
    </row>
    <row r="6" spans="1:13">
      <c r="A6" s="7" t="s">
        <v>139</v>
      </c>
      <c r="B6" s="7" t="s">
        <v>170</v>
      </c>
      <c r="C6" s="7" t="s">
        <v>170</v>
      </c>
      <c r="D6" s="7" t="s">
        <v>170</v>
      </c>
      <c r="E6" s="7" t="s">
        <v>170</v>
      </c>
      <c r="F6" s="7">
        <v>74</v>
      </c>
      <c r="G6" s="7">
        <v>74</v>
      </c>
      <c r="H6" s="7">
        <v>28</v>
      </c>
      <c r="I6" s="7">
        <v>28</v>
      </c>
      <c r="J6" s="7">
        <v>74</v>
      </c>
      <c r="K6" s="7">
        <v>52</v>
      </c>
      <c r="L6" s="7">
        <v>16</v>
      </c>
      <c r="M6" s="7">
        <v>16</v>
      </c>
    </row>
    <row r="7" spans="1:13">
      <c r="A7" s="7" t="s">
        <v>144</v>
      </c>
      <c r="B7" s="7" t="s">
        <v>170</v>
      </c>
      <c r="C7" s="7" t="s">
        <v>170</v>
      </c>
      <c r="D7" s="7" t="s">
        <v>170</v>
      </c>
      <c r="E7" s="7" t="s">
        <v>170</v>
      </c>
      <c r="F7" s="7">
        <v>96</v>
      </c>
      <c r="G7" s="7">
        <v>96</v>
      </c>
      <c r="H7" s="7">
        <v>37</v>
      </c>
      <c r="I7" s="7">
        <v>37</v>
      </c>
      <c r="J7" s="7">
        <v>96</v>
      </c>
      <c r="K7" s="7">
        <v>95</v>
      </c>
      <c r="L7" s="7">
        <v>9</v>
      </c>
      <c r="M7" s="7">
        <v>9</v>
      </c>
    </row>
    <row r="8" spans="1:13">
      <c r="A8" s="7" t="s">
        <v>148</v>
      </c>
      <c r="B8" s="7" t="s">
        <v>170</v>
      </c>
      <c r="C8" s="7" t="s">
        <v>170</v>
      </c>
      <c r="D8" s="7" t="s">
        <v>170</v>
      </c>
      <c r="E8" s="7" t="s">
        <v>170</v>
      </c>
      <c r="F8" s="7">
        <v>159</v>
      </c>
      <c r="G8" s="7">
        <v>159</v>
      </c>
      <c r="H8" s="7">
        <v>99</v>
      </c>
      <c r="I8" s="7">
        <v>97</v>
      </c>
      <c r="J8" s="7">
        <v>122</v>
      </c>
      <c r="K8" s="7">
        <v>54</v>
      </c>
      <c r="L8" s="7">
        <v>51</v>
      </c>
      <c r="M8" s="7">
        <v>42</v>
      </c>
    </row>
    <row r="9" spans="1:13">
      <c r="A9" s="7" t="s">
        <v>152</v>
      </c>
      <c r="B9" s="7" t="s">
        <v>170</v>
      </c>
      <c r="C9" s="7" t="s">
        <v>170</v>
      </c>
      <c r="D9" s="7" t="s">
        <v>170</v>
      </c>
      <c r="E9" s="7" t="s">
        <v>170</v>
      </c>
      <c r="F9" s="7">
        <v>93</v>
      </c>
      <c r="G9" s="7">
        <v>93</v>
      </c>
      <c r="H9" s="7">
        <v>62</v>
      </c>
      <c r="I9" s="7">
        <v>59</v>
      </c>
      <c r="J9" s="7">
        <v>89</v>
      </c>
      <c r="K9" s="7">
        <v>21</v>
      </c>
      <c r="L9" s="7">
        <v>7</v>
      </c>
      <c r="M9" s="7">
        <v>7</v>
      </c>
    </row>
    <row r="10" spans="1:13">
      <c r="A10" s="7" t="s">
        <v>155</v>
      </c>
      <c r="B10" s="7">
        <v>148</v>
      </c>
      <c r="C10" s="7">
        <v>68</v>
      </c>
      <c r="D10" s="7">
        <v>148</v>
      </c>
      <c r="E10" s="7">
        <v>2</v>
      </c>
      <c r="F10" s="7">
        <v>148</v>
      </c>
      <c r="G10" s="7">
        <v>1</v>
      </c>
      <c r="H10" s="7">
        <v>57</v>
      </c>
      <c r="I10" s="7">
        <v>0</v>
      </c>
      <c r="J10" s="7">
        <v>148</v>
      </c>
      <c r="K10" s="7">
        <v>0</v>
      </c>
      <c r="L10" s="7">
        <v>0</v>
      </c>
      <c r="M10" s="7">
        <v>0</v>
      </c>
    </row>
    <row r="11" spans="1:13">
      <c r="A11" s="7" t="s">
        <v>160</v>
      </c>
      <c r="B11" s="7">
        <v>30</v>
      </c>
      <c r="C11" s="7">
        <v>10</v>
      </c>
      <c r="D11" s="7">
        <v>30</v>
      </c>
      <c r="E11" s="7">
        <v>5</v>
      </c>
      <c r="F11" s="7">
        <v>30</v>
      </c>
      <c r="G11" s="7">
        <v>2</v>
      </c>
      <c r="H11" s="7">
        <v>17</v>
      </c>
      <c r="I11" s="7">
        <v>0</v>
      </c>
      <c r="J11" s="7">
        <v>30</v>
      </c>
      <c r="K11" s="7">
        <v>0</v>
      </c>
      <c r="L11" s="7">
        <v>0</v>
      </c>
      <c r="M11" s="7">
        <v>0</v>
      </c>
    </row>
    <row r="12" spans="1:13">
      <c r="A12" s="7" t="s">
        <v>165</v>
      </c>
      <c r="B12" s="7" t="s">
        <v>171</v>
      </c>
      <c r="C12" s="7" t="s">
        <v>171</v>
      </c>
      <c r="D12" s="7" t="s">
        <v>171</v>
      </c>
      <c r="E12" s="7" t="s">
        <v>171</v>
      </c>
      <c r="F12" s="7" t="s">
        <v>171</v>
      </c>
      <c r="G12" s="7" t="s">
        <v>171</v>
      </c>
      <c r="H12" s="7" t="s">
        <v>171</v>
      </c>
      <c r="I12" s="7" t="s">
        <v>171</v>
      </c>
      <c r="J12" s="7" t="s">
        <v>171</v>
      </c>
      <c r="K12" s="7" t="s">
        <v>171</v>
      </c>
      <c r="L12" s="7" t="s">
        <v>171</v>
      </c>
      <c r="M12" s="7" t="s">
        <v>171</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10"/>
  <sheetViews>
    <sheetView workbookViewId="0">
      <pane ySplit="1" topLeftCell="A2" activePane="bottomLeft" state="frozen"/>
      <selection pane="bottomLeft" activeCell="H5" sqref="H5"/>
    </sheetView>
  </sheetViews>
  <sheetFormatPr defaultRowHeight="16.5"/>
  <cols>
    <col min="1" max="1" width="14.375" bestFit="1" customWidth="1"/>
    <col min="2" max="2" width="16" customWidth="1"/>
    <col min="3" max="3" width="23.5" bestFit="1" customWidth="1"/>
    <col min="4" max="4" width="20.375" customWidth="1"/>
    <col min="5" max="5" width="16" customWidth="1"/>
    <col min="6" max="6" width="65.25" customWidth="1"/>
    <col min="7" max="9" width="16" customWidth="1"/>
  </cols>
  <sheetData>
    <row r="1" spans="1:9" ht="26.1" customHeight="1">
      <c r="A1" s="3" t="s">
        <v>53</v>
      </c>
      <c r="B1" s="3" t="s">
        <v>54</v>
      </c>
      <c r="C1" s="3" t="s">
        <v>55</v>
      </c>
      <c r="D1" s="3" t="s">
        <v>56</v>
      </c>
      <c r="E1" s="3" t="s">
        <v>57</v>
      </c>
      <c r="F1" s="3" t="s">
        <v>58</v>
      </c>
      <c r="G1" s="3" t="s">
        <v>59</v>
      </c>
      <c r="H1" s="3" t="s">
        <v>60</v>
      </c>
      <c r="I1" s="3" t="s">
        <v>61</v>
      </c>
    </row>
    <row r="2" spans="1:9">
      <c r="A2" s="7">
        <v>1</v>
      </c>
      <c r="B2" s="7" t="s">
        <v>148</v>
      </c>
      <c r="C2" s="8" t="s">
        <v>172</v>
      </c>
      <c r="D2" s="9" t="s">
        <v>173</v>
      </c>
      <c r="E2" s="9" t="s">
        <v>174</v>
      </c>
      <c r="F2" s="10" t="s">
        <v>175</v>
      </c>
      <c r="G2" s="11">
        <v>45898</v>
      </c>
      <c r="H2" s="12">
        <f ca="1">TODAY()-G2</f>
        <v>258</v>
      </c>
      <c r="I2" s="4"/>
    </row>
    <row r="3" spans="1:9">
      <c r="A3" s="7">
        <v>2</v>
      </c>
      <c r="B3" s="7" t="s">
        <v>148</v>
      </c>
      <c r="C3" s="8" t="s">
        <v>176</v>
      </c>
      <c r="D3" s="13" t="s">
        <v>177</v>
      </c>
      <c r="E3" s="13" t="s">
        <v>178</v>
      </c>
      <c r="F3" s="8" t="s">
        <v>179</v>
      </c>
      <c r="G3" s="11">
        <v>45963</v>
      </c>
      <c r="H3" s="12">
        <f t="shared" ref="H3:H10" ca="1" si="0">TODAY()-G3</f>
        <v>193</v>
      </c>
      <c r="I3" s="4"/>
    </row>
    <row r="4" spans="1:9">
      <c r="A4" s="7">
        <v>3</v>
      </c>
      <c r="B4" s="7" t="s">
        <v>148</v>
      </c>
      <c r="C4" s="8" t="s">
        <v>180</v>
      </c>
      <c r="D4" s="13" t="s">
        <v>181</v>
      </c>
      <c r="E4" s="13" t="s">
        <v>182</v>
      </c>
      <c r="F4" s="8" t="s">
        <v>179</v>
      </c>
      <c r="G4" s="11">
        <v>45968</v>
      </c>
      <c r="H4" s="12">
        <f t="shared" ca="1" si="0"/>
        <v>188</v>
      </c>
      <c r="I4" s="4"/>
    </row>
    <row r="5" spans="1:9">
      <c r="A5" s="7">
        <v>4</v>
      </c>
      <c r="B5" s="7" t="s">
        <v>148</v>
      </c>
      <c r="C5" s="8" t="s">
        <v>183</v>
      </c>
      <c r="D5" s="13" t="s">
        <v>184</v>
      </c>
      <c r="E5" s="13" t="s">
        <v>185</v>
      </c>
      <c r="F5" s="8" t="s">
        <v>179</v>
      </c>
      <c r="G5" s="11">
        <v>46010</v>
      </c>
      <c r="H5" s="12">
        <f t="shared" ca="1" si="0"/>
        <v>146</v>
      </c>
      <c r="I5" s="4"/>
    </row>
    <row r="6" spans="1:9">
      <c r="A6" s="7">
        <v>5</v>
      </c>
      <c r="B6" s="7" t="s">
        <v>148</v>
      </c>
      <c r="C6" s="8" t="s">
        <v>186</v>
      </c>
      <c r="D6" s="9" t="s">
        <v>173</v>
      </c>
      <c r="E6" s="14" t="s">
        <v>174</v>
      </c>
      <c r="F6" s="15" t="s">
        <v>187</v>
      </c>
      <c r="G6" s="11">
        <v>45995</v>
      </c>
      <c r="H6" s="12">
        <f t="shared" ca="1" si="0"/>
        <v>161</v>
      </c>
      <c r="I6" s="4"/>
    </row>
    <row r="7" spans="1:9">
      <c r="A7" s="7">
        <v>6</v>
      </c>
      <c r="B7" s="7" t="s">
        <v>148</v>
      </c>
      <c r="C7" s="8" t="s">
        <v>188</v>
      </c>
      <c r="D7" s="16" t="s">
        <v>189</v>
      </c>
      <c r="E7" s="14" t="s">
        <v>190</v>
      </c>
      <c r="F7" s="15" t="s">
        <v>187</v>
      </c>
      <c r="G7" s="11">
        <v>46042</v>
      </c>
      <c r="H7" s="12">
        <f t="shared" ca="1" si="0"/>
        <v>114</v>
      </c>
      <c r="I7" s="4"/>
    </row>
    <row r="8" spans="1:9">
      <c r="A8" s="7">
        <v>7</v>
      </c>
      <c r="B8" s="7" t="s">
        <v>148</v>
      </c>
      <c r="C8" s="8" t="s">
        <v>191</v>
      </c>
      <c r="D8" s="16" t="s">
        <v>192</v>
      </c>
      <c r="E8" s="17" t="s">
        <v>193</v>
      </c>
      <c r="F8" s="15" t="s">
        <v>187</v>
      </c>
      <c r="G8" s="18">
        <v>46107</v>
      </c>
      <c r="H8" s="12">
        <f t="shared" ca="1" si="0"/>
        <v>49</v>
      </c>
      <c r="I8" s="4"/>
    </row>
    <row r="9" spans="1:9">
      <c r="A9" s="7">
        <v>8</v>
      </c>
      <c r="B9" s="7" t="s">
        <v>148</v>
      </c>
      <c r="C9" s="8" t="s">
        <v>194</v>
      </c>
      <c r="D9" s="19" t="s">
        <v>189</v>
      </c>
      <c r="E9" s="14" t="s">
        <v>190</v>
      </c>
      <c r="F9" s="15" t="s">
        <v>187</v>
      </c>
      <c r="G9" s="11">
        <v>46087</v>
      </c>
      <c r="H9" s="12">
        <f t="shared" ca="1" si="0"/>
        <v>69</v>
      </c>
      <c r="I9" s="4"/>
    </row>
    <row r="10" spans="1:9">
      <c r="A10" s="7">
        <v>9</v>
      </c>
      <c r="B10" s="7" t="s">
        <v>148</v>
      </c>
      <c r="C10" s="8" t="s">
        <v>195</v>
      </c>
      <c r="D10" s="19" t="s">
        <v>196</v>
      </c>
      <c r="E10" s="19" t="s">
        <v>197</v>
      </c>
      <c r="F10" s="15" t="s">
        <v>198</v>
      </c>
      <c r="G10" s="11">
        <v>46120</v>
      </c>
      <c r="H10" s="12">
        <f t="shared" ca="1" si="0"/>
        <v>36</v>
      </c>
      <c r="I10" s="4"/>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17"/>
  <sheetViews>
    <sheetView zoomScale="40" zoomScaleNormal="40" workbookViewId="0">
      <pane ySplit="1" topLeftCell="A2" activePane="bottomLeft" state="frozen"/>
      <selection pane="bottomLeft" activeCell="V6" sqref="V6"/>
    </sheetView>
  </sheetViews>
  <sheetFormatPr defaultRowHeight="16.5"/>
  <cols>
    <col min="1" max="1" width="5.25" bestFit="1" customWidth="1"/>
    <col min="2" max="2" width="14.875" bestFit="1" customWidth="1"/>
    <col min="3" max="3" width="13.125" bestFit="1" customWidth="1"/>
    <col min="4" max="6" width="6.375" customWidth="1"/>
    <col min="7" max="8" width="7.75" customWidth="1"/>
    <col min="9" max="9" width="6" customWidth="1"/>
    <col min="10" max="11" width="8" customWidth="1"/>
    <col min="12" max="13" width="19.75" customWidth="1"/>
    <col min="14" max="14" width="28.375" customWidth="1"/>
    <col min="15" max="15" width="15.5" customWidth="1"/>
    <col min="16" max="16" width="29.375" customWidth="1"/>
    <col min="17" max="17" width="14.875" customWidth="1"/>
    <col min="18" max="18" width="9.625" customWidth="1"/>
    <col min="19" max="19" width="22" bestFit="1" customWidth="1"/>
    <col min="20" max="20" width="10.5" customWidth="1"/>
    <col min="21" max="21" width="35.5" customWidth="1"/>
    <col min="22" max="22" width="40.375" customWidth="1"/>
    <col min="23" max="24" width="60.25" customWidth="1"/>
  </cols>
  <sheetData>
    <row r="1" spans="1:24" ht="26.1" customHeight="1">
      <c r="A1" s="3" t="s">
        <v>62</v>
      </c>
      <c r="B1" s="3" t="s">
        <v>63</v>
      </c>
      <c r="C1" s="3" t="s">
        <v>64</v>
      </c>
      <c r="D1" s="3" t="s">
        <v>65</v>
      </c>
      <c r="E1" s="3" t="s">
        <v>66</v>
      </c>
      <c r="F1" s="3" t="s">
        <v>67</v>
      </c>
      <c r="G1" s="3" t="s">
        <v>68</v>
      </c>
      <c r="H1" s="3" t="s">
        <v>69</v>
      </c>
      <c r="I1" s="3" t="s">
        <v>70</v>
      </c>
      <c r="J1" s="3" t="s">
        <v>30</v>
      </c>
      <c r="K1" s="3" t="s">
        <v>71</v>
      </c>
      <c r="L1" s="3" t="s">
        <v>72</v>
      </c>
      <c r="M1" s="3" t="s">
        <v>73</v>
      </c>
      <c r="N1" s="3" t="s">
        <v>74</v>
      </c>
      <c r="O1" s="3" t="s">
        <v>75</v>
      </c>
      <c r="P1" s="3" t="s">
        <v>76</v>
      </c>
      <c r="Q1" s="3" t="s">
        <v>36</v>
      </c>
      <c r="R1" s="3" t="s">
        <v>77</v>
      </c>
      <c r="S1" s="3" t="s">
        <v>78</v>
      </c>
      <c r="T1" s="3" t="s">
        <v>79</v>
      </c>
      <c r="U1" s="3" t="s">
        <v>80</v>
      </c>
      <c r="V1" s="3" t="s">
        <v>81</v>
      </c>
      <c r="W1" s="3" t="s">
        <v>82</v>
      </c>
      <c r="X1" s="3" t="s">
        <v>83</v>
      </c>
    </row>
    <row r="2" spans="1:24" ht="132">
      <c r="A2" s="7">
        <f>ROW()-1</f>
        <v>1</v>
      </c>
      <c r="B2" s="20" t="s">
        <v>199</v>
      </c>
      <c r="C2" s="21">
        <v>45727</v>
      </c>
      <c r="D2" s="22">
        <v>2025</v>
      </c>
      <c r="E2" s="22">
        <v>3</v>
      </c>
      <c r="F2" s="22">
        <v>0</v>
      </c>
      <c r="G2" s="21" t="s">
        <v>200</v>
      </c>
      <c r="H2" s="21" t="s">
        <v>201</v>
      </c>
      <c r="I2" s="20" t="s">
        <v>202</v>
      </c>
      <c r="J2" s="20" t="s">
        <v>203</v>
      </c>
      <c r="K2" s="20" t="s">
        <v>204</v>
      </c>
      <c r="L2" s="23" t="s">
        <v>205</v>
      </c>
      <c r="M2" s="23" t="s">
        <v>205</v>
      </c>
      <c r="N2" s="24" t="s">
        <v>206</v>
      </c>
      <c r="O2" s="24" t="s">
        <v>207</v>
      </c>
      <c r="P2" s="25" t="s">
        <v>208</v>
      </c>
      <c r="Q2" s="24" t="s">
        <v>209</v>
      </c>
      <c r="R2" s="24" t="s">
        <v>210</v>
      </c>
      <c r="S2" s="24" t="s">
        <v>211</v>
      </c>
      <c r="T2" s="24" t="s">
        <v>57</v>
      </c>
      <c r="U2" s="26" t="s">
        <v>212</v>
      </c>
      <c r="V2" s="26" t="s">
        <v>213</v>
      </c>
      <c r="W2" s="26"/>
      <c r="X2" s="27" t="s">
        <v>214</v>
      </c>
    </row>
    <row r="3" spans="1:24" ht="132">
      <c r="A3" s="7">
        <f t="shared" ref="A3:A17" si="0">ROW()-1</f>
        <v>2</v>
      </c>
      <c r="B3" s="20" t="s">
        <v>215</v>
      </c>
      <c r="C3" s="21">
        <v>45765</v>
      </c>
      <c r="D3" s="22">
        <v>2025</v>
      </c>
      <c r="E3" s="22">
        <v>4</v>
      </c>
      <c r="F3" s="22">
        <v>0</v>
      </c>
      <c r="G3" s="20" t="s">
        <v>216</v>
      </c>
      <c r="H3" s="20" t="s">
        <v>201</v>
      </c>
      <c r="I3" s="20" t="s">
        <v>217</v>
      </c>
      <c r="J3" s="20" t="s">
        <v>218</v>
      </c>
      <c r="K3" s="20" t="s">
        <v>219</v>
      </c>
      <c r="L3" s="24" t="s">
        <v>220</v>
      </c>
      <c r="M3" s="23" t="s">
        <v>205</v>
      </c>
      <c r="N3" s="24" t="s">
        <v>221</v>
      </c>
      <c r="O3" s="24" t="s">
        <v>222</v>
      </c>
      <c r="P3" s="28" t="s">
        <v>223</v>
      </c>
      <c r="Q3" s="20" t="s">
        <v>224</v>
      </c>
      <c r="R3" s="20" t="s">
        <v>225</v>
      </c>
      <c r="S3" s="20" t="s">
        <v>226</v>
      </c>
      <c r="T3" s="20" t="s">
        <v>227</v>
      </c>
      <c r="U3" s="26" t="s">
        <v>228</v>
      </c>
      <c r="V3" s="26" t="s">
        <v>229</v>
      </c>
      <c r="W3" s="26"/>
      <c r="X3" s="27" t="s">
        <v>230</v>
      </c>
    </row>
    <row r="4" spans="1:24" ht="156">
      <c r="A4" s="7">
        <f t="shared" si="0"/>
        <v>3</v>
      </c>
      <c r="B4" s="20" t="s">
        <v>231</v>
      </c>
      <c r="C4" s="21">
        <v>45799</v>
      </c>
      <c r="D4" s="22">
        <v>2025</v>
      </c>
      <c r="E4" s="22">
        <v>5</v>
      </c>
      <c r="F4" s="22">
        <v>0</v>
      </c>
      <c r="G4" s="21" t="s">
        <v>200</v>
      </c>
      <c r="H4" s="20" t="s">
        <v>201</v>
      </c>
      <c r="I4" s="20" t="s">
        <v>232</v>
      </c>
      <c r="J4" s="20"/>
      <c r="K4" s="20"/>
      <c r="L4" s="20"/>
      <c r="M4" s="20"/>
      <c r="N4" s="20" t="s">
        <v>233</v>
      </c>
      <c r="O4" s="24" t="s">
        <v>234</v>
      </c>
      <c r="P4" s="28" t="s">
        <v>235</v>
      </c>
      <c r="Q4" s="20" t="s">
        <v>236</v>
      </c>
      <c r="R4" s="20"/>
      <c r="S4" s="20" t="s">
        <v>237</v>
      </c>
      <c r="T4" s="20" t="s">
        <v>57</v>
      </c>
      <c r="U4" s="26" t="s">
        <v>238</v>
      </c>
      <c r="V4" s="26" t="s">
        <v>239</v>
      </c>
      <c r="W4" s="26"/>
      <c r="X4" s="27" t="s">
        <v>240</v>
      </c>
    </row>
    <row r="5" spans="1:24" ht="132">
      <c r="A5" s="7">
        <f t="shared" si="0"/>
        <v>4</v>
      </c>
      <c r="B5" s="20" t="s">
        <v>241</v>
      </c>
      <c r="C5" s="21">
        <v>45835</v>
      </c>
      <c r="D5" s="22">
        <v>2025</v>
      </c>
      <c r="E5" s="22">
        <v>6</v>
      </c>
      <c r="F5" s="22">
        <v>0</v>
      </c>
      <c r="G5" s="20" t="s">
        <v>216</v>
      </c>
      <c r="H5" s="20" t="s">
        <v>201</v>
      </c>
      <c r="I5" s="20" t="s">
        <v>202</v>
      </c>
      <c r="J5" s="20"/>
      <c r="K5" s="20"/>
      <c r="L5" s="20"/>
      <c r="M5" s="20"/>
      <c r="N5" s="24" t="s">
        <v>242</v>
      </c>
      <c r="O5" s="24" t="s">
        <v>243</v>
      </c>
      <c r="P5" s="25" t="s">
        <v>244</v>
      </c>
      <c r="Q5" s="24" t="s">
        <v>245</v>
      </c>
      <c r="R5" s="20"/>
      <c r="S5" s="20" t="s">
        <v>246</v>
      </c>
      <c r="T5" s="20" t="s">
        <v>247</v>
      </c>
      <c r="U5" s="26" t="s">
        <v>248</v>
      </c>
      <c r="V5" s="26" t="s">
        <v>249</v>
      </c>
      <c r="W5" s="26"/>
      <c r="X5" s="27" t="s">
        <v>250</v>
      </c>
    </row>
    <row r="6" spans="1:24" ht="192">
      <c r="A6" s="7">
        <f t="shared" si="0"/>
        <v>5</v>
      </c>
      <c r="B6" s="20" t="s">
        <v>251</v>
      </c>
      <c r="C6" s="21">
        <v>45868</v>
      </c>
      <c r="D6" s="22">
        <v>2025</v>
      </c>
      <c r="E6" s="22">
        <v>7</v>
      </c>
      <c r="F6" s="22">
        <v>0</v>
      </c>
      <c r="G6" s="20" t="s">
        <v>252</v>
      </c>
      <c r="H6" s="20" t="s">
        <v>201</v>
      </c>
      <c r="I6" s="20" t="s">
        <v>232</v>
      </c>
      <c r="J6" s="20"/>
      <c r="K6" s="20"/>
      <c r="L6" s="20"/>
      <c r="M6" s="20"/>
      <c r="N6" s="24" t="s">
        <v>253</v>
      </c>
      <c r="O6" s="24" t="s">
        <v>254</v>
      </c>
      <c r="P6" s="28" t="s">
        <v>255</v>
      </c>
      <c r="Q6" s="20" t="s">
        <v>256</v>
      </c>
      <c r="R6" s="24" t="s">
        <v>257</v>
      </c>
      <c r="S6" s="20" t="s">
        <v>246</v>
      </c>
      <c r="T6" s="20" t="s">
        <v>247</v>
      </c>
      <c r="U6" s="26" t="s">
        <v>258</v>
      </c>
      <c r="V6" s="29" t="s">
        <v>259</v>
      </c>
      <c r="W6" s="26"/>
      <c r="X6" s="27" t="s">
        <v>260</v>
      </c>
    </row>
    <row r="7" spans="1:24" ht="132">
      <c r="A7" s="7">
        <f t="shared" si="0"/>
        <v>6</v>
      </c>
      <c r="B7" s="20" t="s">
        <v>261</v>
      </c>
      <c r="C7" s="21">
        <v>45898</v>
      </c>
      <c r="D7" s="22">
        <v>2025</v>
      </c>
      <c r="E7" s="22">
        <v>8</v>
      </c>
      <c r="F7" s="22">
        <v>0</v>
      </c>
      <c r="G7" s="20" t="s">
        <v>200</v>
      </c>
      <c r="H7" s="20" t="s">
        <v>201</v>
      </c>
      <c r="I7" s="20" t="s">
        <v>202</v>
      </c>
      <c r="J7" s="20"/>
      <c r="K7" s="20"/>
      <c r="L7" s="20"/>
      <c r="M7" s="20"/>
      <c r="N7" s="20" t="s">
        <v>262</v>
      </c>
      <c r="O7" s="24" t="s">
        <v>263</v>
      </c>
      <c r="P7" s="28" t="s">
        <v>264</v>
      </c>
      <c r="Q7" s="20" t="s">
        <v>265</v>
      </c>
      <c r="R7" s="20" t="s">
        <v>266</v>
      </c>
      <c r="S7" s="20" t="s">
        <v>246</v>
      </c>
      <c r="T7" s="20" t="s">
        <v>247</v>
      </c>
      <c r="U7" s="26" t="s">
        <v>267</v>
      </c>
      <c r="V7" s="26" t="s">
        <v>268</v>
      </c>
      <c r="W7" s="26"/>
      <c r="X7" s="27" t="s">
        <v>269</v>
      </c>
    </row>
    <row r="8" spans="1:24" ht="132">
      <c r="A8" s="7">
        <f t="shared" si="0"/>
        <v>7</v>
      </c>
      <c r="B8" s="20" t="s">
        <v>270</v>
      </c>
      <c r="C8" s="21">
        <v>45930</v>
      </c>
      <c r="D8" s="22">
        <v>2025</v>
      </c>
      <c r="E8" s="22">
        <v>9</v>
      </c>
      <c r="F8" s="22">
        <v>0</v>
      </c>
      <c r="G8" s="20" t="s">
        <v>200</v>
      </c>
      <c r="H8" s="20" t="s">
        <v>201</v>
      </c>
      <c r="I8" s="20" t="s">
        <v>271</v>
      </c>
      <c r="J8" s="20"/>
      <c r="K8" s="20"/>
      <c r="L8" s="20"/>
      <c r="M8" s="20"/>
      <c r="N8" s="20" t="s">
        <v>272</v>
      </c>
      <c r="O8" s="20" t="s">
        <v>273</v>
      </c>
      <c r="P8" s="28" t="s">
        <v>274</v>
      </c>
      <c r="Q8" s="20" t="s">
        <v>236</v>
      </c>
      <c r="R8" s="20"/>
      <c r="S8" s="20" t="s">
        <v>246</v>
      </c>
      <c r="T8" s="20" t="s">
        <v>247</v>
      </c>
      <c r="U8" s="26" t="s">
        <v>275</v>
      </c>
      <c r="V8" s="26" t="s">
        <v>276</v>
      </c>
      <c r="W8" s="26"/>
      <c r="X8" s="27" t="s">
        <v>277</v>
      </c>
    </row>
    <row r="9" spans="1:24" ht="132">
      <c r="A9" s="7">
        <f t="shared" si="0"/>
        <v>8</v>
      </c>
      <c r="B9" s="20" t="s">
        <v>278</v>
      </c>
      <c r="C9" s="21">
        <v>45958</v>
      </c>
      <c r="D9" s="22">
        <v>2025</v>
      </c>
      <c r="E9" s="22">
        <v>10</v>
      </c>
      <c r="F9" s="22">
        <v>0</v>
      </c>
      <c r="G9" s="20" t="s">
        <v>279</v>
      </c>
      <c r="H9" s="20" t="s">
        <v>201</v>
      </c>
      <c r="I9" s="20" t="s">
        <v>202</v>
      </c>
      <c r="J9" s="20"/>
      <c r="K9" s="20"/>
      <c r="L9" s="20"/>
      <c r="M9" s="20"/>
      <c r="N9" s="20" t="s">
        <v>280</v>
      </c>
      <c r="O9" s="20" t="s">
        <v>281</v>
      </c>
      <c r="P9" s="28" t="s">
        <v>282</v>
      </c>
      <c r="Q9" s="20" t="s">
        <v>283</v>
      </c>
      <c r="R9" s="20"/>
      <c r="S9" s="20" t="s">
        <v>246</v>
      </c>
      <c r="T9" s="20" t="s">
        <v>247</v>
      </c>
      <c r="U9" s="26" t="s">
        <v>284</v>
      </c>
      <c r="V9" s="26" t="s">
        <v>285</v>
      </c>
      <c r="W9" s="26"/>
      <c r="X9" s="27" t="s">
        <v>286</v>
      </c>
    </row>
    <row r="10" spans="1:24" ht="132">
      <c r="A10" s="7">
        <f t="shared" si="0"/>
        <v>9</v>
      </c>
      <c r="B10" s="20" t="s">
        <v>287</v>
      </c>
      <c r="C10" s="21">
        <v>45989</v>
      </c>
      <c r="D10" s="22">
        <v>2025</v>
      </c>
      <c r="E10" s="22">
        <v>11</v>
      </c>
      <c r="F10" s="22">
        <v>0</v>
      </c>
      <c r="G10" s="20" t="s">
        <v>252</v>
      </c>
      <c r="H10" s="20" t="s">
        <v>201</v>
      </c>
      <c r="I10" s="20" t="s">
        <v>271</v>
      </c>
      <c r="J10" s="20"/>
      <c r="K10" s="20"/>
      <c r="L10" s="20"/>
      <c r="M10" s="20"/>
      <c r="N10" s="24" t="s">
        <v>288</v>
      </c>
      <c r="O10" s="24" t="s">
        <v>289</v>
      </c>
      <c r="P10" s="25" t="s">
        <v>290</v>
      </c>
      <c r="Q10" s="20" t="s">
        <v>236</v>
      </c>
      <c r="R10" s="20"/>
      <c r="S10" s="20" t="s">
        <v>246</v>
      </c>
      <c r="T10" s="20" t="s">
        <v>247</v>
      </c>
      <c r="U10" s="29" t="s">
        <v>291</v>
      </c>
      <c r="V10" s="29" t="s">
        <v>292</v>
      </c>
      <c r="W10" s="26"/>
      <c r="X10" s="27" t="s">
        <v>293</v>
      </c>
    </row>
    <row r="11" spans="1:24" ht="132">
      <c r="A11" s="7">
        <f t="shared" si="0"/>
        <v>10</v>
      </c>
      <c r="B11" s="20" t="s">
        <v>294</v>
      </c>
      <c r="C11" s="21">
        <v>46021</v>
      </c>
      <c r="D11" s="22">
        <v>2025</v>
      </c>
      <c r="E11" s="22">
        <v>12</v>
      </c>
      <c r="F11" s="22">
        <v>1</v>
      </c>
      <c r="G11" s="20" t="s">
        <v>295</v>
      </c>
      <c r="H11" s="20" t="s">
        <v>201</v>
      </c>
      <c r="I11" s="20" t="s">
        <v>232</v>
      </c>
      <c r="J11" s="20"/>
      <c r="K11" s="20"/>
      <c r="L11" s="20"/>
      <c r="M11" s="20"/>
      <c r="N11" s="20" t="s">
        <v>296</v>
      </c>
      <c r="O11" s="20" t="s">
        <v>297</v>
      </c>
      <c r="P11" s="25" t="s">
        <v>298</v>
      </c>
      <c r="Q11" s="20" t="s">
        <v>299</v>
      </c>
      <c r="R11" s="20"/>
      <c r="S11" s="20" t="s">
        <v>246</v>
      </c>
      <c r="T11" s="20" t="s">
        <v>247</v>
      </c>
      <c r="U11" s="29" t="s">
        <v>300</v>
      </c>
      <c r="V11" s="29" t="s">
        <v>301</v>
      </c>
      <c r="W11" s="26"/>
      <c r="X11" s="27" t="s">
        <v>302</v>
      </c>
    </row>
    <row r="12" spans="1:24" ht="132">
      <c r="A12" s="7">
        <f t="shared" si="0"/>
        <v>11</v>
      </c>
      <c r="B12" s="20" t="s">
        <v>303</v>
      </c>
      <c r="C12" s="21">
        <v>46050</v>
      </c>
      <c r="D12" s="22">
        <v>2026</v>
      </c>
      <c r="E12" s="22">
        <v>1</v>
      </c>
      <c r="F12" s="22">
        <v>0</v>
      </c>
      <c r="G12" s="20" t="s">
        <v>304</v>
      </c>
      <c r="H12" s="20" t="s">
        <v>201</v>
      </c>
      <c r="I12" s="20" t="s">
        <v>232</v>
      </c>
      <c r="J12" s="20"/>
      <c r="K12" s="20"/>
      <c r="L12" s="20"/>
      <c r="M12" s="20"/>
      <c r="N12" s="20" t="s">
        <v>305</v>
      </c>
      <c r="O12" s="20" t="s">
        <v>306</v>
      </c>
      <c r="P12" s="28" t="s">
        <v>307</v>
      </c>
      <c r="Q12" s="20" t="s">
        <v>308</v>
      </c>
      <c r="R12" s="20"/>
      <c r="S12" s="20" t="s">
        <v>309</v>
      </c>
      <c r="T12" s="20" t="s">
        <v>57</v>
      </c>
      <c r="U12" s="26" t="s">
        <v>310</v>
      </c>
      <c r="V12" s="29" t="s">
        <v>311</v>
      </c>
      <c r="W12" s="29" t="s">
        <v>312</v>
      </c>
      <c r="X12" s="30" t="s">
        <v>313</v>
      </c>
    </row>
    <row r="13" spans="1:24" ht="132">
      <c r="A13" s="7">
        <f t="shared" si="0"/>
        <v>12</v>
      </c>
      <c r="B13" s="20" t="s">
        <v>303</v>
      </c>
      <c r="C13" s="21">
        <v>46050</v>
      </c>
      <c r="D13" s="22">
        <v>2026</v>
      </c>
      <c r="E13" s="22">
        <v>1</v>
      </c>
      <c r="F13" s="22">
        <v>0</v>
      </c>
      <c r="G13" s="20" t="s">
        <v>314</v>
      </c>
      <c r="H13" s="20" t="s">
        <v>201</v>
      </c>
      <c r="I13" s="20" t="s">
        <v>271</v>
      </c>
      <c r="J13" s="20"/>
      <c r="K13" s="20"/>
      <c r="L13" s="20"/>
      <c r="M13" s="20"/>
      <c r="N13" s="20" t="s">
        <v>305</v>
      </c>
      <c r="O13" s="24" t="s">
        <v>315</v>
      </c>
      <c r="P13" s="28" t="s">
        <v>185</v>
      </c>
      <c r="Q13" s="20" t="s">
        <v>316</v>
      </c>
      <c r="R13" s="20"/>
      <c r="S13" s="20" t="s">
        <v>309</v>
      </c>
      <c r="T13" s="20" t="s">
        <v>57</v>
      </c>
      <c r="U13" s="26" t="s">
        <v>310</v>
      </c>
      <c r="V13" s="29" t="s">
        <v>311</v>
      </c>
      <c r="W13" s="29" t="s">
        <v>312</v>
      </c>
      <c r="X13" s="30" t="s">
        <v>313</v>
      </c>
    </row>
    <row r="14" spans="1:24" ht="132">
      <c r="A14" s="7">
        <f t="shared" si="0"/>
        <v>13</v>
      </c>
      <c r="B14" s="20" t="s">
        <v>317</v>
      </c>
      <c r="C14" s="21">
        <v>46078</v>
      </c>
      <c r="D14" s="22">
        <v>2026</v>
      </c>
      <c r="E14" s="22">
        <v>2</v>
      </c>
      <c r="F14" s="22">
        <v>0</v>
      </c>
      <c r="G14" s="20" t="s">
        <v>216</v>
      </c>
      <c r="H14" s="20" t="s">
        <v>201</v>
      </c>
      <c r="I14" s="20" t="s">
        <v>217</v>
      </c>
      <c r="J14" s="20"/>
      <c r="K14" s="20"/>
      <c r="L14" s="20"/>
      <c r="M14" s="20"/>
      <c r="N14" s="24" t="s">
        <v>318</v>
      </c>
      <c r="O14" s="20" t="s">
        <v>319</v>
      </c>
      <c r="P14" s="28" t="s">
        <v>320</v>
      </c>
      <c r="Q14" s="20" t="s">
        <v>321</v>
      </c>
      <c r="R14" s="20"/>
      <c r="S14" s="20" t="s">
        <v>322</v>
      </c>
      <c r="T14" s="20" t="s">
        <v>57</v>
      </c>
      <c r="U14" s="26" t="s">
        <v>323</v>
      </c>
      <c r="V14" s="29" t="s">
        <v>324</v>
      </c>
      <c r="W14" s="29" t="s">
        <v>325</v>
      </c>
      <c r="X14" s="30" t="s">
        <v>326</v>
      </c>
    </row>
    <row r="15" spans="1:24" ht="132">
      <c r="A15" s="7">
        <f t="shared" si="0"/>
        <v>14</v>
      </c>
      <c r="B15" s="20" t="s">
        <v>317</v>
      </c>
      <c r="C15" s="21">
        <v>46078</v>
      </c>
      <c r="D15" s="22">
        <v>2026</v>
      </c>
      <c r="E15" s="22">
        <v>2</v>
      </c>
      <c r="F15" s="22">
        <v>0</v>
      </c>
      <c r="G15" s="20" t="s">
        <v>216</v>
      </c>
      <c r="H15" s="20" t="s">
        <v>201</v>
      </c>
      <c r="I15" s="20" t="s">
        <v>217</v>
      </c>
      <c r="J15" s="20"/>
      <c r="K15" s="20"/>
      <c r="L15" s="20"/>
      <c r="M15" s="20"/>
      <c r="N15" s="24" t="s">
        <v>327</v>
      </c>
      <c r="O15" s="20" t="s">
        <v>319</v>
      </c>
      <c r="P15" s="28" t="s">
        <v>328</v>
      </c>
      <c r="Q15" s="20" t="s">
        <v>316</v>
      </c>
      <c r="R15" s="20"/>
      <c r="S15" s="20" t="s">
        <v>246</v>
      </c>
      <c r="T15" s="20" t="s">
        <v>247</v>
      </c>
      <c r="U15" s="26" t="s">
        <v>323</v>
      </c>
      <c r="V15" s="29" t="s">
        <v>329</v>
      </c>
      <c r="W15" s="29" t="s">
        <v>330</v>
      </c>
      <c r="X15" s="30" t="s">
        <v>326</v>
      </c>
    </row>
    <row r="16" spans="1:24" ht="144">
      <c r="A16" s="7">
        <f t="shared" si="0"/>
        <v>15</v>
      </c>
      <c r="B16" s="20" t="s">
        <v>331</v>
      </c>
      <c r="C16" s="21">
        <v>46104</v>
      </c>
      <c r="D16" s="22">
        <v>2026</v>
      </c>
      <c r="E16" s="22">
        <v>3</v>
      </c>
      <c r="F16" s="22">
        <v>0</v>
      </c>
      <c r="G16" s="20" t="s">
        <v>279</v>
      </c>
      <c r="H16" s="20" t="s">
        <v>201</v>
      </c>
      <c r="I16" s="20" t="s">
        <v>202</v>
      </c>
      <c r="J16" s="20"/>
      <c r="K16" s="20"/>
      <c r="L16" s="20"/>
      <c r="M16" s="20"/>
      <c r="N16" s="24" t="s">
        <v>332</v>
      </c>
      <c r="O16" s="24" t="s">
        <v>333</v>
      </c>
      <c r="P16" s="28" t="s">
        <v>334</v>
      </c>
      <c r="Q16" s="20" t="s">
        <v>265</v>
      </c>
      <c r="R16" s="20"/>
      <c r="S16" s="20" t="s">
        <v>246</v>
      </c>
      <c r="T16" s="20" t="s">
        <v>247</v>
      </c>
      <c r="U16" s="26" t="s">
        <v>335</v>
      </c>
      <c r="V16" s="26" t="s">
        <v>336</v>
      </c>
      <c r="W16" s="26" t="s">
        <v>337</v>
      </c>
      <c r="X16" s="27" t="s">
        <v>338</v>
      </c>
    </row>
    <row r="17" spans="1:24" ht="144">
      <c r="A17" s="7">
        <f t="shared" si="0"/>
        <v>16</v>
      </c>
      <c r="B17" s="20" t="s">
        <v>339</v>
      </c>
      <c r="C17" s="21">
        <v>46132</v>
      </c>
      <c r="D17" s="22">
        <v>2026</v>
      </c>
      <c r="E17" s="22">
        <v>4</v>
      </c>
      <c r="F17" s="22">
        <v>0</v>
      </c>
      <c r="G17" s="20" t="s">
        <v>295</v>
      </c>
      <c r="H17" s="20" t="s">
        <v>201</v>
      </c>
      <c r="I17" s="20" t="s">
        <v>340</v>
      </c>
      <c r="J17" s="20"/>
      <c r="K17" s="20"/>
      <c r="L17" s="20"/>
      <c r="M17" s="20"/>
      <c r="N17" s="20" t="s">
        <v>341</v>
      </c>
      <c r="O17" s="20" t="s">
        <v>342</v>
      </c>
      <c r="P17" s="28" t="s">
        <v>343</v>
      </c>
      <c r="Q17" s="20" t="s">
        <v>344</v>
      </c>
      <c r="R17" s="20"/>
      <c r="S17" s="20" t="s">
        <v>246</v>
      </c>
      <c r="T17" s="20" t="s">
        <v>247</v>
      </c>
      <c r="U17" s="31" t="s">
        <v>345</v>
      </c>
      <c r="V17" s="26" t="s">
        <v>346</v>
      </c>
      <c r="W17" s="26" t="s">
        <v>347</v>
      </c>
      <c r="X17" s="27" t="s">
        <v>348</v>
      </c>
    </row>
  </sheetData>
  <phoneticPr fontId="4" type="noConversion"/>
  <hyperlinks>
    <hyperlink ref="X17" r:id="rId1" display="https://teams.microsoft.com/l/message/19:KlEVjYWGS-QmxCKqE5H4Ofn-AvSWTK6hz_ErP7aUdvg1@thread.tacv2/1776662000956?tenantId=5fcb0def-a698-40ce-a73a-ea61130c13c6&amp;groupId=80bfa3ae-81fa-4e4e-ba65-7b9c876b82d8&amp;parentMessageId=1776662000956&amp;teamName=P-Quality%20Alert%20Notice%20(PQAN)&amp;channelName=PQAN%20Library&amp;createdTime=1776662000956" xr:uid="{BE15C4E6-A632-41CD-B26E-F151D147EA8C}"/>
    <hyperlink ref="X16" r:id="rId2" display="https://teams.microsoft.com/l/message/19:KlEVjYWGS-QmxCKqE5H4Ofn-AvSWTK6hz_ErP7aUdvg1@thread.tacv2/1774231397159?tenantId=5fcb0def-a698-40ce-a73a-ea61130c13c6&amp;groupId=80bfa3ae-81fa-4e4e-ba65-7b9c876b82d8&amp;parentMessageId=1774231397159&amp;teamName=P-Quality%20Alert%20Notice%20(PQAN)&amp;channelName=PQAN%20Library&amp;createdTime=1774231397159" xr:uid="{7E409B73-6551-44BC-9037-51561D8B1891}"/>
    <hyperlink ref="X14" r:id="rId3"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A7C3FBCE-4006-4945-AA3A-EA9865E1280D}"/>
    <hyperlink ref="X15" r:id="rId4" display="https://teams.microsoft.com/l/message/19:KlEVjYWGS-QmxCKqE5H4Ofn-AvSWTK6hz_ErP7aUdvg1@thread.tacv2/1771985386124?tenantId=5fcb0def-a698-40ce-a73a-ea61130c13c6&amp;groupId=80bfa3ae-81fa-4e4e-ba65-7b9c876b82d8&amp;parentMessageId=1771985386124&amp;teamName=P-Quality%20Alert%20Notice%20(PQAN)&amp;channelName=PQAN%20Library&amp;createdTime=1771985386124" xr:uid="{33A85A31-EA11-48B0-BE98-3D447696D2A8}"/>
    <hyperlink ref="X12" r:id="rId5"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6444189-2D19-4263-AA58-4E57FAD1EBDF}"/>
    <hyperlink ref="X13" r:id="rId6" display="https://teams.microsoft.com/l/message/19:KlEVjYWGS-QmxCKqE5H4Ofn-AvSWTK6hz_ErP7aUdvg1@thread.tacv2/1770612649076?tenantId=5fcb0def-a698-40ce-a73a-ea61130c13c6&amp;groupId=80bfa3ae-81fa-4e4e-ba65-7b9c876b82d8&amp;parentMessageId=1770612649076&amp;teamName=P-Quality%20Alert%20Notice%20(PQAN)&amp;channelName=PQAN%20Library&amp;createdTime=1770612649076" xr:uid="{0103F036-220A-475D-91DF-E08D21E20A4D}"/>
    <hyperlink ref="X11" r:id="rId7" display="https://teams.microsoft.com/l/message/19:KlEVjYWGS-QmxCKqE5H4Ofn-AvSWTK6hz_ErP7aUdvg1@thread.tacv2/1770612400616?tenantId=5fcb0def-a698-40ce-a73a-ea61130c13c6&amp;groupId=80bfa3ae-81fa-4e4e-ba65-7b9c876b82d8&amp;parentMessageId=1770612400616&amp;teamName=P-Quality%20Alert%20Notice%20(PQAN)&amp;channelName=PQAN%20Library&amp;createdTime=1770612400616" xr:uid="{F69B12AC-8752-4F7D-91BF-1791018C5CD5}"/>
    <hyperlink ref="X10" r:id="rId8" display="https://teams.microsoft.com/l/message/19:KlEVjYWGS-QmxCKqE5H4Ofn-AvSWTK6hz_ErP7aUdvg1@thread.tacv2/1770612284366?tenantId=5fcb0def-a698-40ce-a73a-ea61130c13c6&amp;groupId=80bfa3ae-81fa-4e4e-ba65-7b9c876b82d8&amp;parentMessageId=1770612284366&amp;teamName=P-Quality%20Alert%20Notice%20(PQAN)&amp;channelName=PQAN%20Library&amp;createdTime=1770612284366" xr:uid="{0F33F86F-32A4-4426-B1E4-0A822FF9F2B3}"/>
    <hyperlink ref="X9" r:id="rId9" display="https://teams.microsoft.com/l/message/19:KlEVjYWGS-QmxCKqE5H4Ofn-AvSWTK6hz_ErP7aUdvg1@thread.tacv2/1770612202349?tenantId=5fcb0def-a698-40ce-a73a-ea61130c13c6&amp;groupId=80bfa3ae-81fa-4e4e-ba65-7b9c876b82d8&amp;parentMessageId=1770612202349&amp;teamName=P-Quality%20Alert%20Notice%20(PQAN)&amp;channelName=PQAN%20Library&amp;createdTime=1770612202349" xr:uid="{AD7DDB5F-C837-4F7D-A3E1-3E7A082F2E2D}"/>
    <hyperlink ref="X8" r:id="rId10" display="https://teams.microsoft.com/l/message/19:KlEVjYWGS-QmxCKqE5H4Ofn-AvSWTK6hz_ErP7aUdvg1@thread.tacv2/1770612108827?tenantId=5fcb0def-a698-40ce-a73a-ea61130c13c6&amp;groupId=80bfa3ae-81fa-4e4e-ba65-7b9c876b82d8&amp;parentMessageId=1770612108827&amp;teamName=P-Quality%20Alert%20Notice%20(PQAN)&amp;channelName=PQAN%20Library&amp;createdTime=1770612108827" xr:uid="{473D81DF-37F9-4AF8-BAA2-2D8FF3235177}"/>
    <hyperlink ref="X7" r:id="rId11" display="https://teams.microsoft.com/l/message/19:KlEVjYWGS-QmxCKqE5H4Ofn-AvSWTK6hz_ErP7aUdvg1@thread.tacv2/1770611919162?tenantId=5fcb0def-a698-40ce-a73a-ea61130c13c6&amp;groupId=80bfa3ae-81fa-4e4e-ba65-7b9c876b82d8&amp;parentMessageId=1770611919162&amp;teamName=P-Quality%20Alert%20Notice%20(PQAN)&amp;channelName=PQAN%20Library&amp;createdTime=1770611919162" xr:uid="{9E5CDC53-4345-4943-87B7-5CE6EDC24605}"/>
    <hyperlink ref="X6" r:id="rId12" display="https://teams.microsoft.com/l/message/19:KlEVjYWGS-QmxCKqE5H4Ofn-AvSWTK6hz_ErP7aUdvg1@thread.tacv2/1770611467271?tenantId=5fcb0def-a698-40ce-a73a-ea61130c13c6&amp;groupId=80bfa3ae-81fa-4e4e-ba65-7b9c876b82d8&amp;parentMessageId=1770611467271&amp;teamName=P-Quality%20Alert%20Notice%20(PQAN)&amp;channelName=PQAN%20Library&amp;createdTime=1770611467271" xr:uid="{84B90EF3-5C2F-40FC-8855-016C1280163C}"/>
    <hyperlink ref="X5" r:id="rId13" display="https://teams.microsoft.com/l/message/19:KlEVjYWGS-QmxCKqE5H4Ofn-AvSWTK6hz_ErP7aUdvg1@thread.tacv2/1770611363619?tenantId=5fcb0def-a698-40ce-a73a-ea61130c13c6&amp;groupId=80bfa3ae-81fa-4e4e-ba65-7b9c876b82d8&amp;parentMessageId=1770611363619&amp;teamName=P-Quality%20Alert%20Notice%20(PQAN)&amp;channelName=PQAN%20Library&amp;createdTime=1770611363619" xr:uid="{577D5EA7-D5A3-42F5-A278-42C07A7400B0}"/>
    <hyperlink ref="X4" r:id="rId14" display="https://teams.microsoft.com/l/message/19:KlEVjYWGS-QmxCKqE5H4Ofn-AvSWTK6hz_ErP7aUdvg1@thread.tacv2/1770611127739?tenantId=5fcb0def-a698-40ce-a73a-ea61130c13c6&amp;groupId=80bfa3ae-81fa-4e4e-ba65-7b9c876b82d8&amp;parentMessageId=1770611127739&amp;teamName=P-Quality%20Alert%20Notice%20(PQAN)&amp;channelName=PQAN%20Library&amp;createdTime=1770611127739" xr:uid="{27A1D9A9-8C3C-4083-A502-25F628BD4F7C}"/>
    <hyperlink ref="X3" r:id="rId15" display="https://teams.microsoft.com/l/message/19:KlEVjYWGS-QmxCKqE5H4Ofn-AvSWTK6hz_ErP7aUdvg1@thread.tacv2/1770611042032?tenantId=5fcb0def-a698-40ce-a73a-ea61130c13c6&amp;groupId=80bfa3ae-81fa-4e4e-ba65-7b9c876b82d8&amp;parentMessageId=1770611042032&amp;teamName=P-Quality%20Alert%20Notice%20(PQAN)&amp;channelName=PQAN%20Library&amp;createdTime=1770611042032" xr:uid="{84171880-8FAD-4887-BCCB-102FAADA3A77}"/>
    <hyperlink ref="X2" r:id="rId16" display="https://teams.microsoft.com/l/message/19:KlEVjYWGS-QmxCKqE5H4Ofn-AvSWTK6hz_ErP7aUdvg1@thread.tacv2/1770610954279?tenantId=5fcb0def-a698-40ce-a73a-ea61130c13c6&amp;groupId=80bfa3ae-81fa-4e4e-ba65-7b9c876b82d8&amp;parentMessageId=1770610954279&amp;teamName=P-Quality%20Alert%20Notice%20(PQAN)&amp;channelName=PQAN%20Library&amp;createdTime=1770610954279" xr:uid="{FF6CFADF-0320-4510-9F4F-B52DDF4D29D5}"/>
  </hyperlink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8"/>
  <sheetViews>
    <sheetView workbookViewId="0">
      <pane ySplit="1" topLeftCell="A2" activePane="bottomLeft" state="frozen"/>
      <selection pane="bottomLeft" activeCell="E7" sqref="E7"/>
    </sheetView>
  </sheetViews>
  <sheetFormatPr defaultRowHeight="16.5"/>
  <cols>
    <col min="1" max="1" width="8" customWidth="1"/>
    <col min="2" max="2" width="16" customWidth="1"/>
    <col min="3" max="7" width="18.25" customWidth="1"/>
  </cols>
  <sheetData>
    <row r="1" spans="1:7" ht="26.1" customHeight="1">
      <c r="A1" s="3" t="s">
        <v>62</v>
      </c>
      <c r="B1" s="3" t="s">
        <v>84</v>
      </c>
      <c r="C1" s="3" t="s">
        <v>85</v>
      </c>
      <c r="D1" s="3" t="s">
        <v>2850</v>
      </c>
      <c r="E1" s="3" t="s">
        <v>2851</v>
      </c>
      <c r="F1" s="3" t="s">
        <v>86</v>
      </c>
      <c r="G1" s="3" t="s">
        <v>2852</v>
      </c>
    </row>
    <row r="2" spans="1:7">
      <c r="A2" s="4">
        <f t="shared" ref="A2:A28" si="0">ROW()-1</f>
        <v>1</v>
      </c>
      <c r="B2" s="5" t="s">
        <v>349</v>
      </c>
      <c r="C2" s="32">
        <v>71</v>
      </c>
      <c r="D2" s="33">
        <f ca="1">RANDBETWEEN(60,100)</f>
        <v>77</v>
      </c>
      <c r="E2" s="33">
        <f t="shared" ref="E2:G28" ca="1" si="1">RANDBETWEEN(60,100)</f>
        <v>92</v>
      </c>
      <c r="F2" s="33" t="s">
        <v>350</v>
      </c>
      <c r="G2" s="33">
        <f t="shared" ca="1" si="1"/>
        <v>80</v>
      </c>
    </row>
    <row r="3" spans="1:7">
      <c r="A3" s="4">
        <f t="shared" si="0"/>
        <v>2</v>
      </c>
      <c r="B3" s="5" t="s">
        <v>351</v>
      </c>
      <c r="C3" s="32">
        <v>85</v>
      </c>
      <c r="D3" s="33">
        <f t="shared" ref="D3:D28" ca="1" si="2">RANDBETWEEN(60,100)</f>
        <v>88</v>
      </c>
      <c r="E3" s="33">
        <f t="shared" ca="1" si="1"/>
        <v>71</v>
      </c>
      <c r="F3" s="33">
        <v>93.3</v>
      </c>
      <c r="G3" s="33">
        <f t="shared" ca="1" si="1"/>
        <v>80</v>
      </c>
    </row>
    <row r="4" spans="1:7">
      <c r="A4" s="4">
        <f t="shared" si="0"/>
        <v>3</v>
      </c>
      <c r="B4" s="5" t="s">
        <v>352</v>
      </c>
      <c r="C4" s="32">
        <v>100</v>
      </c>
      <c r="D4" s="33">
        <f t="shared" ca="1" si="2"/>
        <v>76</v>
      </c>
      <c r="E4" s="33">
        <f t="shared" ca="1" si="1"/>
        <v>93</v>
      </c>
      <c r="F4" s="33">
        <v>80.8</v>
      </c>
      <c r="G4" s="33">
        <f t="shared" ca="1" si="1"/>
        <v>60</v>
      </c>
    </row>
    <row r="5" spans="1:7">
      <c r="A5" s="4">
        <f t="shared" si="0"/>
        <v>4</v>
      </c>
      <c r="B5" s="5" t="s">
        <v>353</v>
      </c>
      <c r="C5" s="32">
        <v>93.5</v>
      </c>
      <c r="D5" s="33">
        <f t="shared" ca="1" si="2"/>
        <v>66</v>
      </c>
      <c r="E5" s="33">
        <f t="shared" ca="1" si="1"/>
        <v>83</v>
      </c>
      <c r="F5" s="33">
        <v>90.7</v>
      </c>
      <c r="G5" s="33">
        <f t="shared" ca="1" si="1"/>
        <v>76</v>
      </c>
    </row>
    <row r="6" spans="1:7">
      <c r="A6" s="4">
        <f t="shared" si="0"/>
        <v>5</v>
      </c>
      <c r="B6" s="5" t="s">
        <v>354</v>
      </c>
      <c r="C6" s="32">
        <v>94</v>
      </c>
      <c r="D6" s="33">
        <f t="shared" ca="1" si="2"/>
        <v>65</v>
      </c>
      <c r="E6" s="33">
        <f t="shared" ca="1" si="1"/>
        <v>82</v>
      </c>
      <c r="F6" s="33">
        <v>92.3</v>
      </c>
      <c r="G6" s="33">
        <f t="shared" ca="1" si="1"/>
        <v>93</v>
      </c>
    </row>
    <row r="7" spans="1:7">
      <c r="A7" s="4">
        <f t="shared" si="0"/>
        <v>6</v>
      </c>
      <c r="B7" s="5" t="s">
        <v>355</v>
      </c>
      <c r="C7" s="32">
        <v>74</v>
      </c>
      <c r="D7" s="33">
        <f t="shared" ca="1" si="2"/>
        <v>95</v>
      </c>
      <c r="E7" s="33">
        <f t="shared" ca="1" si="1"/>
        <v>99</v>
      </c>
      <c r="F7" s="33" t="s">
        <v>350</v>
      </c>
      <c r="G7" s="33">
        <f t="shared" ca="1" si="1"/>
        <v>71</v>
      </c>
    </row>
    <row r="8" spans="1:7">
      <c r="A8" s="4">
        <f t="shared" si="0"/>
        <v>7</v>
      </c>
      <c r="B8" s="5" t="s">
        <v>356</v>
      </c>
      <c r="C8" s="32">
        <v>91</v>
      </c>
      <c r="D8" s="33">
        <f t="shared" ca="1" si="2"/>
        <v>91</v>
      </c>
      <c r="E8" s="33">
        <f t="shared" ca="1" si="1"/>
        <v>80</v>
      </c>
      <c r="F8" s="33">
        <v>88.4</v>
      </c>
      <c r="G8" s="33">
        <f t="shared" ca="1" si="1"/>
        <v>83</v>
      </c>
    </row>
    <row r="9" spans="1:7">
      <c r="A9" s="4">
        <f t="shared" si="0"/>
        <v>8</v>
      </c>
      <c r="B9" s="5" t="s">
        <v>357</v>
      </c>
      <c r="C9" s="32">
        <v>91</v>
      </c>
      <c r="D9" s="33">
        <f t="shared" ca="1" si="2"/>
        <v>78</v>
      </c>
      <c r="E9" s="33">
        <f t="shared" ca="1" si="1"/>
        <v>89</v>
      </c>
      <c r="F9" s="33">
        <v>91.7</v>
      </c>
      <c r="G9" s="33">
        <f t="shared" ca="1" si="1"/>
        <v>98</v>
      </c>
    </row>
    <row r="10" spans="1:7">
      <c r="A10" s="4">
        <f t="shared" si="0"/>
        <v>9</v>
      </c>
      <c r="B10" s="5" t="s">
        <v>358</v>
      </c>
      <c r="C10" s="32">
        <v>100</v>
      </c>
      <c r="D10" s="33">
        <f t="shared" ca="1" si="2"/>
        <v>87</v>
      </c>
      <c r="E10" s="33">
        <f t="shared" ca="1" si="1"/>
        <v>95</v>
      </c>
      <c r="F10" s="33">
        <v>93.1</v>
      </c>
      <c r="G10" s="33">
        <f t="shared" ca="1" si="1"/>
        <v>64</v>
      </c>
    </row>
    <row r="11" spans="1:7">
      <c r="A11" s="4">
        <f t="shared" si="0"/>
        <v>10</v>
      </c>
      <c r="B11" s="5" t="s">
        <v>359</v>
      </c>
      <c r="C11" s="32">
        <v>74</v>
      </c>
      <c r="D11" s="33">
        <f t="shared" ca="1" si="2"/>
        <v>96</v>
      </c>
      <c r="E11" s="33">
        <f t="shared" ca="1" si="1"/>
        <v>78</v>
      </c>
      <c r="F11" s="33">
        <v>76.3</v>
      </c>
      <c r="G11" s="33">
        <f t="shared" ca="1" si="1"/>
        <v>83</v>
      </c>
    </row>
    <row r="12" spans="1:7">
      <c r="A12" s="4">
        <f t="shared" si="0"/>
        <v>11</v>
      </c>
      <c r="B12" s="5" t="s">
        <v>360</v>
      </c>
      <c r="C12" s="32">
        <v>89</v>
      </c>
      <c r="D12" s="33">
        <f t="shared" ca="1" si="2"/>
        <v>61</v>
      </c>
      <c r="E12" s="33">
        <f t="shared" ca="1" si="1"/>
        <v>67</v>
      </c>
      <c r="F12" s="33">
        <v>84.3</v>
      </c>
      <c r="G12" s="33">
        <f t="shared" ca="1" si="1"/>
        <v>79</v>
      </c>
    </row>
    <row r="13" spans="1:7">
      <c r="A13" s="4">
        <f t="shared" si="0"/>
        <v>12</v>
      </c>
      <c r="B13" s="5" t="s">
        <v>361</v>
      </c>
      <c r="C13" s="32">
        <v>98</v>
      </c>
      <c r="D13" s="33">
        <f t="shared" ca="1" si="2"/>
        <v>62</v>
      </c>
      <c r="E13" s="33">
        <f t="shared" ca="1" si="1"/>
        <v>94</v>
      </c>
      <c r="F13" s="33">
        <v>85.2</v>
      </c>
      <c r="G13" s="33">
        <f t="shared" ca="1" si="1"/>
        <v>96</v>
      </c>
    </row>
    <row r="14" spans="1:7">
      <c r="A14" s="4">
        <f t="shared" si="0"/>
        <v>13</v>
      </c>
      <c r="B14" s="5" t="s">
        <v>362</v>
      </c>
      <c r="C14" s="32">
        <v>100</v>
      </c>
      <c r="D14" s="33">
        <f t="shared" ca="1" si="2"/>
        <v>79</v>
      </c>
      <c r="E14" s="33">
        <f t="shared" ca="1" si="1"/>
        <v>69</v>
      </c>
      <c r="F14" s="33">
        <v>92.4</v>
      </c>
      <c r="G14" s="33">
        <f t="shared" ca="1" si="1"/>
        <v>65</v>
      </c>
    </row>
    <row r="15" spans="1:7">
      <c r="A15" s="4">
        <f t="shared" si="0"/>
        <v>14</v>
      </c>
      <c r="B15" s="5" t="s">
        <v>363</v>
      </c>
      <c r="C15" s="32">
        <v>95.5</v>
      </c>
      <c r="D15" s="33">
        <f t="shared" ca="1" si="2"/>
        <v>84</v>
      </c>
      <c r="E15" s="33">
        <f t="shared" ca="1" si="1"/>
        <v>67</v>
      </c>
      <c r="F15" s="33">
        <v>82.1</v>
      </c>
      <c r="G15" s="33">
        <f t="shared" ca="1" si="1"/>
        <v>85</v>
      </c>
    </row>
    <row r="16" spans="1:7">
      <c r="A16" s="4">
        <f t="shared" si="0"/>
        <v>15</v>
      </c>
      <c r="B16" s="5" t="s">
        <v>364</v>
      </c>
      <c r="C16" s="32">
        <v>74</v>
      </c>
      <c r="D16" s="33">
        <f t="shared" ca="1" si="2"/>
        <v>66</v>
      </c>
      <c r="E16" s="33">
        <f t="shared" ca="1" si="1"/>
        <v>81</v>
      </c>
      <c r="F16" s="33">
        <v>71.400000000000006</v>
      </c>
      <c r="G16" s="33">
        <f t="shared" ca="1" si="1"/>
        <v>70</v>
      </c>
    </row>
    <row r="17" spans="1:7">
      <c r="A17" s="4">
        <f t="shared" si="0"/>
        <v>16</v>
      </c>
      <c r="B17" s="5" t="s">
        <v>365</v>
      </c>
      <c r="C17" s="32">
        <v>80</v>
      </c>
      <c r="D17" s="33">
        <f t="shared" ca="1" si="2"/>
        <v>100</v>
      </c>
      <c r="E17" s="33">
        <f t="shared" ca="1" si="1"/>
        <v>83</v>
      </c>
      <c r="F17" s="33">
        <v>81.900000000000006</v>
      </c>
      <c r="G17" s="33">
        <f t="shared" ca="1" si="1"/>
        <v>98</v>
      </c>
    </row>
    <row r="18" spans="1:7">
      <c r="A18" s="4">
        <f t="shared" si="0"/>
        <v>17</v>
      </c>
      <c r="B18" s="5" t="s">
        <v>366</v>
      </c>
      <c r="C18" s="32">
        <v>98</v>
      </c>
      <c r="D18" s="33">
        <f t="shared" ca="1" si="2"/>
        <v>63</v>
      </c>
      <c r="E18" s="33">
        <f t="shared" ca="1" si="1"/>
        <v>75</v>
      </c>
      <c r="F18" s="33">
        <v>79.3</v>
      </c>
      <c r="G18" s="33">
        <f t="shared" ca="1" si="1"/>
        <v>94</v>
      </c>
    </row>
    <row r="19" spans="1:7">
      <c r="A19" s="4">
        <f t="shared" si="0"/>
        <v>18</v>
      </c>
      <c r="B19" s="5" t="s">
        <v>367</v>
      </c>
      <c r="C19" s="32">
        <v>98</v>
      </c>
      <c r="D19" s="33">
        <f t="shared" ca="1" si="2"/>
        <v>66</v>
      </c>
      <c r="E19" s="33">
        <f t="shared" ca="1" si="1"/>
        <v>62</v>
      </c>
      <c r="F19" s="33">
        <v>81.900000000000006</v>
      </c>
      <c r="G19" s="33">
        <f t="shared" ca="1" si="1"/>
        <v>62</v>
      </c>
    </row>
    <row r="20" spans="1:7">
      <c r="A20" s="4">
        <f t="shared" si="0"/>
        <v>19</v>
      </c>
      <c r="B20" s="5" t="s">
        <v>368</v>
      </c>
      <c r="C20" s="32">
        <v>100</v>
      </c>
      <c r="D20" s="33">
        <f t="shared" ca="1" si="2"/>
        <v>74</v>
      </c>
      <c r="E20" s="33">
        <f t="shared" ca="1" si="1"/>
        <v>83</v>
      </c>
      <c r="F20" s="33" t="s">
        <v>350</v>
      </c>
      <c r="G20" s="33">
        <f t="shared" ca="1" si="1"/>
        <v>63</v>
      </c>
    </row>
    <row r="21" spans="1:7">
      <c r="A21" s="4">
        <f t="shared" si="0"/>
        <v>20</v>
      </c>
      <c r="B21" s="5" t="s">
        <v>369</v>
      </c>
      <c r="C21" s="32">
        <v>85</v>
      </c>
      <c r="D21" s="33">
        <f t="shared" ca="1" si="2"/>
        <v>96</v>
      </c>
      <c r="E21" s="33">
        <f t="shared" ca="1" si="1"/>
        <v>92</v>
      </c>
      <c r="F21" s="33" t="s">
        <v>350</v>
      </c>
      <c r="G21" s="33">
        <f t="shared" ca="1" si="1"/>
        <v>91</v>
      </c>
    </row>
    <row r="22" spans="1:7">
      <c r="A22" s="4">
        <f t="shared" si="0"/>
        <v>21</v>
      </c>
      <c r="B22" s="5" t="s">
        <v>370</v>
      </c>
      <c r="C22" s="32">
        <v>83</v>
      </c>
      <c r="D22" s="33">
        <f t="shared" ca="1" si="2"/>
        <v>66</v>
      </c>
      <c r="E22" s="33">
        <f t="shared" ca="1" si="1"/>
        <v>93</v>
      </c>
      <c r="F22" s="33">
        <v>75.2</v>
      </c>
      <c r="G22" s="33">
        <f t="shared" ca="1" si="1"/>
        <v>72</v>
      </c>
    </row>
    <row r="23" spans="1:7">
      <c r="A23" s="4">
        <f t="shared" si="0"/>
        <v>22</v>
      </c>
      <c r="B23" s="5" t="s">
        <v>371</v>
      </c>
      <c r="C23" s="32">
        <v>100</v>
      </c>
      <c r="D23" s="33">
        <f t="shared" ca="1" si="2"/>
        <v>85</v>
      </c>
      <c r="E23" s="33">
        <f t="shared" ca="1" si="1"/>
        <v>71</v>
      </c>
      <c r="F23" s="33" t="s">
        <v>350</v>
      </c>
      <c r="G23" s="33">
        <f t="shared" ca="1" si="1"/>
        <v>83</v>
      </c>
    </row>
    <row r="24" spans="1:7">
      <c r="A24" s="4">
        <f t="shared" si="0"/>
        <v>23</v>
      </c>
      <c r="B24" s="5" t="s">
        <v>372</v>
      </c>
      <c r="C24" s="32">
        <v>94</v>
      </c>
      <c r="D24" s="33">
        <f t="shared" ca="1" si="2"/>
        <v>77</v>
      </c>
      <c r="E24" s="33">
        <f t="shared" ca="1" si="1"/>
        <v>97</v>
      </c>
      <c r="F24" s="33" t="s">
        <v>350</v>
      </c>
      <c r="G24" s="33">
        <f t="shared" ca="1" si="1"/>
        <v>94</v>
      </c>
    </row>
    <row r="25" spans="1:7">
      <c r="A25" s="4">
        <f t="shared" si="0"/>
        <v>24</v>
      </c>
      <c r="B25" s="5" t="s">
        <v>373</v>
      </c>
      <c r="C25" s="32">
        <v>96.5</v>
      </c>
      <c r="D25" s="33">
        <f t="shared" ca="1" si="2"/>
        <v>79</v>
      </c>
      <c r="E25" s="33">
        <f t="shared" ca="1" si="1"/>
        <v>98</v>
      </c>
      <c r="F25" s="33" t="s">
        <v>350</v>
      </c>
      <c r="G25" s="33">
        <f t="shared" ca="1" si="1"/>
        <v>75</v>
      </c>
    </row>
    <row r="26" spans="1:7">
      <c r="A26" s="4">
        <f t="shared" si="0"/>
        <v>25</v>
      </c>
      <c r="B26" s="5" t="s">
        <v>374</v>
      </c>
      <c r="C26" s="32">
        <v>89</v>
      </c>
      <c r="D26" s="33">
        <f t="shared" ca="1" si="2"/>
        <v>74</v>
      </c>
      <c r="E26" s="33">
        <f t="shared" ca="1" si="1"/>
        <v>76</v>
      </c>
      <c r="F26" s="33" t="s">
        <v>350</v>
      </c>
      <c r="G26" s="33">
        <f t="shared" ca="1" si="1"/>
        <v>99</v>
      </c>
    </row>
    <row r="27" spans="1:7">
      <c r="A27" s="4">
        <f t="shared" si="0"/>
        <v>26</v>
      </c>
      <c r="B27" s="5" t="s">
        <v>375</v>
      </c>
      <c r="C27" s="32">
        <v>80</v>
      </c>
      <c r="D27" s="33">
        <f t="shared" ca="1" si="2"/>
        <v>62</v>
      </c>
      <c r="E27" s="33">
        <f t="shared" ca="1" si="1"/>
        <v>67</v>
      </c>
      <c r="F27" s="33" t="s">
        <v>350</v>
      </c>
      <c r="G27" s="33">
        <f t="shared" ca="1" si="1"/>
        <v>74</v>
      </c>
    </row>
    <row r="28" spans="1:7">
      <c r="A28" s="4">
        <f t="shared" si="0"/>
        <v>27</v>
      </c>
      <c r="B28" s="5" t="s">
        <v>376</v>
      </c>
      <c r="C28" s="32">
        <v>94</v>
      </c>
      <c r="D28" s="33">
        <f t="shared" ca="1" si="2"/>
        <v>92</v>
      </c>
      <c r="E28" s="33">
        <f t="shared" ca="1" si="1"/>
        <v>92</v>
      </c>
      <c r="F28" s="33" t="s">
        <v>350</v>
      </c>
      <c r="G28" s="33">
        <f t="shared" ca="1" si="1"/>
        <v>66</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12"/>
  <sheetViews>
    <sheetView workbookViewId="0">
      <pane ySplit="1" topLeftCell="A2" activePane="bottomLeft" state="frozen"/>
      <selection pane="bottomLeft" activeCell="F20" sqref="F20"/>
    </sheetView>
  </sheetViews>
  <sheetFormatPr defaultRowHeight="16.5"/>
  <cols>
    <col min="1" max="1" width="16" customWidth="1"/>
    <col min="2" max="2" width="20" bestFit="1" customWidth="1"/>
    <col min="3" max="10" width="16" customWidth="1"/>
  </cols>
  <sheetData>
    <row r="1" spans="1:10" ht="26.1" customHeight="1">
      <c r="A1" s="3" t="s">
        <v>30</v>
      </c>
      <c r="B1" s="3" t="s">
        <v>38</v>
      </c>
      <c r="C1" s="3" t="s">
        <v>87</v>
      </c>
      <c r="D1" s="3" t="s">
        <v>88</v>
      </c>
      <c r="E1" s="3" t="s">
        <v>89</v>
      </c>
      <c r="F1" s="3" t="s">
        <v>90</v>
      </c>
      <c r="G1" s="3" t="s">
        <v>91</v>
      </c>
      <c r="H1" s="3" t="s">
        <v>92</v>
      </c>
      <c r="I1" s="3" t="s">
        <v>93</v>
      </c>
      <c r="J1" s="3" t="s">
        <v>94</v>
      </c>
    </row>
    <row r="2" spans="1:10">
      <c r="A2" s="4" t="s">
        <v>120</v>
      </c>
      <c r="B2" s="4" t="s">
        <v>124</v>
      </c>
      <c r="C2" s="5">
        <v>12511157</v>
      </c>
      <c r="D2" s="5">
        <v>12511157</v>
      </c>
      <c r="E2" s="5">
        <f>SUMIF(TPA_월별대금청구현황!$B$2:$B$2009,TPA_집행현황!$A2,TPA_월별대금청구현황!$E$2:$E$2009)</f>
        <v>12499872.150000004</v>
      </c>
      <c r="F2" s="5"/>
      <c r="G2" s="5"/>
      <c r="H2" s="5"/>
      <c r="I2" s="34">
        <f>E2/C2</f>
        <v>0.99909801707388091</v>
      </c>
      <c r="J2" s="34">
        <f>E2/D2</f>
        <v>0.99909801707388091</v>
      </c>
    </row>
    <row r="3" spans="1:10">
      <c r="A3" s="4" t="s">
        <v>125</v>
      </c>
      <c r="B3" s="4" t="s">
        <v>129</v>
      </c>
      <c r="C3" s="5">
        <v>9017286</v>
      </c>
      <c r="D3" s="5">
        <v>9017286</v>
      </c>
      <c r="E3" s="5">
        <f>SUMIF(TPA_월별대금청구현황!$B$2:$B$2009,TPA_집행현황!$A3,TPA_월별대금청구현황!$E$2:$E$2009)</f>
        <v>8978506.1700000037</v>
      </c>
      <c r="F3" s="5"/>
      <c r="G3" s="5"/>
      <c r="H3" s="5"/>
      <c r="I3" s="34">
        <f t="shared" ref="I3:I11" si="0">E3/C3</f>
        <v>0.9956993900382004</v>
      </c>
      <c r="J3" s="34">
        <f t="shared" ref="J3:J4" si="1">E3/D3</f>
        <v>0.9956993900382004</v>
      </c>
    </row>
    <row r="4" spans="1:10">
      <c r="A4" s="4" t="s">
        <v>130</v>
      </c>
      <c r="B4" s="4" t="s">
        <v>124</v>
      </c>
      <c r="C4" s="5">
        <v>4024396</v>
      </c>
      <c r="D4" s="5">
        <v>2886653.24</v>
      </c>
      <c r="E4" s="5">
        <f>SUMIF(TPA_월별대금청구현황!$B$2:$B$2009,TPA_집행현황!$A4,TPA_월별대금청구현황!$E$2:$E$2009)</f>
        <v>2588452.4499999997</v>
      </c>
      <c r="F4" s="5"/>
      <c r="G4" s="5"/>
      <c r="H4" s="5"/>
      <c r="I4" s="34">
        <f t="shared" si="0"/>
        <v>0.64319029489145696</v>
      </c>
      <c r="J4" s="34">
        <f t="shared" si="1"/>
        <v>0.89669670542070357</v>
      </c>
    </row>
    <row r="5" spans="1:10">
      <c r="A5" s="4" t="s">
        <v>134</v>
      </c>
      <c r="B5" s="4" t="s">
        <v>129</v>
      </c>
      <c r="C5" s="5"/>
      <c r="D5" s="5"/>
      <c r="E5" s="5"/>
      <c r="F5" s="5">
        <v>3442862995</v>
      </c>
      <c r="G5" s="5">
        <v>3384427737</v>
      </c>
      <c r="H5" s="5">
        <f>SUMIF(TPA_월별대금청구현황!$B$2:$B$2009,TPA_집행현황!$A5,TPA_월별대금청구현황!$E$2:$E$2009)</f>
        <v>2646671496.1739254</v>
      </c>
      <c r="I5" s="34">
        <f>H5/F5</f>
        <v>0.7687414515238139</v>
      </c>
      <c r="J5" s="34">
        <f>H5/G5</f>
        <v>0.78201447980093941</v>
      </c>
    </row>
    <row r="6" spans="1:10">
      <c r="A6" s="4" t="s">
        <v>139</v>
      </c>
      <c r="B6" s="4" t="s">
        <v>129</v>
      </c>
      <c r="C6" s="5">
        <v>766265</v>
      </c>
      <c r="D6" s="5">
        <v>766265</v>
      </c>
      <c r="E6" s="5">
        <f>SUMIF(TPA_월별대금청구현황!$B$2:$B$2009,TPA_집행현황!$A6,TPA_월별대금청구현황!$E$2:$E$2009)</f>
        <v>410205.19999999995</v>
      </c>
      <c r="F6" s="5"/>
      <c r="G6" s="5"/>
      <c r="H6" s="5"/>
      <c r="I6" s="34">
        <f t="shared" si="0"/>
        <v>0.53533072762034017</v>
      </c>
      <c r="J6" s="34">
        <f t="shared" ref="J6:J9" si="2">E6/D6</f>
        <v>0.53533072762034017</v>
      </c>
    </row>
    <row r="7" spans="1:10">
      <c r="A7" s="4" t="s">
        <v>144</v>
      </c>
      <c r="B7" s="4" t="s">
        <v>129</v>
      </c>
      <c r="C7" s="5">
        <v>375828</v>
      </c>
      <c r="D7" s="5">
        <v>228937</v>
      </c>
      <c r="E7" s="5">
        <f>SUMIF(TPA_월별대금청구현황!$B$2:$B$2009,TPA_집행현황!$A7,TPA_월별대금청구현황!$E$2:$E$2009)</f>
        <v>203612.28000000003</v>
      </c>
      <c r="F7" s="5"/>
      <c r="G7" s="5"/>
      <c r="H7" s="5"/>
      <c r="I7" s="34">
        <f t="shared" si="0"/>
        <v>0.5417698521664166</v>
      </c>
      <c r="J7" s="34">
        <f t="shared" si="2"/>
        <v>0.88938127082996643</v>
      </c>
    </row>
    <row r="8" spans="1:10">
      <c r="A8" s="4" t="s">
        <v>148</v>
      </c>
      <c r="B8" s="4" t="s">
        <v>129</v>
      </c>
      <c r="C8" s="5">
        <v>8945512</v>
      </c>
      <c r="D8" s="5">
        <f>6660845.4+801807.6</f>
        <v>7462653</v>
      </c>
      <c r="E8" s="5">
        <f>SUMIF(TPA_월별대금청구현황!$B$2:$B$2009,TPA_집행현황!$A8,TPA_월별대금청구현황!$E$2:$E$2009)</f>
        <v>6714860.049999998</v>
      </c>
      <c r="F8" s="5"/>
      <c r="G8" s="5"/>
      <c r="H8" s="5"/>
      <c r="I8" s="34">
        <f t="shared" si="0"/>
        <v>0.75064010310421558</v>
      </c>
      <c r="J8" s="34">
        <f t="shared" si="2"/>
        <v>0.89979529397923208</v>
      </c>
    </row>
    <row r="9" spans="1:10">
      <c r="A9" s="4" t="s">
        <v>152</v>
      </c>
      <c r="B9" s="4" t="s">
        <v>129</v>
      </c>
      <c r="C9" s="5">
        <v>4791851</v>
      </c>
      <c r="D9" s="5">
        <f>3590000+60000</f>
        <v>3650000</v>
      </c>
      <c r="E9" s="5">
        <f>SUMIF(TPA_월별대금청구현황!$B$2:$B$2009,TPA_집행현황!$A9,TPA_월별대금청구현황!$E$2:$E$2009)</f>
        <v>2747125.6599999988</v>
      </c>
      <c r="F9" s="5"/>
      <c r="G9" s="5"/>
      <c r="H9" s="5"/>
      <c r="I9" s="34">
        <f t="shared" si="0"/>
        <v>0.57329112695699402</v>
      </c>
      <c r="J9" s="34">
        <f t="shared" si="2"/>
        <v>0.75263716712328732</v>
      </c>
    </row>
    <row r="10" spans="1:10">
      <c r="A10" s="4" t="s">
        <v>155</v>
      </c>
      <c r="B10" s="4" t="s">
        <v>129</v>
      </c>
      <c r="C10" s="5">
        <v>5960701</v>
      </c>
      <c r="D10" s="5" t="s">
        <v>171</v>
      </c>
      <c r="E10" s="5"/>
      <c r="F10" s="5"/>
      <c r="G10" s="5"/>
      <c r="H10" s="5"/>
      <c r="I10" s="34">
        <f t="shared" si="0"/>
        <v>0</v>
      </c>
      <c r="J10" s="34" t="s">
        <v>377</v>
      </c>
    </row>
    <row r="11" spans="1:10">
      <c r="A11" s="4" t="s">
        <v>160</v>
      </c>
      <c r="B11" s="4" t="s">
        <v>129</v>
      </c>
      <c r="C11" s="5">
        <v>1875089</v>
      </c>
      <c r="D11" s="5" t="s">
        <v>171</v>
      </c>
      <c r="E11" s="5"/>
      <c r="F11" s="5"/>
      <c r="G11" s="5"/>
      <c r="H11" s="5"/>
      <c r="I11" s="34">
        <f t="shared" si="0"/>
        <v>0</v>
      </c>
      <c r="J11" s="34" t="s">
        <v>377</v>
      </c>
    </row>
    <row r="12" spans="1:10">
      <c r="A12" s="4" t="s">
        <v>165</v>
      </c>
      <c r="B12" s="4" t="s">
        <v>169</v>
      </c>
      <c r="C12" s="5" t="s">
        <v>171</v>
      </c>
      <c r="D12" s="5" t="s">
        <v>171</v>
      </c>
      <c r="E12" s="5"/>
      <c r="F12" s="5"/>
      <c r="G12" s="5"/>
      <c r="H12" s="5"/>
      <c r="I12" s="34" t="s">
        <v>377</v>
      </c>
      <c r="J12" s="34" t="s">
        <v>377</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1409"/>
  <sheetViews>
    <sheetView workbookViewId="0">
      <pane ySplit="1" topLeftCell="A749" activePane="bottomLeft" state="frozen"/>
      <selection pane="bottomLeft" activeCell="B768" sqref="B768"/>
    </sheetView>
  </sheetViews>
  <sheetFormatPr defaultRowHeight="16.5"/>
  <cols>
    <col min="1" max="1" width="8" customWidth="1"/>
    <col min="2" max="6" width="16" customWidth="1"/>
  </cols>
  <sheetData>
    <row r="1" spans="1:6" ht="26.1" customHeight="1">
      <c r="A1" s="3" t="s">
        <v>62</v>
      </c>
      <c r="B1" s="3" t="s">
        <v>30</v>
      </c>
      <c r="C1" s="3" t="s">
        <v>84</v>
      </c>
      <c r="D1" s="3" t="s">
        <v>95</v>
      </c>
      <c r="E1" s="3" t="s">
        <v>96</v>
      </c>
      <c r="F1" s="3" t="s">
        <v>97</v>
      </c>
    </row>
    <row r="2" spans="1:6">
      <c r="A2" s="4">
        <f t="shared" ref="A2:A74" si="0">ROW()-1</f>
        <v>1</v>
      </c>
      <c r="B2" s="4"/>
      <c r="C2" s="5"/>
      <c r="D2" s="35"/>
      <c r="E2" s="36"/>
      <c r="F2" s="5"/>
    </row>
    <row r="3" spans="1:6">
      <c r="A3" s="4">
        <f t="shared" si="0"/>
        <v>2</v>
      </c>
      <c r="B3" s="4"/>
      <c r="C3" s="5"/>
      <c r="D3" s="35"/>
      <c r="E3" s="36"/>
      <c r="F3" s="5"/>
    </row>
    <row r="4" spans="1:6">
      <c r="A4" s="4">
        <f t="shared" si="0"/>
        <v>3</v>
      </c>
      <c r="B4" s="4" t="s">
        <v>380</v>
      </c>
      <c r="C4" s="5" t="s">
        <v>357</v>
      </c>
      <c r="D4" s="35">
        <v>46113</v>
      </c>
      <c r="E4" s="36">
        <v>36355</v>
      </c>
      <c r="F4" s="5" t="s">
        <v>379</v>
      </c>
    </row>
    <row r="5" spans="1:6">
      <c r="A5" s="4">
        <f t="shared" si="0"/>
        <v>4</v>
      </c>
      <c r="B5" s="4" t="s">
        <v>387</v>
      </c>
      <c r="C5" s="5" t="s">
        <v>354</v>
      </c>
      <c r="D5" s="35">
        <v>46113</v>
      </c>
      <c r="E5" s="36">
        <v>188</v>
      </c>
      <c r="F5" s="5" t="s">
        <v>2853</v>
      </c>
    </row>
    <row r="6" spans="1:6">
      <c r="A6" s="4">
        <f t="shared" si="0"/>
        <v>5</v>
      </c>
      <c r="B6" s="4" t="s">
        <v>385</v>
      </c>
      <c r="C6" s="5" t="s">
        <v>361</v>
      </c>
      <c r="D6" s="35">
        <v>46113</v>
      </c>
      <c r="E6" s="5">
        <v>237000</v>
      </c>
      <c r="F6" s="5" t="s">
        <v>386</v>
      </c>
    </row>
    <row r="7" spans="1:6">
      <c r="A7" s="4">
        <f t="shared" si="0"/>
        <v>6</v>
      </c>
      <c r="B7" s="4" t="s">
        <v>385</v>
      </c>
      <c r="C7" s="5" t="s">
        <v>351</v>
      </c>
      <c r="D7" s="35">
        <v>46113</v>
      </c>
      <c r="E7" s="5">
        <v>12694676</v>
      </c>
      <c r="F7" s="5" t="s">
        <v>386</v>
      </c>
    </row>
    <row r="8" spans="1:6">
      <c r="A8" s="4">
        <f t="shared" si="0"/>
        <v>7</v>
      </c>
      <c r="B8" s="4" t="s">
        <v>385</v>
      </c>
      <c r="C8" s="5" t="s">
        <v>2855</v>
      </c>
      <c r="D8" s="35">
        <v>46113</v>
      </c>
      <c r="E8" s="5">
        <v>129437262</v>
      </c>
      <c r="F8" s="5" t="s">
        <v>386</v>
      </c>
    </row>
    <row r="9" spans="1:6">
      <c r="A9" s="4">
        <f t="shared" si="0"/>
        <v>8</v>
      </c>
      <c r="B9" s="4" t="s">
        <v>148</v>
      </c>
      <c r="C9" s="5" t="s">
        <v>2855</v>
      </c>
      <c r="D9" s="35">
        <v>46113</v>
      </c>
      <c r="E9" s="36">
        <v>49502.3</v>
      </c>
      <c r="F9" s="5" t="s">
        <v>2853</v>
      </c>
    </row>
    <row r="10" spans="1:6">
      <c r="A10" s="4">
        <f t="shared" si="0"/>
        <v>9</v>
      </c>
      <c r="B10" s="4" t="s">
        <v>148</v>
      </c>
      <c r="C10" s="5" t="s">
        <v>2856</v>
      </c>
      <c r="D10" s="35">
        <v>46113</v>
      </c>
      <c r="E10" s="36">
        <v>111120.56</v>
      </c>
      <c r="F10" s="5" t="s">
        <v>2853</v>
      </c>
    </row>
    <row r="11" spans="1:6">
      <c r="A11" s="4">
        <f t="shared" si="0"/>
        <v>10</v>
      </c>
      <c r="B11" s="4" t="s">
        <v>148</v>
      </c>
      <c r="C11" s="5" t="s">
        <v>362</v>
      </c>
      <c r="D11" s="35">
        <v>46113</v>
      </c>
      <c r="E11" s="36">
        <v>22723.67</v>
      </c>
      <c r="F11" s="5" t="s">
        <v>2853</v>
      </c>
    </row>
    <row r="12" spans="1:6">
      <c r="A12" s="4">
        <f t="shared" si="0"/>
        <v>11</v>
      </c>
      <c r="B12" s="4" t="s">
        <v>148</v>
      </c>
      <c r="C12" s="5" t="s">
        <v>2854</v>
      </c>
      <c r="D12" s="35">
        <v>46113</v>
      </c>
      <c r="E12" s="36">
        <v>83403.179999999993</v>
      </c>
      <c r="F12" s="5" t="s">
        <v>2853</v>
      </c>
    </row>
    <row r="13" spans="1:6">
      <c r="A13" s="4">
        <f t="shared" si="0"/>
        <v>12</v>
      </c>
      <c r="B13" s="4" t="s">
        <v>148</v>
      </c>
      <c r="C13" s="5" t="s">
        <v>365</v>
      </c>
      <c r="D13" s="35">
        <v>46113</v>
      </c>
      <c r="E13" s="36">
        <v>59880</v>
      </c>
      <c r="F13" s="5" t="s">
        <v>2853</v>
      </c>
    </row>
    <row r="14" spans="1:6">
      <c r="A14" s="4">
        <f t="shared" si="0"/>
        <v>13</v>
      </c>
      <c r="B14" s="4" t="s">
        <v>148</v>
      </c>
      <c r="C14" s="5" t="s">
        <v>2857</v>
      </c>
      <c r="D14" s="35">
        <v>46113</v>
      </c>
      <c r="E14" s="36">
        <v>45544.28</v>
      </c>
      <c r="F14" s="5" t="s">
        <v>2853</v>
      </c>
    </row>
    <row r="15" spans="1:6">
      <c r="A15" s="4">
        <f t="shared" si="0"/>
        <v>14</v>
      </c>
      <c r="B15" s="4" t="s">
        <v>148</v>
      </c>
      <c r="C15" s="5" t="s">
        <v>2858</v>
      </c>
      <c r="D15" s="35">
        <v>46113</v>
      </c>
      <c r="E15" s="36">
        <v>30876.25</v>
      </c>
      <c r="F15" s="5" t="s">
        <v>2853</v>
      </c>
    </row>
    <row r="16" spans="1:6">
      <c r="A16" s="4">
        <f t="shared" si="0"/>
        <v>15</v>
      </c>
      <c r="B16" s="4" t="s">
        <v>125</v>
      </c>
      <c r="C16" s="5" t="s">
        <v>362</v>
      </c>
      <c r="D16" s="35">
        <v>46113</v>
      </c>
      <c r="E16" s="36">
        <v>7511.24</v>
      </c>
      <c r="F16" s="5" t="s">
        <v>2853</v>
      </c>
    </row>
    <row r="17" spans="1:6">
      <c r="A17" s="4">
        <f t="shared" si="0"/>
        <v>16</v>
      </c>
      <c r="B17" s="4" t="s">
        <v>125</v>
      </c>
      <c r="C17" s="5" t="s">
        <v>2854</v>
      </c>
      <c r="D17" s="35">
        <v>46113</v>
      </c>
      <c r="E17" s="36">
        <v>7767.86</v>
      </c>
      <c r="F17" s="5" t="s">
        <v>2853</v>
      </c>
    </row>
    <row r="18" spans="1:6">
      <c r="A18" s="4">
        <f t="shared" si="0"/>
        <v>17</v>
      </c>
      <c r="B18" s="4" t="s">
        <v>152</v>
      </c>
      <c r="C18" s="5" t="s">
        <v>2859</v>
      </c>
      <c r="D18" s="35">
        <v>46113</v>
      </c>
      <c r="E18" s="36">
        <v>5444</v>
      </c>
      <c r="F18" s="5" t="s">
        <v>2853</v>
      </c>
    </row>
    <row r="19" spans="1:6">
      <c r="A19" s="4">
        <f t="shared" si="0"/>
        <v>18</v>
      </c>
      <c r="B19" s="4" t="s">
        <v>152</v>
      </c>
      <c r="C19" s="5" t="s">
        <v>2854</v>
      </c>
      <c r="D19" s="35">
        <v>46113</v>
      </c>
      <c r="E19" s="36">
        <v>139313.12</v>
      </c>
      <c r="F19" s="5" t="s">
        <v>2853</v>
      </c>
    </row>
    <row r="20" spans="1:6">
      <c r="A20" s="4">
        <f t="shared" si="0"/>
        <v>19</v>
      </c>
      <c r="B20" s="4" t="s">
        <v>152</v>
      </c>
      <c r="C20" s="5" t="s">
        <v>2855</v>
      </c>
      <c r="D20" s="35">
        <v>46113</v>
      </c>
      <c r="E20" s="36">
        <v>87235.7</v>
      </c>
      <c r="F20" s="5" t="s">
        <v>2853</v>
      </c>
    </row>
    <row r="21" spans="1:6">
      <c r="A21" s="4">
        <f t="shared" si="0"/>
        <v>20</v>
      </c>
      <c r="B21" s="4" t="s">
        <v>152</v>
      </c>
      <c r="C21" s="5" t="s">
        <v>2856</v>
      </c>
      <c r="D21" s="35">
        <v>46113</v>
      </c>
      <c r="E21" s="36">
        <v>28492</v>
      </c>
      <c r="F21" s="5" t="s">
        <v>2853</v>
      </c>
    </row>
    <row r="22" spans="1:6">
      <c r="A22" s="4">
        <f t="shared" si="0"/>
        <v>21</v>
      </c>
      <c r="B22" s="4" t="s">
        <v>152</v>
      </c>
      <c r="C22" s="5" t="s">
        <v>365</v>
      </c>
      <c r="D22" s="35">
        <v>46113</v>
      </c>
      <c r="E22" s="36">
        <v>150956</v>
      </c>
      <c r="F22" s="5" t="s">
        <v>2853</v>
      </c>
    </row>
    <row r="23" spans="1:6">
      <c r="A23" s="4">
        <f t="shared" si="0"/>
        <v>22</v>
      </c>
      <c r="B23" s="4" t="s">
        <v>152</v>
      </c>
      <c r="C23" s="5" t="s">
        <v>370</v>
      </c>
      <c r="D23" s="35">
        <v>46113</v>
      </c>
      <c r="E23" s="36">
        <v>58370</v>
      </c>
      <c r="F23" s="5" t="s">
        <v>2853</v>
      </c>
    </row>
    <row r="24" spans="1:6">
      <c r="A24" s="4">
        <f t="shared" si="0"/>
        <v>23</v>
      </c>
      <c r="B24" s="4" t="s">
        <v>152</v>
      </c>
      <c r="C24" s="5" t="s">
        <v>2858</v>
      </c>
      <c r="D24" s="35">
        <v>46113</v>
      </c>
      <c r="E24" s="36">
        <v>772</v>
      </c>
      <c r="F24" s="5" t="s">
        <v>2853</v>
      </c>
    </row>
    <row r="25" spans="1:6">
      <c r="A25" s="4">
        <f t="shared" si="0"/>
        <v>24</v>
      </c>
      <c r="B25" s="4" t="s">
        <v>130</v>
      </c>
      <c r="C25" s="5" t="s">
        <v>2860</v>
      </c>
      <c r="D25" s="35">
        <v>46113</v>
      </c>
      <c r="E25" s="36">
        <v>172</v>
      </c>
      <c r="F25" s="5" t="s">
        <v>2853</v>
      </c>
    </row>
    <row r="26" spans="1:6">
      <c r="A26" s="4">
        <f t="shared" si="0"/>
        <v>25</v>
      </c>
      <c r="B26" s="4" t="s">
        <v>378</v>
      </c>
      <c r="C26" s="5" t="s">
        <v>353</v>
      </c>
      <c r="D26" s="35">
        <v>46112</v>
      </c>
      <c r="E26" s="36">
        <v>840</v>
      </c>
      <c r="F26" s="5" t="s">
        <v>379</v>
      </c>
    </row>
    <row r="27" spans="1:6">
      <c r="A27" s="4">
        <f t="shared" si="0"/>
        <v>26</v>
      </c>
      <c r="B27" s="4" t="s">
        <v>378</v>
      </c>
      <c r="C27" s="5" t="s">
        <v>358</v>
      </c>
      <c r="D27" s="35">
        <v>46112</v>
      </c>
      <c r="E27" s="36">
        <v>111446</v>
      </c>
      <c r="F27" s="5" t="s">
        <v>379</v>
      </c>
    </row>
    <row r="28" spans="1:6">
      <c r="A28" s="4">
        <f t="shared" si="0"/>
        <v>27</v>
      </c>
      <c r="B28" s="4" t="s">
        <v>378</v>
      </c>
      <c r="C28" s="5" t="s">
        <v>357</v>
      </c>
      <c r="D28" s="35">
        <v>46112</v>
      </c>
      <c r="E28" s="36">
        <v>155310.96</v>
      </c>
      <c r="F28" s="5" t="s">
        <v>379</v>
      </c>
    </row>
    <row r="29" spans="1:6">
      <c r="A29" s="4">
        <f t="shared" si="0"/>
        <v>28</v>
      </c>
      <c r="B29" s="4" t="s">
        <v>378</v>
      </c>
      <c r="C29" s="5" t="s">
        <v>362</v>
      </c>
      <c r="D29" s="35">
        <v>46112</v>
      </c>
      <c r="E29" s="36">
        <v>3760</v>
      </c>
      <c r="F29" s="5" t="s">
        <v>379</v>
      </c>
    </row>
    <row r="30" spans="1:6">
      <c r="A30" s="4">
        <f t="shared" si="0"/>
        <v>29</v>
      </c>
      <c r="B30" s="4" t="s">
        <v>378</v>
      </c>
      <c r="C30" s="5" t="s">
        <v>370</v>
      </c>
      <c r="D30" s="35">
        <v>46112</v>
      </c>
      <c r="E30" s="36">
        <v>46262.5</v>
      </c>
      <c r="F30" s="5" t="s">
        <v>379</v>
      </c>
    </row>
    <row r="31" spans="1:6">
      <c r="A31" s="4">
        <f t="shared" si="0"/>
        <v>30</v>
      </c>
      <c r="B31" s="4" t="s">
        <v>380</v>
      </c>
      <c r="C31" s="5" t="s">
        <v>357</v>
      </c>
      <c r="D31" s="35">
        <v>46083</v>
      </c>
      <c r="E31" s="36">
        <v>33400</v>
      </c>
      <c r="F31" s="5" t="s">
        <v>379</v>
      </c>
    </row>
    <row r="32" spans="1:6">
      <c r="A32" s="4">
        <f t="shared" si="0"/>
        <v>31</v>
      </c>
      <c r="B32" s="4" t="s">
        <v>381</v>
      </c>
      <c r="C32" s="5" t="s">
        <v>353</v>
      </c>
      <c r="D32" s="35">
        <v>46082</v>
      </c>
      <c r="E32" s="36">
        <v>18660</v>
      </c>
      <c r="F32" s="5" t="s">
        <v>379</v>
      </c>
    </row>
    <row r="33" spans="1:6">
      <c r="A33" s="4">
        <f t="shared" si="0"/>
        <v>32</v>
      </c>
      <c r="B33" s="4" t="s">
        <v>382</v>
      </c>
      <c r="C33" s="5" t="s">
        <v>358</v>
      </c>
      <c r="D33" s="35">
        <v>46082</v>
      </c>
      <c r="E33" s="36">
        <v>1588.8</v>
      </c>
      <c r="F33" s="5" t="s">
        <v>379</v>
      </c>
    </row>
    <row r="34" spans="1:6">
      <c r="A34" s="4">
        <f t="shared" si="0"/>
        <v>33</v>
      </c>
      <c r="B34" s="4" t="s">
        <v>383</v>
      </c>
      <c r="C34" s="5" t="s">
        <v>357</v>
      </c>
      <c r="D34" s="35">
        <v>46082</v>
      </c>
      <c r="E34" s="36">
        <v>81830.100000000006</v>
      </c>
      <c r="F34" s="5" t="s">
        <v>379</v>
      </c>
    </row>
    <row r="35" spans="1:6">
      <c r="A35" s="4">
        <f t="shared" si="0"/>
        <v>34</v>
      </c>
      <c r="B35" s="4" t="s">
        <v>383</v>
      </c>
      <c r="C35" s="5" t="s">
        <v>366</v>
      </c>
      <c r="D35" s="35">
        <v>46082</v>
      </c>
      <c r="E35" s="36">
        <v>467149.15</v>
      </c>
      <c r="F35" s="5" t="s">
        <v>379</v>
      </c>
    </row>
    <row r="36" spans="1:6">
      <c r="A36" s="4">
        <f t="shared" si="0"/>
        <v>35</v>
      </c>
      <c r="B36" s="4" t="s">
        <v>383</v>
      </c>
      <c r="C36" s="5" t="s">
        <v>362</v>
      </c>
      <c r="D36" s="35">
        <v>46082</v>
      </c>
      <c r="E36" s="36">
        <v>79318.27</v>
      </c>
      <c r="F36" s="5" t="s">
        <v>379</v>
      </c>
    </row>
    <row r="37" spans="1:6">
      <c r="A37" s="4">
        <f t="shared" si="0"/>
        <v>36</v>
      </c>
      <c r="B37" s="4" t="s">
        <v>383</v>
      </c>
      <c r="C37" s="5" t="s">
        <v>358</v>
      </c>
      <c r="D37" s="35">
        <v>46082</v>
      </c>
      <c r="E37" s="36">
        <v>101419.19</v>
      </c>
      <c r="F37" s="5" t="s">
        <v>379</v>
      </c>
    </row>
    <row r="38" spans="1:6">
      <c r="A38" s="4">
        <f t="shared" si="0"/>
        <v>37</v>
      </c>
      <c r="B38" s="4" t="s">
        <v>383</v>
      </c>
      <c r="C38" s="5" t="s">
        <v>365</v>
      </c>
      <c r="D38" s="35">
        <v>46082</v>
      </c>
      <c r="E38" s="36">
        <v>59012</v>
      </c>
      <c r="F38" s="5" t="s">
        <v>379</v>
      </c>
    </row>
    <row r="39" spans="1:6">
      <c r="A39" s="4">
        <f t="shared" si="0"/>
        <v>38</v>
      </c>
      <c r="B39" s="4" t="s">
        <v>383</v>
      </c>
      <c r="C39" s="5" t="s">
        <v>359</v>
      </c>
      <c r="D39" s="35">
        <v>46082</v>
      </c>
      <c r="E39" s="36">
        <v>39306</v>
      </c>
      <c r="F39" s="5" t="s">
        <v>379</v>
      </c>
    </row>
    <row r="40" spans="1:6">
      <c r="A40" s="4">
        <f t="shared" si="0"/>
        <v>39</v>
      </c>
      <c r="B40" s="4" t="s">
        <v>383</v>
      </c>
      <c r="C40" s="5" t="s">
        <v>352</v>
      </c>
      <c r="D40" s="35">
        <v>46082</v>
      </c>
      <c r="E40" s="36">
        <v>21403.5</v>
      </c>
      <c r="F40" s="5" t="s">
        <v>379</v>
      </c>
    </row>
    <row r="41" spans="1:6">
      <c r="A41" s="4">
        <f t="shared" si="0"/>
        <v>40</v>
      </c>
      <c r="B41" s="4" t="s">
        <v>384</v>
      </c>
      <c r="C41" s="5" t="s">
        <v>360</v>
      </c>
      <c r="D41" s="35">
        <v>46082</v>
      </c>
      <c r="E41" s="36">
        <v>172</v>
      </c>
      <c r="F41" s="5" t="s">
        <v>379</v>
      </c>
    </row>
    <row r="42" spans="1:6">
      <c r="A42" s="4">
        <f t="shared" si="0"/>
        <v>41</v>
      </c>
      <c r="B42" s="4" t="s">
        <v>385</v>
      </c>
      <c r="C42" s="5" t="s">
        <v>361</v>
      </c>
      <c r="D42" s="35">
        <v>46082</v>
      </c>
      <c r="E42" s="5">
        <v>948000</v>
      </c>
      <c r="F42" s="5" t="s">
        <v>386</v>
      </c>
    </row>
    <row r="43" spans="1:6">
      <c r="A43" s="4">
        <f t="shared" si="0"/>
        <v>42</v>
      </c>
      <c r="B43" s="4" t="s">
        <v>385</v>
      </c>
      <c r="C43" s="5" t="s">
        <v>351</v>
      </c>
      <c r="D43" s="35">
        <v>46082</v>
      </c>
      <c r="E43" s="5">
        <v>38117976.47058823</v>
      </c>
      <c r="F43" s="5" t="s">
        <v>386</v>
      </c>
    </row>
    <row r="44" spans="1:6">
      <c r="A44" s="4">
        <f t="shared" si="0"/>
        <v>43</v>
      </c>
      <c r="B44" s="4" t="s">
        <v>385</v>
      </c>
      <c r="C44" s="5" t="s">
        <v>357</v>
      </c>
      <c r="D44" s="35">
        <v>46082</v>
      </c>
      <c r="E44" s="5">
        <v>97481029.411764726</v>
      </c>
      <c r="F44" s="5" t="s">
        <v>386</v>
      </c>
    </row>
    <row r="45" spans="1:6">
      <c r="A45" s="4">
        <f t="shared" si="0"/>
        <v>44</v>
      </c>
      <c r="B45" s="4" t="s">
        <v>380</v>
      </c>
      <c r="C45" s="5" t="s">
        <v>357</v>
      </c>
      <c r="D45" s="35">
        <v>46055</v>
      </c>
      <c r="E45" s="36">
        <v>7770</v>
      </c>
      <c r="F45" s="5" t="s">
        <v>379</v>
      </c>
    </row>
    <row r="46" spans="1:6">
      <c r="A46" s="4">
        <f t="shared" si="0"/>
        <v>45</v>
      </c>
      <c r="B46" s="4" t="s">
        <v>381</v>
      </c>
      <c r="C46" s="5" t="s">
        <v>353</v>
      </c>
      <c r="D46" s="35">
        <v>46054</v>
      </c>
      <c r="E46" s="36">
        <v>36836.85</v>
      </c>
      <c r="F46" s="5" t="s">
        <v>379</v>
      </c>
    </row>
    <row r="47" spans="1:6">
      <c r="A47" s="4">
        <f t="shared" si="0"/>
        <v>46</v>
      </c>
      <c r="B47" s="4" t="s">
        <v>382</v>
      </c>
      <c r="C47" s="5" t="s">
        <v>353</v>
      </c>
      <c r="D47" s="35">
        <v>46054</v>
      </c>
      <c r="E47" s="36">
        <v>466.5</v>
      </c>
      <c r="F47" s="5" t="s">
        <v>379</v>
      </c>
    </row>
    <row r="48" spans="1:6">
      <c r="A48" s="4">
        <f t="shared" si="0"/>
        <v>47</v>
      </c>
      <c r="B48" s="4" t="s">
        <v>382</v>
      </c>
      <c r="C48" s="5" t="s">
        <v>366</v>
      </c>
      <c r="D48" s="35">
        <v>46054</v>
      </c>
      <c r="E48" s="36">
        <v>816</v>
      </c>
      <c r="F48" s="5" t="s">
        <v>379</v>
      </c>
    </row>
    <row r="49" spans="1:6">
      <c r="A49" s="4">
        <f t="shared" si="0"/>
        <v>48</v>
      </c>
      <c r="B49" s="4" t="s">
        <v>382</v>
      </c>
      <c r="C49" s="5" t="s">
        <v>365</v>
      </c>
      <c r="D49" s="35">
        <v>46054</v>
      </c>
      <c r="E49" s="36">
        <v>12164</v>
      </c>
      <c r="F49" s="5" t="s">
        <v>379</v>
      </c>
    </row>
    <row r="50" spans="1:6">
      <c r="A50" s="4">
        <f t="shared" si="0"/>
        <v>49</v>
      </c>
      <c r="B50" s="4" t="s">
        <v>383</v>
      </c>
      <c r="C50" s="5" t="s">
        <v>357</v>
      </c>
      <c r="D50" s="35">
        <v>46054</v>
      </c>
      <c r="E50" s="36">
        <v>36961</v>
      </c>
      <c r="F50" s="5" t="s">
        <v>379</v>
      </c>
    </row>
    <row r="51" spans="1:6">
      <c r="A51" s="4">
        <f t="shared" si="0"/>
        <v>50</v>
      </c>
      <c r="B51" s="4" t="s">
        <v>383</v>
      </c>
      <c r="C51" s="5" t="s">
        <v>366</v>
      </c>
      <c r="D51" s="35">
        <v>46054</v>
      </c>
      <c r="E51" s="36">
        <v>277489.46999999997</v>
      </c>
      <c r="F51" s="5" t="s">
        <v>379</v>
      </c>
    </row>
    <row r="52" spans="1:6">
      <c r="A52" s="4">
        <f t="shared" si="0"/>
        <v>51</v>
      </c>
      <c r="B52" s="4" t="s">
        <v>383</v>
      </c>
      <c r="C52" s="5" t="s">
        <v>362</v>
      </c>
      <c r="D52" s="35">
        <v>46054</v>
      </c>
      <c r="E52" s="36">
        <v>30463.94</v>
      </c>
      <c r="F52" s="5" t="s">
        <v>379</v>
      </c>
    </row>
    <row r="53" spans="1:6">
      <c r="A53" s="4">
        <f t="shared" si="0"/>
        <v>52</v>
      </c>
      <c r="B53" s="4" t="s">
        <v>383</v>
      </c>
      <c r="C53" s="5" t="s">
        <v>358</v>
      </c>
      <c r="D53" s="35">
        <v>46054</v>
      </c>
      <c r="E53" s="36">
        <v>179930.55</v>
      </c>
      <c r="F53" s="5" t="s">
        <v>379</v>
      </c>
    </row>
    <row r="54" spans="1:6">
      <c r="A54" s="4">
        <f t="shared" si="0"/>
        <v>53</v>
      </c>
      <c r="B54" s="4" t="s">
        <v>383</v>
      </c>
      <c r="C54" s="5" t="s">
        <v>365</v>
      </c>
      <c r="D54" s="35">
        <v>46054</v>
      </c>
      <c r="E54" s="36">
        <v>64952</v>
      </c>
      <c r="F54" s="5" t="s">
        <v>379</v>
      </c>
    </row>
    <row r="55" spans="1:6">
      <c r="A55" s="4">
        <f t="shared" si="0"/>
        <v>54</v>
      </c>
      <c r="B55" s="4" t="s">
        <v>383</v>
      </c>
      <c r="C55" s="5" t="s">
        <v>367</v>
      </c>
      <c r="D55" s="35">
        <v>46054</v>
      </c>
      <c r="E55" s="36">
        <v>1459.74</v>
      </c>
      <c r="F55" s="5" t="s">
        <v>379</v>
      </c>
    </row>
    <row r="56" spans="1:6">
      <c r="A56" s="4">
        <f t="shared" si="0"/>
        <v>55</v>
      </c>
      <c r="B56" s="4" t="s">
        <v>383</v>
      </c>
      <c r="C56" s="5" t="s">
        <v>359</v>
      </c>
      <c r="D56" s="35">
        <v>46054</v>
      </c>
      <c r="E56" s="36">
        <v>56878</v>
      </c>
      <c r="F56" s="5" t="s">
        <v>379</v>
      </c>
    </row>
    <row r="57" spans="1:6">
      <c r="A57" s="4">
        <f t="shared" si="0"/>
        <v>56</v>
      </c>
      <c r="B57" s="4" t="s">
        <v>383</v>
      </c>
      <c r="C57" s="5" t="s">
        <v>352</v>
      </c>
      <c r="D57" s="35">
        <v>46054</v>
      </c>
      <c r="E57" s="36">
        <v>30420.400000000001</v>
      </c>
      <c r="F57" s="5" t="s">
        <v>379</v>
      </c>
    </row>
    <row r="58" spans="1:6">
      <c r="A58" s="4">
        <f t="shared" si="0"/>
        <v>57</v>
      </c>
      <c r="B58" s="4" t="s">
        <v>378</v>
      </c>
      <c r="C58" s="5" t="s">
        <v>353</v>
      </c>
      <c r="D58" s="35">
        <v>46054</v>
      </c>
      <c r="E58" s="36">
        <v>17589</v>
      </c>
      <c r="F58" s="5" t="s">
        <v>379</v>
      </c>
    </row>
    <row r="59" spans="1:6">
      <c r="A59" s="4">
        <f t="shared" si="0"/>
        <v>58</v>
      </c>
      <c r="B59" s="4" t="s">
        <v>378</v>
      </c>
      <c r="C59" s="5" t="s">
        <v>358</v>
      </c>
      <c r="D59" s="35">
        <v>46054</v>
      </c>
      <c r="E59" s="36">
        <v>107143.22</v>
      </c>
      <c r="F59" s="5" t="s">
        <v>379</v>
      </c>
    </row>
    <row r="60" spans="1:6">
      <c r="A60" s="4">
        <f t="shared" si="0"/>
        <v>59</v>
      </c>
      <c r="B60" s="4" t="s">
        <v>378</v>
      </c>
      <c r="C60" s="5" t="s">
        <v>357</v>
      </c>
      <c r="D60" s="35">
        <v>46054</v>
      </c>
      <c r="E60" s="36">
        <v>84873.94</v>
      </c>
      <c r="F60" s="5" t="s">
        <v>379</v>
      </c>
    </row>
    <row r="61" spans="1:6">
      <c r="A61" s="4">
        <f t="shared" si="0"/>
        <v>60</v>
      </c>
      <c r="B61" s="4" t="s">
        <v>378</v>
      </c>
      <c r="C61" s="5" t="s">
        <v>362</v>
      </c>
      <c r="D61" s="35">
        <v>46054</v>
      </c>
      <c r="E61" s="36">
        <v>5786.83</v>
      </c>
      <c r="F61" s="5" t="s">
        <v>379</v>
      </c>
    </row>
    <row r="62" spans="1:6">
      <c r="A62" s="4">
        <f t="shared" si="0"/>
        <v>61</v>
      </c>
      <c r="B62" s="4" t="s">
        <v>378</v>
      </c>
      <c r="C62" s="5" t="s">
        <v>366</v>
      </c>
      <c r="D62" s="35">
        <v>46054</v>
      </c>
      <c r="E62" s="36">
        <v>2554.8000000000002</v>
      </c>
      <c r="F62" s="5" t="s">
        <v>379</v>
      </c>
    </row>
    <row r="63" spans="1:6">
      <c r="A63" s="4">
        <f t="shared" si="0"/>
        <v>62</v>
      </c>
      <c r="B63" s="4" t="s">
        <v>378</v>
      </c>
      <c r="C63" s="5" t="s">
        <v>370</v>
      </c>
      <c r="D63" s="35">
        <v>46054</v>
      </c>
      <c r="E63" s="36">
        <v>70860</v>
      </c>
      <c r="F63" s="5" t="s">
        <v>379</v>
      </c>
    </row>
    <row r="64" spans="1:6">
      <c r="A64" s="4">
        <f t="shared" si="0"/>
        <v>63</v>
      </c>
      <c r="B64" s="4" t="s">
        <v>384</v>
      </c>
      <c r="C64" s="5" t="s">
        <v>360</v>
      </c>
      <c r="D64" s="35">
        <v>46054</v>
      </c>
      <c r="E64" s="36">
        <v>975</v>
      </c>
      <c r="F64" s="5" t="s">
        <v>379</v>
      </c>
    </row>
    <row r="65" spans="1:6">
      <c r="A65" s="4">
        <f t="shared" si="0"/>
        <v>64</v>
      </c>
      <c r="B65" s="4" t="s">
        <v>384</v>
      </c>
      <c r="C65" s="5" t="s">
        <v>356</v>
      </c>
      <c r="D65" s="35">
        <v>46054</v>
      </c>
      <c r="E65" s="36">
        <v>978</v>
      </c>
      <c r="F65" s="5" t="s">
        <v>379</v>
      </c>
    </row>
    <row r="66" spans="1:6">
      <c r="A66" s="4">
        <f t="shared" si="0"/>
        <v>65</v>
      </c>
      <c r="B66" s="4" t="s">
        <v>385</v>
      </c>
      <c r="C66" s="5" t="s">
        <v>361</v>
      </c>
      <c r="D66" s="35">
        <v>46054</v>
      </c>
      <c r="E66" s="5">
        <v>14023571.428571429</v>
      </c>
      <c r="F66" s="5" t="s">
        <v>386</v>
      </c>
    </row>
    <row r="67" spans="1:6">
      <c r="A67" s="4">
        <f t="shared" si="0"/>
        <v>66</v>
      </c>
      <c r="B67" s="4" t="s">
        <v>385</v>
      </c>
      <c r="C67" s="5" t="s">
        <v>351</v>
      </c>
      <c r="D67" s="35">
        <v>46054</v>
      </c>
      <c r="E67" s="5">
        <v>47164076.190476179</v>
      </c>
      <c r="F67" s="5" t="s">
        <v>386</v>
      </c>
    </row>
    <row r="68" spans="1:6">
      <c r="A68" s="4">
        <f t="shared" si="0"/>
        <v>67</v>
      </c>
      <c r="B68" s="4" t="s">
        <v>385</v>
      </c>
      <c r="C68" s="5" t="s">
        <v>357</v>
      </c>
      <c r="D68" s="35">
        <v>46054</v>
      </c>
      <c r="E68" s="5">
        <v>82184523.80952391</v>
      </c>
      <c r="F68" s="5" t="s">
        <v>386</v>
      </c>
    </row>
    <row r="69" spans="1:6">
      <c r="A69" s="4">
        <f t="shared" si="0"/>
        <v>68</v>
      </c>
      <c r="B69" s="4" t="s">
        <v>387</v>
      </c>
      <c r="C69" s="5" t="s">
        <v>354</v>
      </c>
      <c r="D69" s="37">
        <v>46024</v>
      </c>
      <c r="E69" s="36">
        <v>188</v>
      </c>
      <c r="F69" s="5" t="s">
        <v>379</v>
      </c>
    </row>
    <row r="70" spans="1:6">
      <c r="A70" s="4">
        <f t="shared" si="0"/>
        <v>69</v>
      </c>
      <c r="B70" s="4" t="s">
        <v>380</v>
      </c>
      <c r="C70" s="5" t="s">
        <v>357</v>
      </c>
      <c r="D70" s="35">
        <v>46024</v>
      </c>
      <c r="E70" s="36">
        <v>2200</v>
      </c>
      <c r="F70" s="5" t="s">
        <v>379</v>
      </c>
    </row>
    <row r="71" spans="1:6">
      <c r="A71" s="4">
        <f t="shared" si="0"/>
        <v>70</v>
      </c>
      <c r="B71" s="4" t="s">
        <v>381</v>
      </c>
      <c r="C71" s="5" t="s">
        <v>353</v>
      </c>
      <c r="D71" s="35">
        <v>46023</v>
      </c>
      <c r="E71" s="36">
        <v>16857.02</v>
      </c>
      <c r="F71" s="5" t="s">
        <v>379</v>
      </c>
    </row>
    <row r="72" spans="1:6">
      <c r="A72" s="4">
        <f t="shared" si="0"/>
        <v>71</v>
      </c>
      <c r="B72" s="4" t="s">
        <v>382</v>
      </c>
      <c r="C72" s="5" t="s">
        <v>362</v>
      </c>
      <c r="D72" s="35">
        <v>46023</v>
      </c>
      <c r="E72" s="36">
        <v>2984.82</v>
      </c>
      <c r="F72" s="5" t="s">
        <v>379</v>
      </c>
    </row>
    <row r="73" spans="1:6">
      <c r="A73" s="4">
        <f t="shared" si="0"/>
        <v>72</v>
      </c>
      <c r="B73" s="4" t="s">
        <v>382</v>
      </c>
      <c r="C73" s="5" t="s">
        <v>357</v>
      </c>
      <c r="D73" s="35">
        <v>46023</v>
      </c>
      <c r="E73" s="36">
        <v>545</v>
      </c>
      <c r="F73" s="5" t="s">
        <v>379</v>
      </c>
    </row>
    <row r="74" spans="1:6">
      <c r="A74" s="4">
        <f t="shared" si="0"/>
        <v>73</v>
      </c>
      <c r="B74" s="4" t="s">
        <v>382</v>
      </c>
      <c r="C74" s="5" t="s">
        <v>366</v>
      </c>
      <c r="D74" s="35">
        <v>46023</v>
      </c>
      <c r="E74" s="36">
        <v>2838</v>
      </c>
      <c r="F74" s="5" t="s">
        <v>379</v>
      </c>
    </row>
    <row r="75" spans="1:6">
      <c r="A75" s="4">
        <f t="shared" ref="A75:A138" si="1">ROW()-1</f>
        <v>74</v>
      </c>
      <c r="B75" s="4" t="s">
        <v>382</v>
      </c>
      <c r="C75" s="5" t="s">
        <v>358</v>
      </c>
      <c r="D75" s="35">
        <v>46023</v>
      </c>
      <c r="E75" s="36">
        <v>2757</v>
      </c>
      <c r="F75" s="5" t="s">
        <v>379</v>
      </c>
    </row>
    <row r="76" spans="1:6">
      <c r="A76" s="4">
        <f t="shared" si="1"/>
        <v>75</v>
      </c>
      <c r="B76" s="4" t="s">
        <v>383</v>
      </c>
      <c r="C76" s="5" t="s">
        <v>357</v>
      </c>
      <c r="D76" s="35">
        <v>46023</v>
      </c>
      <c r="E76" s="36">
        <v>56627.7</v>
      </c>
      <c r="F76" s="5" t="s">
        <v>379</v>
      </c>
    </row>
    <row r="77" spans="1:6">
      <c r="A77" s="4">
        <f t="shared" si="1"/>
        <v>76</v>
      </c>
      <c r="B77" s="4" t="s">
        <v>383</v>
      </c>
      <c r="C77" s="5" t="s">
        <v>366</v>
      </c>
      <c r="D77" s="35">
        <v>46023</v>
      </c>
      <c r="E77" s="36">
        <v>78834.649999999994</v>
      </c>
      <c r="F77" s="5" t="s">
        <v>379</v>
      </c>
    </row>
    <row r="78" spans="1:6">
      <c r="A78" s="4">
        <f t="shared" si="1"/>
        <v>77</v>
      </c>
      <c r="B78" s="4" t="s">
        <v>383</v>
      </c>
      <c r="C78" s="5" t="s">
        <v>362</v>
      </c>
      <c r="D78" s="35">
        <v>46023</v>
      </c>
      <c r="E78" s="36">
        <v>12499.8</v>
      </c>
      <c r="F78" s="5" t="s">
        <v>379</v>
      </c>
    </row>
    <row r="79" spans="1:6">
      <c r="A79" s="4">
        <f t="shared" si="1"/>
        <v>78</v>
      </c>
      <c r="B79" s="4" t="s">
        <v>383</v>
      </c>
      <c r="C79" s="5" t="s">
        <v>358</v>
      </c>
      <c r="D79" s="35">
        <v>46023</v>
      </c>
      <c r="E79" s="36">
        <v>158336.32000000001</v>
      </c>
      <c r="F79" s="5" t="s">
        <v>379</v>
      </c>
    </row>
    <row r="80" spans="1:6">
      <c r="A80" s="4">
        <f t="shared" si="1"/>
        <v>79</v>
      </c>
      <c r="B80" s="4" t="s">
        <v>383</v>
      </c>
      <c r="C80" s="5" t="s">
        <v>365</v>
      </c>
      <c r="D80" s="35">
        <v>46023</v>
      </c>
      <c r="E80" s="36">
        <v>126540</v>
      </c>
      <c r="F80" s="5" t="s">
        <v>379</v>
      </c>
    </row>
    <row r="81" spans="1:6">
      <c r="A81" s="4">
        <f t="shared" si="1"/>
        <v>80</v>
      </c>
      <c r="B81" s="4" t="s">
        <v>383</v>
      </c>
      <c r="C81" s="5" t="s">
        <v>359</v>
      </c>
      <c r="D81" s="35">
        <v>46023</v>
      </c>
      <c r="E81" s="36">
        <v>70682</v>
      </c>
      <c r="F81" s="5" t="s">
        <v>379</v>
      </c>
    </row>
    <row r="82" spans="1:6">
      <c r="A82" s="4">
        <f t="shared" si="1"/>
        <v>81</v>
      </c>
      <c r="B82" s="4" t="s">
        <v>383</v>
      </c>
      <c r="C82" s="5" t="s">
        <v>352</v>
      </c>
      <c r="D82" s="35">
        <v>46023</v>
      </c>
      <c r="E82" s="36">
        <v>51115.65</v>
      </c>
      <c r="F82" s="5" t="s">
        <v>379</v>
      </c>
    </row>
    <row r="83" spans="1:6">
      <c r="A83" s="4">
        <f t="shared" si="1"/>
        <v>82</v>
      </c>
      <c r="B83" s="4" t="s">
        <v>378</v>
      </c>
      <c r="C83" s="5" t="s">
        <v>358</v>
      </c>
      <c r="D83" s="35">
        <v>46023</v>
      </c>
      <c r="E83" s="36">
        <v>43161</v>
      </c>
      <c r="F83" s="5" t="s">
        <v>379</v>
      </c>
    </row>
    <row r="84" spans="1:6">
      <c r="A84" s="4">
        <f t="shared" si="1"/>
        <v>83</v>
      </c>
      <c r="B84" s="4" t="s">
        <v>378</v>
      </c>
      <c r="C84" s="5" t="s">
        <v>357</v>
      </c>
      <c r="D84" s="35">
        <v>46023</v>
      </c>
      <c r="E84" s="36">
        <v>28610.799999999999</v>
      </c>
      <c r="F84" s="5" t="s">
        <v>379</v>
      </c>
    </row>
    <row r="85" spans="1:6">
      <c r="A85" s="4">
        <f t="shared" si="1"/>
        <v>84</v>
      </c>
      <c r="B85" s="4" t="s">
        <v>378</v>
      </c>
      <c r="C85" s="5" t="s">
        <v>365</v>
      </c>
      <c r="D85" s="35">
        <v>46023</v>
      </c>
      <c r="E85" s="36">
        <v>5408</v>
      </c>
      <c r="F85" s="5" t="s">
        <v>379</v>
      </c>
    </row>
    <row r="86" spans="1:6">
      <c r="A86" s="4">
        <f t="shared" si="1"/>
        <v>85</v>
      </c>
      <c r="B86" s="4" t="s">
        <v>378</v>
      </c>
      <c r="C86" s="5" t="s">
        <v>370</v>
      </c>
      <c r="D86" s="35">
        <v>46023</v>
      </c>
      <c r="E86" s="36">
        <v>50757.5</v>
      </c>
      <c r="F86" s="5" t="s">
        <v>379</v>
      </c>
    </row>
    <row r="87" spans="1:6">
      <c r="A87" s="4">
        <f t="shared" si="1"/>
        <v>86</v>
      </c>
      <c r="B87" s="4" t="s">
        <v>385</v>
      </c>
      <c r="C87" s="5" t="s">
        <v>361</v>
      </c>
      <c r="D87" s="35">
        <v>46023</v>
      </c>
      <c r="E87" s="5">
        <v>22752000</v>
      </c>
      <c r="F87" s="5" t="s">
        <v>386</v>
      </c>
    </row>
    <row r="88" spans="1:6">
      <c r="A88" s="4">
        <f t="shared" si="1"/>
        <v>87</v>
      </c>
      <c r="B88" s="4" t="s">
        <v>385</v>
      </c>
      <c r="C88" s="5" t="s">
        <v>351</v>
      </c>
      <c r="D88" s="35">
        <v>46023</v>
      </c>
      <c r="E88" s="5">
        <v>49672127.272727266</v>
      </c>
      <c r="F88" s="5" t="s">
        <v>386</v>
      </c>
    </row>
    <row r="89" spans="1:6">
      <c r="A89" s="4">
        <f t="shared" si="1"/>
        <v>88</v>
      </c>
      <c r="B89" s="4" t="s">
        <v>385</v>
      </c>
      <c r="C89" s="5" t="s">
        <v>357</v>
      </c>
      <c r="D89" s="35">
        <v>46023</v>
      </c>
      <c r="E89" s="5">
        <v>63178636.363636307</v>
      </c>
      <c r="F89" s="5" t="s">
        <v>386</v>
      </c>
    </row>
    <row r="90" spans="1:6">
      <c r="A90" s="4">
        <f t="shared" si="1"/>
        <v>89</v>
      </c>
      <c r="B90" s="4" t="s">
        <v>387</v>
      </c>
      <c r="C90" s="5" t="s">
        <v>354</v>
      </c>
      <c r="D90" s="37">
        <v>45993</v>
      </c>
      <c r="E90" s="36">
        <v>690</v>
      </c>
      <c r="F90" s="5" t="s">
        <v>379</v>
      </c>
    </row>
    <row r="91" spans="1:6">
      <c r="A91" s="4">
        <f t="shared" si="1"/>
        <v>90</v>
      </c>
      <c r="B91" s="4" t="s">
        <v>380</v>
      </c>
      <c r="C91" s="5" t="s">
        <v>357</v>
      </c>
      <c r="D91" s="35">
        <v>45993</v>
      </c>
      <c r="E91" s="36">
        <v>2140</v>
      </c>
      <c r="F91" s="5" t="s">
        <v>379</v>
      </c>
    </row>
    <row r="92" spans="1:6">
      <c r="A92" s="4">
        <f t="shared" si="1"/>
        <v>91</v>
      </c>
      <c r="B92" s="4" t="s">
        <v>381</v>
      </c>
      <c r="C92" s="5" t="s">
        <v>353</v>
      </c>
      <c r="D92" s="35">
        <v>45992</v>
      </c>
      <c r="E92" s="36">
        <v>25819.119999999999</v>
      </c>
      <c r="F92" s="5" t="s">
        <v>379</v>
      </c>
    </row>
    <row r="93" spans="1:6">
      <c r="A93" s="4">
        <f t="shared" si="1"/>
        <v>92</v>
      </c>
      <c r="B93" s="4" t="s">
        <v>382</v>
      </c>
      <c r="C93" s="5" t="s">
        <v>358</v>
      </c>
      <c r="D93" s="35">
        <v>45992</v>
      </c>
      <c r="E93" s="36">
        <v>7008</v>
      </c>
      <c r="F93" s="5" t="s">
        <v>379</v>
      </c>
    </row>
    <row r="94" spans="1:6">
      <c r="A94" s="4">
        <f t="shared" si="1"/>
        <v>93</v>
      </c>
      <c r="B94" s="4" t="s">
        <v>382</v>
      </c>
      <c r="C94" s="5" t="s">
        <v>365</v>
      </c>
      <c r="D94" s="35">
        <v>45992</v>
      </c>
      <c r="E94" s="36">
        <v>7484</v>
      </c>
      <c r="F94" s="5" t="s">
        <v>379</v>
      </c>
    </row>
    <row r="95" spans="1:6">
      <c r="A95" s="4">
        <f t="shared" si="1"/>
        <v>94</v>
      </c>
      <c r="B95" s="4" t="s">
        <v>383</v>
      </c>
      <c r="C95" s="5" t="s">
        <v>357</v>
      </c>
      <c r="D95" s="35">
        <v>45992</v>
      </c>
      <c r="E95" s="36">
        <v>74622.319999999992</v>
      </c>
      <c r="F95" s="5" t="s">
        <v>379</v>
      </c>
    </row>
    <row r="96" spans="1:6">
      <c r="A96" s="4">
        <f t="shared" si="1"/>
        <v>95</v>
      </c>
      <c r="B96" s="4" t="s">
        <v>383</v>
      </c>
      <c r="C96" s="5" t="s">
        <v>366</v>
      </c>
      <c r="D96" s="35">
        <v>45992</v>
      </c>
      <c r="E96" s="36">
        <v>14040.56</v>
      </c>
      <c r="F96" s="5" t="s">
        <v>379</v>
      </c>
    </row>
    <row r="97" spans="1:6">
      <c r="A97" s="4">
        <f t="shared" si="1"/>
        <v>96</v>
      </c>
      <c r="B97" s="4" t="s">
        <v>383</v>
      </c>
      <c r="C97" s="5" t="s">
        <v>362</v>
      </c>
      <c r="D97" s="35">
        <v>45992</v>
      </c>
      <c r="E97" s="36">
        <v>12326.2</v>
      </c>
      <c r="F97" s="5" t="s">
        <v>379</v>
      </c>
    </row>
    <row r="98" spans="1:6">
      <c r="A98" s="4">
        <f t="shared" si="1"/>
        <v>97</v>
      </c>
      <c r="B98" s="4" t="s">
        <v>383</v>
      </c>
      <c r="C98" s="5" t="s">
        <v>358</v>
      </c>
      <c r="D98" s="35">
        <v>45992</v>
      </c>
      <c r="E98" s="36">
        <v>67955.61</v>
      </c>
      <c r="F98" s="5" t="s">
        <v>379</v>
      </c>
    </row>
    <row r="99" spans="1:6">
      <c r="A99" s="4">
        <f t="shared" si="1"/>
        <v>98</v>
      </c>
      <c r="B99" s="4" t="s">
        <v>383</v>
      </c>
      <c r="C99" s="5" t="s">
        <v>365</v>
      </c>
      <c r="D99" s="35">
        <v>45992</v>
      </c>
      <c r="E99" s="36">
        <v>34136</v>
      </c>
      <c r="F99" s="5" t="s">
        <v>379</v>
      </c>
    </row>
    <row r="100" spans="1:6">
      <c r="A100" s="4">
        <f t="shared" si="1"/>
        <v>99</v>
      </c>
      <c r="B100" s="4" t="s">
        <v>383</v>
      </c>
      <c r="C100" s="5" t="s">
        <v>367</v>
      </c>
      <c r="D100" s="35">
        <v>45992</v>
      </c>
      <c r="E100" s="36">
        <v>8139.59</v>
      </c>
      <c r="F100" s="5" t="s">
        <v>379</v>
      </c>
    </row>
    <row r="101" spans="1:6">
      <c r="A101" s="4">
        <f t="shared" si="1"/>
        <v>100</v>
      </c>
      <c r="B101" s="4" t="s">
        <v>383</v>
      </c>
      <c r="C101" s="5" t="s">
        <v>359</v>
      </c>
      <c r="D101" s="35">
        <v>45992</v>
      </c>
      <c r="E101" s="36">
        <v>47456</v>
      </c>
      <c r="F101" s="5" t="s">
        <v>379</v>
      </c>
    </row>
    <row r="102" spans="1:6">
      <c r="A102" s="4">
        <f t="shared" si="1"/>
        <v>101</v>
      </c>
      <c r="B102" s="4" t="s">
        <v>383</v>
      </c>
      <c r="C102" s="5" t="s">
        <v>352</v>
      </c>
      <c r="D102" s="35">
        <v>45992</v>
      </c>
      <c r="E102" s="36">
        <v>32592.5</v>
      </c>
      <c r="F102" s="5" t="s">
        <v>379</v>
      </c>
    </row>
    <row r="103" spans="1:6">
      <c r="A103" s="4">
        <f t="shared" si="1"/>
        <v>102</v>
      </c>
      <c r="B103" s="4" t="s">
        <v>378</v>
      </c>
      <c r="C103" s="5" t="s">
        <v>353</v>
      </c>
      <c r="D103" s="35">
        <v>45992</v>
      </c>
      <c r="E103" s="36">
        <v>1932</v>
      </c>
      <c r="F103" s="5" t="s">
        <v>379</v>
      </c>
    </row>
    <row r="104" spans="1:6">
      <c r="A104" s="4">
        <f t="shared" si="1"/>
        <v>103</v>
      </c>
      <c r="B104" s="4" t="s">
        <v>378</v>
      </c>
      <c r="C104" s="5" t="s">
        <v>358</v>
      </c>
      <c r="D104" s="35">
        <v>45992</v>
      </c>
      <c r="E104" s="36">
        <v>22435.95</v>
      </c>
      <c r="F104" s="5" t="s">
        <v>379</v>
      </c>
    </row>
    <row r="105" spans="1:6">
      <c r="A105" s="4">
        <f t="shared" si="1"/>
        <v>104</v>
      </c>
      <c r="B105" s="4" t="s">
        <v>378</v>
      </c>
      <c r="C105" s="5" t="s">
        <v>357</v>
      </c>
      <c r="D105" s="35">
        <v>45992</v>
      </c>
      <c r="E105" s="36">
        <v>71011.100000000006</v>
      </c>
      <c r="F105" s="5" t="s">
        <v>379</v>
      </c>
    </row>
    <row r="106" spans="1:6">
      <c r="A106" s="4">
        <f t="shared" si="1"/>
        <v>105</v>
      </c>
      <c r="B106" s="4" t="s">
        <v>378</v>
      </c>
      <c r="C106" s="5" t="s">
        <v>362</v>
      </c>
      <c r="D106" s="35">
        <v>45992</v>
      </c>
      <c r="E106" s="36">
        <v>608</v>
      </c>
      <c r="F106" s="5" t="s">
        <v>379</v>
      </c>
    </row>
    <row r="107" spans="1:6">
      <c r="A107" s="4">
        <f t="shared" si="1"/>
        <v>106</v>
      </c>
      <c r="B107" s="4" t="s">
        <v>378</v>
      </c>
      <c r="C107" s="5" t="s">
        <v>366</v>
      </c>
      <c r="D107" s="35">
        <v>45992</v>
      </c>
      <c r="E107" s="36">
        <v>26386</v>
      </c>
      <c r="F107" s="5" t="s">
        <v>379</v>
      </c>
    </row>
    <row r="108" spans="1:6">
      <c r="A108" s="4">
        <f t="shared" si="1"/>
        <v>107</v>
      </c>
      <c r="B108" s="4" t="s">
        <v>385</v>
      </c>
      <c r="C108" s="5" t="s">
        <v>361</v>
      </c>
      <c r="D108" s="35">
        <v>45992</v>
      </c>
      <c r="E108" s="5">
        <v>29003000</v>
      </c>
      <c r="F108" s="5" t="s">
        <v>386</v>
      </c>
    </row>
    <row r="109" spans="1:6">
      <c r="A109" s="4">
        <f t="shared" si="1"/>
        <v>108</v>
      </c>
      <c r="B109" s="4" t="s">
        <v>385</v>
      </c>
      <c r="C109" s="5" t="s">
        <v>351</v>
      </c>
      <c r="D109" s="35">
        <v>45992</v>
      </c>
      <c r="E109" s="5">
        <v>60475400</v>
      </c>
      <c r="F109" s="5" t="s">
        <v>386</v>
      </c>
    </row>
    <row r="110" spans="1:6">
      <c r="A110" s="4">
        <f t="shared" si="1"/>
        <v>109</v>
      </c>
      <c r="B110" s="4" t="s">
        <v>385</v>
      </c>
      <c r="C110" s="5" t="s">
        <v>357</v>
      </c>
      <c r="D110" s="35">
        <v>45992</v>
      </c>
      <c r="E110" s="5">
        <v>41405000</v>
      </c>
      <c r="F110" s="5" t="s">
        <v>386</v>
      </c>
    </row>
    <row r="111" spans="1:6">
      <c r="A111" s="4">
        <f t="shared" si="1"/>
        <v>110</v>
      </c>
      <c r="B111" s="4" t="s">
        <v>387</v>
      </c>
      <c r="C111" s="5" t="s">
        <v>354</v>
      </c>
      <c r="D111" s="37">
        <v>45963</v>
      </c>
      <c r="E111" s="36">
        <v>776</v>
      </c>
      <c r="F111" s="5" t="s">
        <v>379</v>
      </c>
    </row>
    <row r="112" spans="1:6">
      <c r="A112" s="4">
        <f t="shared" si="1"/>
        <v>111</v>
      </c>
      <c r="B112" s="4" t="s">
        <v>380</v>
      </c>
      <c r="C112" s="5" t="s">
        <v>357</v>
      </c>
      <c r="D112" s="35">
        <v>45963</v>
      </c>
      <c r="E112" s="36">
        <v>6238</v>
      </c>
      <c r="F112" s="5" t="s">
        <v>379</v>
      </c>
    </row>
    <row r="113" spans="1:6">
      <c r="A113" s="4">
        <f t="shared" si="1"/>
        <v>112</v>
      </c>
      <c r="B113" s="4" t="s">
        <v>381</v>
      </c>
      <c r="C113" s="5" t="s">
        <v>353</v>
      </c>
      <c r="D113" s="35">
        <v>45962</v>
      </c>
      <c r="E113" s="36">
        <v>31732.66</v>
      </c>
      <c r="F113" s="5" t="s">
        <v>379</v>
      </c>
    </row>
    <row r="114" spans="1:6">
      <c r="A114" s="4">
        <f t="shared" si="1"/>
        <v>113</v>
      </c>
      <c r="B114" s="4" t="s">
        <v>382</v>
      </c>
      <c r="C114" s="5" t="s">
        <v>362</v>
      </c>
      <c r="D114" s="35">
        <v>45962</v>
      </c>
      <c r="E114" s="36">
        <v>3043.78</v>
      </c>
      <c r="F114" s="5" t="s">
        <v>379</v>
      </c>
    </row>
    <row r="115" spans="1:6">
      <c r="A115" s="4">
        <f t="shared" si="1"/>
        <v>114</v>
      </c>
      <c r="B115" s="4" t="s">
        <v>382</v>
      </c>
      <c r="C115" s="5" t="s">
        <v>353</v>
      </c>
      <c r="D115" s="35">
        <v>45962</v>
      </c>
      <c r="E115" s="36">
        <v>3409.06</v>
      </c>
      <c r="F115" s="5" t="s">
        <v>379</v>
      </c>
    </row>
    <row r="116" spans="1:6">
      <c r="A116" s="4">
        <f t="shared" si="1"/>
        <v>115</v>
      </c>
      <c r="B116" s="4" t="s">
        <v>382</v>
      </c>
      <c r="C116" s="5" t="s">
        <v>358</v>
      </c>
      <c r="D116" s="35">
        <v>45962</v>
      </c>
      <c r="E116" s="36">
        <v>2832.58</v>
      </c>
      <c r="F116" s="5" t="s">
        <v>379</v>
      </c>
    </row>
    <row r="117" spans="1:6">
      <c r="A117" s="4">
        <f t="shared" si="1"/>
        <v>116</v>
      </c>
      <c r="B117" s="4" t="s">
        <v>383</v>
      </c>
      <c r="C117" s="5" t="s">
        <v>357</v>
      </c>
      <c r="D117" s="35">
        <v>45962</v>
      </c>
      <c r="E117" s="36">
        <v>54251.96</v>
      </c>
      <c r="F117" s="5" t="s">
        <v>379</v>
      </c>
    </row>
    <row r="118" spans="1:6">
      <c r="A118" s="4">
        <f t="shared" si="1"/>
        <v>117</v>
      </c>
      <c r="B118" s="4" t="s">
        <v>383</v>
      </c>
      <c r="C118" s="5" t="s">
        <v>366</v>
      </c>
      <c r="D118" s="35">
        <v>45962</v>
      </c>
      <c r="E118" s="36">
        <v>49687.85</v>
      </c>
      <c r="F118" s="5" t="s">
        <v>379</v>
      </c>
    </row>
    <row r="119" spans="1:6">
      <c r="A119" s="4">
        <f t="shared" si="1"/>
        <v>118</v>
      </c>
      <c r="B119" s="4" t="s">
        <v>383</v>
      </c>
      <c r="C119" s="5" t="s">
        <v>362</v>
      </c>
      <c r="D119" s="35">
        <v>45962</v>
      </c>
      <c r="E119" s="36">
        <v>21691.64</v>
      </c>
      <c r="F119" s="5" t="s">
        <v>379</v>
      </c>
    </row>
    <row r="120" spans="1:6">
      <c r="A120" s="4">
        <f t="shared" si="1"/>
        <v>119</v>
      </c>
      <c r="B120" s="4" t="s">
        <v>383</v>
      </c>
      <c r="C120" s="5" t="s">
        <v>358</v>
      </c>
      <c r="D120" s="35">
        <v>45962</v>
      </c>
      <c r="E120" s="36">
        <v>213129.05</v>
      </c>
      <c r="F120" s="5" t="s">
        <v>379</v>
      </c>
    </row>
    <row r="121" spans="1:6">
      <c r="A121" s="4">
        <f t="shared" si="1"/>
        <v>120</v>
      </c>
      <c r="B121" s="4" t="s">
        <v>383</v>
      </c>
      <c r="C121" s="5" t="s">
        <v>365</v>
      </c>
      <c r="D121" s="35">
        <v>45962</v>
      </c>
      <c r="E121" s="36">
        <v>113436</v>
      </c>
      <c r="F121" s="5" t="s">
        <v>379</v>
      </c>
    </row>
    <row r="122" spans="1:6">
      <c r="A122" s="4">
        <f t="shared" si="1"/>
        <v>121</v>
      </c>
      <c r="B122" s="4" t="s">
        <v>383</v>
      </c>
      <c r="C122" s="5" t="s">
        <v>367</v>
      </c>
      <c r="D122" s="35">
        <v>45962</v>
      </c>
      <c r="E122" s="36">
        <v>6468.24</v>
      </c>
      <c r="F122" s="5" t="s">
        <v>379</v>
      </c>
    </row>
    <row r="123" spans="1:6">
      <c r="A123" s="4">
        <f t="shared" si="1"/>
        <v>122</v>
      </c>
      <c r="B123" s="4" t="s">
        <v>383</v>
      </c>
      <c r="C123" s="5" t="s">
        <v>359</v>
      </c>
      <c r="D123" s="35">
        <v>45962</v>
      </c>
      <c r="E123" s="36">
        <v>38608</v>
      </c>
      <c r="F123" s="5" t="s">
        <v>379</v>
      </c>
    </row>
    <row r="124" spans="1:6">
      <c r="A124" s="4">
        <f t="shared" si="1"/>
        <v>123</v>
      </c>
      <c r="B124" s="4" t="s">
        <v>383</v>
      </c>
      <c r="C124" s="5" t="s">
        <v>352</v>
      </c>
      <c r="D124" s="35">
        <v>45962</v>
      </c>
      <c r="E124" s="36">
        <v>28264.65</v>
      </c>
      <c r="F124" s="5" t="s">
        <v>379</v>
      </c>
    </row>
    <row r="125" spans="1:6">
      <c r="A125" s="4">
        <f t="shared" si="1"/>
        <v>124</v>
      </c>
      <c r="B125" s="4" t="s">
        <v>378</v>
      </c>
      <c r="C125" s="5" t="s">
        <v>353</v>
      </c>
      <c r="D125" s="35">
        <v>45962</v>
      </c>
      <c r="E125" s="36">
        <v>2912</v>
      </c>
      <c r="F125" s="5" t="s">
        <v>379</v>
      </c>
    </row>
    <row r="126" spans="1:6">
      <c r="A126" s="4">
        <f t="shared" si="1"/>
        <v>125</v>
      </c>
      <c r="B126" s="4" t="s">
        <v>378</v>
      </c>
      <c r="C126" s="5" t="s">
        <v>358</v>
      </c>
      <c r="D126" s="35">
        <v>45962</v>
      </c>
      <c r="E126" s="36">
        <v>14470.62</v>
      </c>
      <c r="F126" s="5" t="s">
        <v>379</v>
      </c>
    </row>
    <row r="127" spans="1:6">
      <c r="A127" s="4">
        <f t="shared" si="1"/>
        <v>126</v>
      </c>
      <c r="B127" s="4" t="s">
        <v>378</v>
      </c>
      <c r="C127" s="5" t="s">
        <v>357</v>
      </c>
      <c r="D127" s="35">
        <v>45962</v>
      </c>
      <c r="E127" s="36">
        <v>47334.52</v>
      </c>
      <c r="F127" s="5" t="s">
        <v>379</v>
      </c>
    </row>
    <row r="128" spans="1:6">
      <c r="A128" s="4">
        <f t="shared" si="1"/>
        <v>127</v>
      </c>
      <c r="B128" s="4" t="s">
        <v>384</v>
      </c>
      <c r="C128" s="5" t="s">
        <v>360</v>
      </c>
      <c r="D128" s="35">
        <v>45962</v>
      </c>
      <c r="E128" s="36">
        <v>344</v>
      </c>
      <c r="F128" s="5" t="s">
        <v>379</v>
      </c>
    </row>
    <row r="129" spans="1:6">
      <c r="A129" s="4">
        <f t="shared" si="1"/>
        <v>128</v>
      </c>
      <c r="B129" s="4" t="s">
        <v>385</v>
      </c>
      <c r="C129" s="5" t="s">
        <v>361</v>
      </c>
      <c r="D129" s="35">
        <v>45962</v>
      </c>
      <c r="E129" s="5">
        <v>22262333.333333332</v>
      </c>
      <c r="F129" s="5" t="s">
        <v>386</v>
      </c>
    </row>
    <row r="130" spans="1:6">
      <c r="A130" s="4">
        <f t="shared" si="1"/>
        <v>129</v>
      </c>
      <c r="B130" s="4" t="s">
        <v>385</v>
      </c>
      <c r="C130" s="5" t="s">
        <v>351</v>
      </c>
      <c r="D130" s="35">
        <v>45962</v>
      </c>
      <c r="E130" s="5">
        <v>55842111.111111142</v>
      </c>
      <c r="F130" s="5" t="s">
        <v>386</v>
      </c>
    </row>
    <row r="131" spans="1:6">
      <c r="A131" s="4">
        <f t="shared" si="1"/>
        <v>130</v>
      </c>
      <c r="B131" s="4" t="s">
        <v>385</v>
      </c>
      <c r="C131" s="5" t="s">
        <v>357</v>
      </c>
      <c r="D131" s="35">
        <v>45962</v>
      </c>
      <c r="E131" s="5">
        <v>41901666.666666657</v>
      </c>
      <c r="F131" s="5" t="s">
        <v>386</v>
      </c>
    </row>
    <row r="132" spans="1:6">
      <c r="A132" s="4">
        <f t="shared" si="1"/>
        <v>131</v>
      </c>
      <c r="B132" s="4" t="s">
        <v>380</v>
      </c>
      <c r="C132" s="5" t="s">
        <v>357</v>
      </c>
      <c r="D132" s="35">
        <v>45932</v>
      </c>
      <c r="E132" s="36">
        <v>1815</v>
      </c>
      <c r="F132" s="5" t="s">
        <v>379</v>
      </c>
    </row>
    <row r="133" spans="1:6">
      <c r="A133" s="4">
        <f t="shared" si="1"/>
        <v>132</v>
      </c>
      <c r="B133" s="4" t="s">
        <v>381</v>
      </c>
      <c r="C133" s="5" t="s">
        <v>353</v>
      </c>
      <c r="D133" s="35">
        <v>45931</v>
      </c>
      <c r="E133" s="36">
        <v>25175.71</v>
      </c>
      <c r="F133" s="5" t="s">
        <v>379</v>
      </c>
    </row>
    <row r="134" spans="1:6">
      <c r="A134" s="4">
        <f t="shared" si="1"/>
        <v>133</v>
      </c>
      <c r="B134" s="4" t="s">
        <v>382</v>
      </c>
      <c r="C134" s="5" t="s">
        <v>356</v>
      </c>
      <c r="D134" s="35">
        <v>45931</v>
      </c>
      <c r="E134" s="36">
        <v>5437.8</v>
      </c>
      <c r="F134" s="5" t="s">
        <v>379</v>
      </c>
    </row>
    <row r="135" spans="1:6">
      <c r="A135" s="4">
        <f t="shared" si="1"/>
        <v>134</v>
      </c>
      <c r="B135" s="4" t="s">
        <v>382</v>
      </c>
      <c r="C135" s="5" t="s">
        <v>353</v>
      </c>
      <c r="D135" s="35">
        <v>45931</v>
      </c>
      <c r="E135" s="36">
        <v>15999.29</v>
      </c>
      <c r="F135" s="5" t="s">
        <v>379</v>
      </c>
    </row>
    <row r="136" spans="1:6">
      <c r="A136" s="4">
        <f t="shared" si="1"/>
        <v>135</v>
      </c>
      <c r="B136" s="4" t="s">
        <v>382</v>
      </c>
      <c r="C136" s="5" t="s">
        <v>366</v>
      </c>
      <c r="D136" s="35">
        <v>45931</v>
      </c>
      <c r="E136" s="36">
        <v>360</v>
      </c>
      <c r="F136" s="5" t="s">
        <v>379</v>
      </c>
    </row>
    <row r="137" spans="1:6">
      <c r="A137" s="4">
        <f t="shared" si="1"/>
        <v>136</v>
      </c>
      <c r="B137" s="4" t="s">
        <v>382</v>
      </c>
      <c r="C137" s="5" t="s">
        <v>358</v>
      </c>
      <c r="D137" s="35">
        <v>45931</v>
      </c>
      <c r="E137" s="36">
        <v>31532.09</v>
      </c>
      <c r="F137" s="5" t="s">
        <v>379</v>
      </c>
    </row>
    <row r="138" spans="1:6">
      <c r="A138" s="4">
        <f t="shared" si="1"/>
        <v>137</v>
      </c>
      <c r="B138" s="4" t="s">
        <v>382</v>
      </c>
      <c r="C138" s="5" t="s">
        <v>365</v>
      </c>
      <c r="D138" s="35">
        <v>45931</v>
      </c>
      <c r="E138" s="36">
        <v>18728</v>
      </c>
      <c r="F138" s="5" t="s">
        <v>379</v>
      </c>
    </row>
    <row r="139" spans="1:6">
      <c r="A139" s="4">
        <f t="shared" ref="A139:A202" si="2">ROW()-1</f>
        <v>138</v>
      </c>
      <c r="B139" s="4" t="s">
        <v>383</v>
      </c>
      <c r="C139" s="5" t="s">
        <v>357</v>
      </c>
      <c r="D139" s="35">
        <v>45931</v>
      </c>
      <c r="E139" s="36">
        <v>73161</v>
      </c>
      <c r="F139" s="5" t="s">
        <v>379</v>
      </c>
    </row>
    <row r="140" spans="1:6">
      <c r="A140" s="4">
        <f t="shared" si="2"/>
        <v>139</v>
      </c>
      <c r="B140" s="4" t="s">
        <v>383</v>
      </c>
      <c r="C140" s="5" t="s">
        <v>366</v>
      </c>
      <c r="D140" s="35">
        <v>45931</v>
      </c>
      <c r="E140" s="36">
        <v>71357.709999999992</v>
      </c>
      <c r="F140" s="5" t="s">
        <v>379</v>
      </c>
    </row>
    <row r="141" spans="1:6">
      <c r="A141" s="4">
        <f t="shared" si="2"/>
        <v>140</v>
      </c>
      <c r="B141" s="4" t="s">
        <v>383</v>
      </c>
      <c r="C141" s="5" t="s">
        <v>362</v>
      </c>
      <c r="D141" s="35">
        <v>45931</v>
      </c>
      <c r="E141" s="36">
        <v>18643.379999999997</v>
      </c>
      <c r="F141" s="5" t="s">
        <v>379</v>
      </c>
    </row>
    <row r="142" spans="1:6">
      <c r="A142" s="4">
        <f t="shared" si="2"/>
        <v>141</v>
      </c>
      <c r="B142" s="4" t="s">
        <v>383</v>
      </c>
      <c r="C142" s="5" t="s">
        <v>358</v>
      </c>
      <c r="D142" s="35">
        <v>45931</v>
      </c>
      <c r="E142" s="36">
        <v>153105.51</v>
      </c>
      <c r="F142" s="5" t="s">
        <v>379</v>
      </c>
    </row>
    <row r="143" spans="1:6">
      <c r="A143" s="4">
        <f t="shared" si="2"/>
        <v>142</v>
      </c>
      <c r="B143" s="4" t="s">
        <v>383</v>
      </c>
      <c r="C143" s="5" t="s">
        <v>365</v>
      </c>
      <c r="D143" s="35">
        <v>45931</v>
      </c>
      <c r="E143" s="36">
        <v>231340</v>
      </c>
      <c r="F143" s="5" t="s">
        <v>379</v>
      </c>
    </row>
    <row r="144" spans="1:6">
      <c r="A144" s="4">
        <f t="shared" si="2"/>
        <v>143</v>
      </c>
      <c r="B144" s="4" t="s">
        <v>383</v>
      </c>
      <c r="C144" s="5" t="s">
        <v>367</v>
      </c>
      <c r="D144" s="35">
        <v>45931</v>
      </c>
      <c r="E144" s="36">
        <v>3272</v>
      </c>
      <c r="F144" s="5" t="s">
        <v>379</v>
      </c>
    </row>
    <row r="145" spans="1:6">
      <c r="A145" s="4">
        <f t="shared" si="2"/>
        <v>144</v>
      </c>
      <c r="B145" s="4" t="s">
        <v>383</v>
      </c>
      <c r="C145" s="5" t="s">
        <v>359</v>
      </c>
      <c r="D145" s="35">
        <v>45931</v>
      </c>
      <c r="E145" s="36">
        <v>47106</v>
      </c>
      <c r="F145" s="5" t="s">
        <v>379</v>
      </c>
    </row>
    <row r="146" spans="1:6">
      <c r="A146" s="4">
        <f t="shared" si="2"/>
        <v>145</v>
      </c>
      <c r="B146" s="4" t="s">
        <v>383</v>
      </c>
      <c r="C146" s="5" t="s">
        <v>352</v>
      </c>
      <c r="D146" s="35">
        <v>45931</v>
      </c>
      <c r="E146" s="36">
        <v>11637.2</v>
      </c>
      <c r="F146" s="5" t="s">
        <v>379</v>
      </c>
    </row>
    <row r="147" spans="1:6">
      <c r="A147" s="4">
        <f t="shared" si="2"/>
        <v>146</v>
      </c>
      <c r="B147" s="4" t="s">
        <v>378</v>
      </c>
      <c r="C147" s="5" t="s">
        <v>353</v>
      </c>
      <c r="D147" s="35">
        <v>45931</v>
      </c>
      <c r="E147" s="36">
        <v>2702</v>
      </c>
      <c r="F147" s="5" t="s">
        <v>379</v>
      </c>
    </row>
    <row r="148" spans="1:6">
      <c r="A148" s="4">
        <f t="shared" si="2"/>
        <v>147</v>
      </c>
      <c r="B148" s="4" t="s">
        <v>378</v>
      </c>
      <c r="C148" s="5" t="s">
        <v>358</v>
      </c>
      <c r="D148" s="35">
        <v>45931</v>
      </c>
      <c r="E148" s="36">
        <v>42020.18</v>
      </c>
      <c r="F148" s="5" t="s">
        <v>379</v>
      </c>
    </row>
    <row r="149" spans="1:6">
      <c r="A149" s="4">
        <f t="shared" si="2"/>
        <v>148</v>
      </c>
      <c r="B149" s="4" t="s">
        <v>378</v>
      </c>
      <c r="C149" s="5" t="s">
        <v>357</v>
      </c>
      <c r="D149" s="35">
        <v>45931</v>
      </c>
      <c r="E149" s="36">
        <v>45456.04</v>
      </c>
      <c r="F149" s="5" t="s">
        <v>379</v>
      </c>
    </row>
    <row r="150" spans="1:6">
      <c r="A150" s="4">
        <f t="shared" si="2"/>
        <v>149</v>
      </c>
      <c r="B150" s="4" t="s">
        <v>378</v>
      </c>
      <c r="C150" s="5" t="s">
        <v>362</v>
      </c>
      <c r="D150" s="35">
        <v>45931</v>
      </c>
      <c r="E150" s="36">
        <v>5776</v>
      </c>
      <c r="F150" s="5" t="s">
        <v>379</v>
      </c>
    </row>
    <row r="151" spans="1:6">
      <c r="A151" s="4">
        <f t="shared" si="2"/>
        <v>150</v>
      </c>
      <c r="B151" s="4" t="s">
        <v>378</v>
      </c>
      <c r="C151" s="5" t="s">
        <v>366</v>
      </c>
      <c r="D151" s="35">
        <v>45931</v>
      </c>
      <c r="E151" s="36">
        <v>18837.400000000001</v>
      </c>
      <c r="F151" s="5" t="s">
        <v>379</v>
      </c>
    </row>
    <row r="152" spans="1:6">
      <c r="A152" s="4">
        <f t="shared" si="2"/>
        <v>151</v>
      </c>
      <c r="B152" s="4" t="s">
        <v>378</v>
      </c>
      <c r="C152" s="5" t="s">
        <v>370</v>
      </c>
      <c r="D152" s="35">
        <v>45931</v>
      </c>
      <c r="E152" s="36">
        <v>119110</v>
      </c>
      <c r="F152" s="5" t="s">
        <v>379</v>
      </c>
    </row>
    <row r="153" spans="1:6">
      <c r="A153" s="4">
        <f t="shared" si="2"/>
        <v>152</v>
      </c>
      <c r="B153" s="4" t="s">
        <v>385</v>
      </c>
      <c r="C153" s="5" t="s">
        <v>361</v>
      </c>
      <c r="D153" s="35">
        <v>45931</v>
      </c>
      <c r="E153" s="5">
        <v>19363000</v>
      </c>
      <c r="F153" s="5" t="s">
        <v>386</v>
      </c>
    </row>
    <row r="154" spans="1:6">
      <c r="A154" s="4">
        <f t="shared" si="2"/>
        <v>153</v>
      </c>
      <c r="B154" s="4" t="s">
        <v>385</v>
      </c>
      <c r="C154" s="5" t="s">
        <v>351</v>
      </c>
      <c r="D154" s="35">
        <v>45931</v>
      </c>
      <c r="E154" s="5">
        <v>87235164.999999955</v>
      </c>
      <c r="F154" s="5" t="s">
        <v>386</v>
      </c>
    </row>
    <row r="155" spans="1:6">
      <c r="A155" s="4">
        <f t="shared" si="2"/>
        <v>154</v>
      </c>
      <c r="B155" s="4" t="s">
        <v>385</v>
      </c>
      <c r="C155" s="5" t="s">
        <v>357</v>
      </c>
      <c r="D155" s="35">
        <v>45931</v>
      </c>
      <c r="E155" s="5">
        <v>36265000</v>
      </c>
      <c r="F155" s="5" t="s">
        <v>386</v>
      </c>
    </row>
    <row r="156" spans="1:6">
      <c r="A156" s="4">
        <f t="shared" si="2"/>
        <v>155</v>
      </c>
      <c r="B156" s="4" t="s">
        <v>387</v>
      </c>
      <c r="C156" s="5" t="s">
        <v>354</v>
      </c>
      <c r="D156" s="37">
        <v>45931</v>
      </c>
      <c r="E156" s="36">
        <v>564</v>
      </c>
      <c r="F156" s="5" t="s">
        <v>379</v>
      </c>
    </row>
    <row r="157" spans="1:6">
      <c r="A157" s="4">
        <f t="shared" si="2"/>
        <v>156</v>
      </c>
      <c r="B157" s="4" t="s">
        <v>381</v>
      </c>
      <c r="C157" s="5" t="s">
        <v>353</v>
      </c>
      <c r="D157" s="35">
        <v>45901</v>
      </c>
      <c r="E157" s="36">
        <v>15680.85</v>
      </c>
      <c r="F157" s="5" t="s">
        <v>379</v>
      </c>
    </row>
    <row r="158" spans="1:6">
      <c r="A158" s="4">
        <f t="shared" si="2"/>
        <v>157</v>
      </c>
      <c r="B158" s="4" t="s">
        <v>382</v>
      </c>
      <c r="C158" s="5" t="s">
        <v>356</v>
      </c>
      <c r="D158" s="35">
        <v>45901</v>
      </c>
      <c r="E158" s="36">
        <v>4176.3999999999996</v>
      </c>
      <c r="F158" s="5" t="s">
        <v>379</v>
      </c>
    </row>
    <row r="159" spans="1:6">
      <c r="A159" s="4">
        <f t="shared" si="2"/>
        <v>158</v>
      </c>
      <c r="B159" s="4" t="s">
        <v>382</v>
      </c>
      <c r="C159" s="5" t="s">
        <v>353</v>
      </c>
      <c r="D159" s="35">
        <v>45901</v>
      </c>
      <c r="E159" s="36">
        <v>30093.52</v>
      </c>
      <c r="F159" s="5" t="s">
        <v>379</v>
      </c>
    </row>
    <row r="160" spans="1:6">
      <c r="A160" s="4">
        <f t="shared" si="2"/>
        <v>159</v>
      </c>
      <c r="B160" s="4" t="s">
        <v>382</v>
      </c>
      <c r="C160" s="5" t="s">
        <v>358</v>
      </c>
      <c r="D160" s="35">
        <v>45901</v>
      </c>
      <c r="E160" s="36">
        <v>20852.599999999999</v>
      </c>
      <c r="F160" s="5" t="s">
        <v>379</v>
      </c>
    </row>
    <row r="161" spans="1:6">
      <c r="A161" s="4">
        <f t="shared" si="2"/>
        <v>160</v>
      </c>
      <c r="B161" s="4" t="s">
        <v>382</v>
      </c>
      <c r="C161" s="5" t="s">
        <v>365</v>
      </c>
      <c r="D161" s="35">
        <v>45901</v>
      </c>
      <c r="E161" s="36">
        <v>36840</v>
      </c>
      <c r="F161" s="5" t="s">
        <v>379</v>
      </c>
    </row>
    <row r="162" spans="1:6">
      <c r="A162" s="4">
        <f t="shared" si="2"/>
        <v>161</v>
      </c>
      <c r="B162" s="4" t="s">
        <v>382</v>
      </c>
      <c r="C162" s="5" t="s">
        <v>370</v>
      </c>
      <c r="D162" s="35">
        <v>45901</v>
      </c>
      <c r="E162" s="36">
        <v>6026</v>
      </c>
      <c r="F162" s="5" t="s">
        <v>379</v>
      </c>
    </row>
    <row r="163" spans="1:6">
      <c r="A163" s="4">
        <f t="shared" si="2"/>
        <v>162</v>
      </c>
      <c r="B163" s="4" t="s">
        <v>383</v>
      </c>
      <c r="C163" s="5" t="s">
        <v>357</v>
      </c>
      <c r="D163" s="35">
        <v>45901</v>
      </c>
      <c r="E163" s="36">
        <v>69729.98000000001</v>
      </c>
      <c r="F163" s="5" t="s">
        <v>379</v>
      </c>
    </row>
    <row r="164" spans="1:6">
      <c r="A164" s="4">
        <f t="shared" si="2"/>
        <v>163</v>
      </c>
      <c r="B164" s="4" t="s">
        <v>383</v>
      </c>
      <c r="C164" s="5" t="s">
        <v>362</v>
      </c>
      <c r="D164" s="35">
        <v>45901</v>
      </c>
      <c r="E164" s="36">
        <v>36154.29</v>
      </c>
      <c r="F164" s="5" t="s">
        <v>379</v>
      </c>
    </row>
    <row r="165" spans="1:6">
      <c r="A165" s="4">
        <f t="shared" si="2"/>
        <v>164</v>
      </c>
      <c r="B165" s="4" t="s">
        <v>383</v>
      </c>
      <c r="C165" s="5" t="s">
        <v>358</v>
      </c>
      <c r="D165" s="35">
        <v>45901</v>
      </c>
      <c r="E165" s="36">
        <v>162243.14000000001</v>
      </c>
      <c r="F165" s="5" t="s">
        <v>379</v>
      </c>
    </row>
    <row r="166" spans="1:6">
      <c r="A166" s="4">
        <f t="shared" si="2"/>
        <v>165</v>
      </c>
      <c r="B166" s="4" t="s">
        <v>383</v>
      </c>
      <c r="C166" s="5" t="s">
        <v>367</v>
      </c>
      <c r="D166" s="35">
        <v>45901</v>
      </c>
      <c r="E166" s="36">
        <v>8076.2</v>
      </c>
      <c r="F166" s="5" t="s">
        <v>379</v>
      </c>
    </row>
    <row r="167" spans="1:6">
      <c r="A167" s="4">
        <f t="shared" si="2"/>
        <v>166</v>
      </c>
      <c r="B167" s="4" t="s">
        <v>383</v>
      </c>
      <c r="C167" s="5" t="s">
        <v>359</v>
      </c>
      <c r="D167" s="35">
        <v>45901</v>
      </c>
      <c r="E167" s="36">
        <v>15178</v>
      </c>
      <c r="F167" s="5" t="s">
        <v>379</v>
      </c>
    </row>
    <row r="168" spans="1:6">
      <c r="A168" s="4">
        <f t="shared" si="2"/>
        <v>167</v>
      </c>
      <c r="B168" s="4" t="s">
        <v>383</v>
      </c>
      <c r="C168" s="5" t="s">
        <v>352</v>
      </c>
      <c r="D168" s="35">
        <v>45901</v>
      </c>
      <c r="E168" s="36">
        <v>14301.8</v>
      </c>
      <c r="F168" s="5" t="s">
        <v>379</v>
      </c>
    </row>
    <row r="169" spans="1:6">
      <c r="A169" s="4">
        <f t="shared" si="2"/>
        <v>168</v>
      </c>
      <c r="B169" s="4" t="s">
        <v>378</v>
      </c>
      <c r="C169" s="5" t="s">
        <v>353</v>
      </c>
      <c r="D169" s="35">
        <v>45901</v>
      </c>
      <c r="E169" s="36">
        <v>4592</v>
      </c>
      <c r="F169" s="5" t="s">
        <v>379</v>
      </c>
    </row>
    <row r="170" spans="1:6">
      <c r="A170" s="4">
        <f t="shared" si="2"/>
        <v>169</v>
      </c>
      <c r="B170" s="4" t="s">
        <v>378</v>
      </c>
      <c r="C170" s="5" t="s">
        <v>358</v>
      </c>
      <c r="D170" s="35">
        <v>45901</v>
      </c>
      <c r="E170" s="36">
        <v>43525.5</v>
      </c>
      <c r="F170" s="5" t="s">
        <v>379</v>
      </c>
    </row>
    <row r="171" spans="1:6">
      <c r="A171" s="4">
        <f t="shared" si="2"/>
        <v>170</v>
      </c>
      <c r="B171" s="4" t="s">
        <v>378</v>
      </c>
      <c r="C171" s="5" t="s">
        <v>357</v>
      </c>
      <c r="D171" s="35">
        <v>45901</v>
      </c>
      <c r="E171" s="36">
        <v>30998.78</v>
      </c>
      <c r="F171" s="5" t="s">
        <v>379</v>
      </c>
    </row>
    <row r="172" spans="1:6">
      <c r="A172" s="4">
        <f t="shared" si="2"/>
        <v>171</v>
      </c>
      <c r="B172" s="4" t="s">
        <v>378</v>
      </c>
      <c r="C172" s="5" t="s">
        <v>366</v>
      </c>
      <c r="D172" s="35">
        <v>45901</v>
      </c>
      <c r="E172" s="36">
        <v>22194.25</v>
      </c>
      <c r="F172" s="5" t="s">
        <v>379</v>
      </c>
    </row>
    <row r="173" spans="1:6">
      <c r="A173" s="4">
        <f t="shared" si="2"/>
        <v>172</v>
      </c>
      <c r="B173" s="4" t="s">
        <v>385</v>
      </c>
      <c r="C173" s="5" t="s">
        <v>361</v>
      </c>
      <c r="D173" s="35">
        <v>45901</v>
      </c>
      <c r="E173" s="5">
        <v>20074000</v>
      </c>
      <c r="F173" s="5" t="s">
        <v>386</v>
      </c>
    </row>
    <row r="174" spans="1:6">
      <c r="A174" s="4">
        <f t="shared" si="2"/>
        <v>173</v>
      </c>
      <c r="B174" s="4" t="s">
        <v>385</v>
      </c>
      <c r="C174" s="5" t="s">
        <v>351</v>
      </c>
      <c r="D174" s="35">
        <v>45901</v>
      </c>
      <c r="E174" s="5">
        <v>55536555</v>
      </c>
      <c r="F174" s="5" t="s">
        <v>386</v>
      </c>
    </row>
    <row r="175" spans="1:6">
      <c r="A175" s="4">
        <f t="shared" si="2"/>
        <v>174</v>
      </c>
      <c r="B175" s="4" t="s">
        <v>385</v>
      </c>
      <c r="C175" s="5" t="s">
        <v>357</v>
      </c>
      <c r="D175" s="35">
        <v>45901</v>
      </c>
      <c r="E175" s="5">
        <v>28190000</v>
      </c>
      <c r="F175" s="5" t="s">
        <v>386</v>
      </c>
    </row>
    <row r="176" spans="1:6">
      <c r="A176" s="4">
        <f t="shared" si="2"/>
        <v>175</v>
      </c>
      <c r="B176" s="4" t="s">
        <v>387</v>
      </c>
      <c r="C176" s="5" t="s">
        <v>354</v>
      </c>
      <c r="D176" s="37">
        <v>45901</v>
      </c>
      <c r="E176" s="36">
        <v>1540</v>
      </c>
      <c r="F176" s="5" t="s">
        <v>379</v>
      </c>
    </row>
    <row r="177" spans="1:6">
      <c r="A177" s="4">
        <f t="shared" si="2"/>
        <v>176</v>
      </c>
      <c r="B177" s="4" t="s">
        <v>380</v>
      </c>
      <c r="C177" s="5" t="s">
        <v>357</v>
      </c>
      <c r="D177" s="35">
        <v>45901</v>
      </c>
      <c r="E177" s="36">
        <v>1120</v>
      </c>
      <c r="F177" s="5" t="s">
        <v>379</v>
      </c>
    </row>
    <row r="178" spans="1:6">
      <c r="A178" s="4">
        <f t="shared" si="2"/>
        <v>177</v>
      </c>
      <c r="B178" s="4" t="s">
        <v>381</v>
      </c>
      <c r="C178" s="5" t="s">
        <v>353</v>
      </c>
      <c r="D178" s="35">
        <v>45870</v>
      </c>
      <c r="E178" s="36">
        <v>17595.52</v>
      </c>
      <c r="F178" s="5" t="s">
        <v>379</v>
      </c>
    </row>
    <row r="179" spans="1:6">
      <c r="A179" s="4">
        <f t="shared" si="2"/>
        <v>178</v>
      </c>
      <c r="B179" s="4" t="s">
        <v>382</v>
      </c>
      <c r="C179" s="5" t="s">
        <v>356</v>
      </c>
      <c r="D179" s="35">
        <v>45870</v>
      </c>
      <c r="E179" s="36">
        <v>1696</v>
      </c>
      <c r="F179" s="5" t="s">
        <v>379</v>
      </c>
    </row>
    <row r="180" spans="1:6">
      <c r="A180" s="4">
        <f t="shared" si="2"/>
        <v>179</v>
      </c>
      <c r="B180" s="4" t="s">
        <v>382</v>
      </c>
      <c r="C180" s="5" t="s">
        <v>353</v>
      </c>
      <c r="D180" s="35">
        <v>45870</v>
      </c>
      <c r="E180" s="36">
        <v>660.5</v>
      </c>
      <c r="F180" s="5" t="s">
        <v>379</v>
      </c>
    </row>
    <row r="181" spans="1:6">
      <c r="A181" s="4">
        <f t="shared" si="2"/>
        <v>180</v>
      </c>
      <c r="B181" s="4" t="s">
        <v>382</v>
      </c>
      <c r="C181" s="5" t="s">
        <v>358</v>
      </c>
      <c r="D181" s="35">
        <v>45870</v>
      </c>
      <c r="E181" s="36">
        <v>52674.76</v>
      </c>
      <c r="F181" s="5" t="s">
        <v>379</v>
      </c>
    </row>
    <row r="182" spans="1:6">
      <c r="A182" s="4">
        <f t="shared" si="2"/>
        <v>181</v>
      </c>
      <c r="B182" s="4" t="s">
        <v>382</v>
      </c>
      <c r="C182" s="5" t="s">
        <v>365</v>
      </c>
      <c r="D182" s="35">
        <v>45870</v>
      </c>
      <c r="E182" s="36">
        <v>21664</v>
      </c>
      <c r="F182" s="5" t="s">
        <v>379</v>
      </c>
    </row>
    <row r="183" spans="1:6">
      <c r="A183" s="4">
        <f t="shared" si="2"/>
        <v>182</v>
      </c>
      <c r="B183" s="4" t="s">
        <v>383</v>
      </c>
      <c r="C183" s="5" t="s">
        <v>357</v>
      </c>
      <c r="D183" s="35">
        <v>45870</v>
      </c>
      <c r="E183" s="36">
        <v>28944.769999999997</v>
      </c>
      <c r="F183" s="5" t="s">
        <v>379</v>
      </c>
    </row>
    <row r="184" spans="1:6">
      <c r="A184" s="4">
        <f t="shared" si="2"/>
        <v>183</v>
      </c>
      <c r="B184" s="4" t="s">
        <v>383</v>
      </c>
      <c r="C184" s="5" t="s">
        <v>362</v>
      </c>
      <c r="D184" s="35">
        <v>45870</v>
      </c>
      <c r="E184" s="36">
        <v>29279.42</v>
      </c>
      <c r="F184" s="5" t="s">
        <v>379</v>
      </c>
    </row>
    <row r="185" spans="1:6">
      <c r="A185" s="4">
        <f t="shared" si="2"/>
        <v>184</v>
      </c>
      <c r="B185" s="4" t="s">
        <v>383</v>
      </c>
      <c r="C185" s="5" t="s">
        <v>358</v>
      </c>
      <c r="D185" s="35">
        <v>45870</v>
      </c>
      <c r="E185" s="36">
        <v>85594.08</v>
      </c>
      <c r="F185" s="5" t="s">
        <v>379</v>
      </c>
    </row>
    <row r="186" spans="1:6">
      <c r="A186" s="4">
        <f t="shared" si="2"/>
        <v>185</v>
      </c>
      <c r="B186" s="4" t="s">
        <v>383</v>
      </c>
      <c r="C186" s="5" t="s">
        <v>365</v>
      </c>
      <c r="D186" s="35">
        <v>45870</v>
      </c>
      <c r="E186" s="36">
        <v>54452</v>
      </c>
      <c r="F186" s="5" t="s">
        <v>379</v>
      </c>
    </row>
    <row r="187" spans="1:6">
      <c r="A187" s="4">
        <f t="shared" si="2"/>
        <v>186</v>
      </c>
      <c r="B187" s="4" t="s">
        <v>383</v>
      </c>
      <c r="C187" s="5" t="s">
        <v>367</v>
      </c>
      <c r="D187" s="35">
        <v>45870</v>
      </c>
      <c r="E187" s="36">
        <v>36063.800000000003</v>
      </c>
      <c r="F187" s="5" t="s">
        <v>379</v>
      </c>
    </row>
    <row r="188" spans="1:6">
      <c r="A188" s="4">
        <f t="shared" si="2"/>
        <v>187</v>
      </c>
      <c r="B188" s="4" t="s">
        <v>383</v>
      </c>
      <c r="C188" s="5" t="s">
        <v>359</v>
      </c>
      <c r="D188" s="35">
        <v>45870</v>
      </c>
      <c r="E188" s="36">
        <v>34304</v>
      </c>
      <c r="F188" s="5" t="s">
        <v>379</v>
      </c>
    </row>
    <row r="189" spans="1:6">
      <c r="A189" s="4">
        <f t="shared" si="2"/>
        <v>188</v>
      </c>
      <c r="B189" s="4" t="s">
        <v>378</v>
      </c>
      <c r="C189" s="5" t="s">
        <v>353</v>
      </c>
      <c r="D189" s="35">
        <v>45870</v>
      </c>
      <c r="E189" s="36">
        <v>7168</v>
      </c>
      <c r="F189" s="5" t="s">
        <v>379</v>
      </c>
    </row>
    <row r="190" spans="1:6">
      <c r="A190" s="4">
        <f t="shared" si="2"/>
        <v>189</v>
      </c>
      <c r="B190" s="4" t="s">
        <v>378</v>
      </c>
      <c r="C190" s="5" t="s">
        <v>358</v>
      </c>
      <c r="D190" s="35">
        <v>45870</v>
      </c>
      <c r="E190" s="36">
        <v>39956.5</v>
      </c>
      <c r="F190" s="5" t="s">
        <v>379</v>
      </c>
    </row>
    <row r="191" spans="1:6">
      <c r="A191" s="4">
        <f t="shared" si="2"/>
        <v>190</v>
      </c>
      <c r="B191" s="4" t="s">
        <v>378</v>
      </c>
      <c r="C191" s="5" t="s">
        <v>357</v>
      </c>
      <c r="D191" s="35">
        <v>45870</v>
      </c>
      <c r="E191" s="36">
        <v>74288.460000000006</v>
      </c>
      <c r="F191" s="5" t="s">
        <v>379</v>
      </c>
    </row>
    <row r="192" spans="1:6">
      <c r="A192" s="4">
        <f t="shared" si="2"/>
        <v>191</v>
      </c>
      <c r="B192" s="4" t="s">
        <v>378</v>
      </c>
      <c r="C192" s="5" t="s">
        <v>362</v>
      </c>
      <c r="D192" s="35">
        <v>45870</v>
      </c>
      <c r="E192" s="36">
        <v>5347.06</v>
      </c>
      <c r="F192" s="5" t="s">
        <v>379</v>
      </c>
    </row>
    <row r="193" spans="1:6">
      <c r="A193" s="4">
        <f t="shared" si="2"/>
        <v>192</v>
      </c>
      <c r="B193" s="4" t="s">
        <v>378</v>
      </c>
      <c r="C193" s="5" t="s">
        <v>365</v>
      </c>
      <c r="D193" s="35">
        <v>45870</v>
      </c>
      <c r="E193" s="36">
        <v>3824</v>
      </c>
      <c r="F193" s="5" t="s">
        <v>379</v>
      </c>
    </row>
    <row r="194" spans="1:6">
      <c r="A194" s="4">
        <f t="shared" si="2"/>
        <v>193</v>
      </c>
      <c r="B194" s="4" t="s">
        <v>378</v>
      </c>
      <c r="C194" s="5" t="s">
        <v>370</v>
      </c>
      <c r="D194" s="35">
        <v>45870</v>
      </c>
      <c r="E194" s="36">
        <v>3112.5</v>
      </c>
      <c r="F194" s="5" t="s">
        <v>379</v>
      </c>
    </row>
    <row r="195" spans="1:6">
      <c r="A195" s="4">
        <f t="shared" si="2"/>
        <v>194</v>
      </c>
      <c r="B195" s="4" t="s">
        <v>385</v>
      </c>
      <c r="C195" s="5" t="s">
        <v>361</v>
      </c>
      <c r="D195" s="35">
        <v>45870</v>
      </c>
      <c r="E195" s="5">
        <v>29098304</v>
      </c>
      <c r="F195" s="5" t="s">
        <v>386</v>
      </c>
    </row>
    <row r="196" spans="1:6">
      <c r="A196" s="4">
        <f t="shared" si="2"/>
        <v>195</v>
      </c>
      <c r="B196" s="4" t="s">
        <v>385</v>
      </c>
      <c r="C196" s="5" t="s">
        <v>351</v>
      </c>
      <c r="D196" s="35">
        <v>45870</v>
      </c>
      <c r="E196" s="5">
        <v>63664536.95652172</v>
      </c>
      <c r="F196" s="5" t="s">
        <v>386</v>
      </c>
    </row>
    <row r="197" spans="1:6">
      <c r="A197" s="4">
        <f t="shared" si="2"/>
        <v>196</v>
      </c>
      <c r="B197" s="4" t="s">
        <v>385</v>
      </c>
      <c r="C197" s="5" t="s">
        <v>357</v>
      </c>
      <c r="D197" s="35">
        <v>45870</v>
      </c>
      <c r="E197" s="5">
        <v>29485434.782608692</v>
      </c>
      <c r="F197" s="5" t="s">
        <v>386</v>
      </c>
    </row>
    <row r="198" spans="1:6">
      <c r="A198" s="4">
        <f t="shared" si="2"/>
        <v>197</v>
      </c>
      <c r="B198" s="4" t="s">
        <v>387</v>
      </c>
      <c r="C198" s="5" t="s">
        <v>354</v>
      </c>
      <c r="D198" s="37">
        <v>45870</v>
      </c>
      <c r="E198" s="36">
        <v>1270</v>
      </c>
      <c r="F198" s="5" t="s">
        <v>379</v>
      </c>
    </row>
    <row r="199" spans="1:6">
      <c r="A199" s="4">
        <f t="shared" si="2"/>
        <v>198</v>
      </c>
      <c r="B199" s="4" t="s">
        <v>380</v>
      </c>
      <c r="C199" s="5" t="s">
        <v>357</v>
      </c>
      <c r="D199" s="35">
        <v>45870</v>
      </c>
      <c r="E199" s="36">
        <v>2850</v>
      </c>
      <c r="F199" s="5" t="s">
        <v>379</v>
      </c>
    </row>
    <row r="200" spans="1:6">
      <c r="A200" s="4">
        <f t="shared" si="2"/>
        <v>199</v>
      </c>
      <c r="B200" s="4" t="s">
        <v>381</v>
      </c>
      <c r="C200" s="5" t="s">
        <v>353</v>
      </c>
      <c r="D200" s="35">
        <v>45839</v>
      </c>
      <c r="E200" s="36">
        <v>15482.2</v>
      </c>
      <c r="F200" s="5" t="s">
        <v>379</v>
      </c>
    </row>
    <row r="201" spans="1:6">
      <c r="A201" s="4">
        <f t="shared" si="2"/>
        <v>200</v>
      </c>
      <c r="B201" s="4" t="s">
        <v>382</v>
      </c>
      <c r="C201" s="5" t="s">
        <v>356</v>
      </c>
      <c r="D201" s="35">
        <v>45839</v>
      </c>
      <c r="E201" s="36">
        <v>7363.6</v>
      </c>
      <c r="F201" s="5" t="s">
        <v>379</v>
      </c>
    </row>
    <row r="202" spans="1:6">
      <c r="A202" s="4">
        <f t="shared" si="2"/>
        <v>201</v>
      </c>
      <c r="B202" s="4" t="s">
        <v>382</v>
      </c>
      <c r="C202" s="5" t="s">
        <v>353</v>
      </c>
      <c r="D202" s="35">
        <v>45839</v>
      </c>
      <c r="E202" s="36">
        <v>30822.82</v>
      </c>
      <c r="F202" s="5" t="s">
        <v>379</v>
      </c>
    </row>
    <row r="203" spans="1:6">
      <c r="A203" s="4">
        <f t="shared" ref="A203:A266" si="3">ROW()-1</f>
        <v>202</v>
      </c>
      <c r="B203" s="4" t="s">
        <v>382</v>
      </c>
      <c r="C203" s="5" t="s">
        <v>358</v>
      </c>
      <c r="D203" s="35">
        <v>45839</v>
      </c>
      <c r="E203" s="36">
        <v>31744.46</v>
      </c>
      <c r="F203" s="5" t="s">
        <v>379</v>
      </c>
    </row>
    <row r="204" spans="1:6">
      <c r="A204" s="4">
        <f t="shared" si="3"/>
        <v>203</v>
      </c>
      <c r="B204" s="4" t="s">
        <v>383</v>
      </c>
      <c r="C204" s="5" t="s">
        <v>357</v>
      </c>
      <c r="D204" s="35">
        <v>45839</v>
      </c>
      <c r="E204" s="36">
        <v>73123.009999999995</v>
      </c>
      <c r="F204" s="5" t="s">
        <v>379</v>
      </c>
    </row>
    <row r="205" spans="1:6">
      <c r="A205" s="4">
        <f t="shared" si="3"/>
        <v>204</v>
      </c>
      <c r="B205" s="4" t="s">
        <v>383</v>
      </c>
      <c r="C205" s="5" t="s">
        <v>366</v>
      </c>
      <c r="D205" s="35">
        <v>45839</v>
      </c>
      <c r="E205" s="36">
        <v>30080.93</v>
      </c>
      <c r="F205" s="5" t="s">
        <v>379</v>
      </c>
    </row>
    <row r="206" spans="1:6">
      <c r="A206" s="4">
        <f t="shared" si="3"/>
        <v>205</v>
      </c>
      <c r="B206" s="4" t="s">
        <v>383</v>
      </c>
      <c r="C206" s="5" t="s">
        <v>362</v>
      </c>
      <c r="D206" s="35">
        <v>45839</v>
      </c>
      <c r="E206" s="36">
        <v>74142.600000000006</v>
      </c>
      <c r="F206" s="5" t="s">
        <v>379</v>
      </c>
    </row>
    <row r="207" spans="1:6">
      <c r="A207" s="4">
        <f t="shared" si="3"/>
        <v>206</v>
      </c>
      <c r="B207" s="4" t="s">
        <v>383</v>
      </c>
      <c r="C207" s="5" t="s">
        <v>358</v>
      </c>
      <c r="D207" s="35">
        <v>45839</v>
      </c>
      <c r="E207" s="36">
        <v>199819.41</v>
      </c>
      <c r="F207" s="5" t="s">
        <v>379</v>
      </c>
    </row>
    <row r="208" spans="1:6">
      <c r="A208" s="4">
        <f t="shared" si="3"/>
        <v>207</v>
      </c>
      <c r="B208" s="4" t="s">
        <v>383</v>
      </c>
      <c r="C208" s="5" t="s">
        <v>365</v>
      </c>
      <c r="D208" s="35">
        <v>45839</v>
      </c>
      <c r="E208" s="36">
        <v>67064</v>
      </c>
      <c r="F208" s="5" t="s">
        <v>379</v>
      </c>
    </row>
    <row r="209" spans="1:6">
      <c r="A209" s="4">
        <f t="shared" si="3"/>
        <v>208</v>
      </c>
      <c r="B209" s="4" t="s">
        <v>378</v>
      </c>
      <c r="C209" s="5" t="s">
        <v>353</v>
      </c>
      <c r="D209" s="35">
        <v>45839</v>
      </c>
      <c r="E209" s="36">
        <v>5544</v>
      </c>
      <c r="F209" s="5" t="s">
        <v>379</v>
      </c>
    </row>
    <row r="210" spans="1:6">
      <c r="A210" s="4">
        <f t="shared" si="3"/>
        <v>209</v>
      </c>
      <c r="B210" s="4" t="s">
        <v>378</v>
      </c>
      <c r="C210" s="5" t="s">
        <v>358</v>
      </c>
      <c r="D210" s="35">
        <v>45839</v>
      </c>
      <c r="E210" s="36">
        <v>38552</v>
      </c>
      <c r="F210" s="5" t="s">
        <v>379</v>
      </c>
    </row>
    <row r="211" spans="1:6">
      <c r="A211" s="4">
        <f t="shared" si="3"/>
        <v>210</v>
      </c>
      <c r="B211" s="4" t="s">
        <v>378</v>
      </c>
      <c r="C211" s="5" t="s">
        <v>357</v>
      </c>
      <c r="D211" s="35">
        <v>45839</v>
      </c>
      <c r="E211" s="36">
        <v>54230.46</v>
      </c>
      <c r="F211" s="5" t="s">
        <v>379</v>
      </c>
    </row>
    <row r="212" spans="1:6">
      <c r="A212" s="4">
        <f t="shared" si="3"/>
        <v>211</v>
      </c>
      <c r="B212" s="4" t="s">
        <v>378</v>
      </c>
      <c r="C212" s="5" t="s">
        <v>362</v>
      </c>
      <c r="D212" s="35">
        <v>45839</v>
      </c>
      <c r="E212" s="36">
        <v>3177.63</v>
      </c>
      <c r="F212" s="5" t="s">
        <v>379</v>
      </c>
    </row>
    <row r="213" spans="1:6">
      <c r="A213" s="4">
        <f t="shared" si="3"/>
        <v>212</v>
      </c>
      <c r="B213" s="4" t="s">
        <v>378</v>
      </c>
      <c r="C213" s="5" t="s">
        <v>366</v>
      </c>
      <c r="D213" s="35">
        <v>45839</v>
      </c>
      <c r="E213" s="36">
        <v>5150.3999999999996</v>
      </c>
      <c r="F213" s="5" t="s">
        <v>379</v>
      </c>
    </row>
    <row r="214" spans="1:6">
      <c r="A214" s="4">
        <f t="shared" si="3"/>
        <v>213</v>
      </c>
      <c r="B214" s="4" t="s">
        <v>385</v>
      </c>
      <c r="C214" s="5" t="s">
        <v>361</v>
      </c>
      <c r="D214" s="35">
        <v>45839</v>
      </c>
      <c r="E214" s="5">
        <v>29075946.999999996</v>
      </c>
      <c r="F214" s="5" t="s">
        <v>386</v>
      </c>
    </row>
    <row r="215" spans="1:6">
      <c r="A215" s="4">
        <f t="shared" si="3"/>
        <v>214</v>
      </c>
      <c r="B215" s="4" t="s">
        <v>385</v>
      </c>
      <c r="C215" s="5" t="s">
        <v>351</v>
      </c>
      <c r="D215" s="35">
        <v>45839</v>
      </c>
      <c r="E215" s="5">
        <v>63232088.210526302</v>
      </c>
      <c r="F215" s="5" t="s">
        <v>386</v>
      </c>
    </row>
    <row r="216" spans="1:6">
      <c r="A216" s="4">
        <f t="shared" si="3"/>
        <v>215</v>
      </c>
      <c r="B216" s="4" t="s">
        <v>385</v>
      </c>
      <c r="C216" s="5" t="s">
        <v>357</v>
      </c>
      <c r="D216" s="35">
        <v>45839</v>
      </c>
      <c r="E216" s="5">
        <v>30564999.999999996</v>
      </c>
      <c r="F216" s="5" t="s">
        <v>386</v>
      </c>
    </row>
    <row r="217" spans="1:6">
      <c r="A217" s="4">
        <f t="shared" si="3"/>
        <v>216</v>
      </c>
      <c r="B217" s="4" t="s">
        <v>385</v>
      </c>
      <c r="C217" s="5" t="s">
        <v>363</v>
      </c>
      <c r="D217" s="35">
        <v>45839</v>
      </c>
      <c r="E217" s="5">
        <v>1380000</v>
      </c>
      <c r="F217" s="5" t="s">
        <v>386</v>
      </c>
    </row>
    <row r="218" spans="1:6">
      <c r="A218" s="4">
        <f t="shared" si="3"/>
        <v>217</v>
      </c>
      <c r="B218" s="4" t="s">
        <v>387</v>
      </c>
      <c r="C218" s="5" t="s">
        <v>354</v>
      </c>
      <c r="D218" s="37">
        <v>45839</v>
      </c>
      <c r="E218" s="36">
        <v>1684</v>
      </c>
      <c r="F218" s="5" t="s">
        <v>379</v>
      </c>
    </row>
    <row r="219" spans="1:6">
      <c r="A219" s="4">
        <f t="shared" si="3"/>
        <v>218</v>
      </c>
      <c r="B219" s="4" t="s">
        <v>380</v>
      </c>
      <c r="C219" s="5" t="s">
        <v>357</v>
      </c>
      <c r="D219" s="35">
        <v>45839</v>
      </c>
      <c r="E219" s="36">
        <v>1320</v>
      </c>
      <c r="F219" s="5" t="s">
        <v>379</v>
      </c>
    </row>
    <row r="220" spans="1:6">
      <c r="A220" s="4">
        <f t="shared" si="3"/>
        <v>219</v>
      </c>
      <c r="B220" s="4" t="s">
        <v>381</v>
      </c>
      <c r="C220" s="5" t="s">
        <v>362</v>
      </c>
      <c r="D220" s="35">
        <v>45809</v>
      </c>
      <c r="E220" s="36">
        <v>920.8</v>
      </c>
      <c r="F220" s="5" t="s">
        <v>379</v>
      </c>
    </row>
    <row r="221" spans="1:6">
      <c r="A221" s="4">
        <f t="shared" si="3"/>
        <v>220</v>
      </c>
      <c r="B221" s="4" t="s">
        <v>381</v>
      </c>
      <c r="C221" s="5" t="s">
        <v>353</v>
      </c>
      <c r="D221" s="35">
        <v>45809</v>
      </c>
      <c r="E221" s="36">
        <v>17557.62</v>
      </c>
      <c r="F221" s="5" t="s">
        <v>379</v>
      </c>
    </row>
    <row r="222" spans="1:6">
      <c r="A222" s="4">
        <f t="shared" si="3"/>
        <v>221</v>
      </c>
      <c r="B222" s="4" t="s">
        <v>382</v>
      </c>
      <c r="C222" s="5" t="s">
        <v>356</v>
      </c>
      <c r="D222" s="35">
        <v>45809</v>
      </c>
      <c r="E222" s="36">
        <v>3523.6</v>
      </c>
      <c r="F222" s="5" t="s">
        <v>379</v>
      </c>
    </row>
    <row r="223" spans="1:6">
      <c r="A223" s="4">
        <f t="shared" si="3"/>
        <v>222</v>
      </c>
      <c r="B223" s="4" t="s">
        <v>382</v>
      </c>
      <c r="C223" s="5" t="s">
        <v>358</v>
      </c>
      <c r="D223" s="35">
        <v>45809</v>
      </c>
      <c r="E223" s="36">
        <v>44626.080000000002</v>
      </c>
      <c r="F223" s="5" t="s">
        <v>379</v>
      </c>
    </row>
    <row r="224" spans="1:6">
      <c r="A224" s="4">
        <f t="shared" si="3"/>
        <v>223</v>
      </c>
      <c r="B224" s="4" t="s">
        <v>382</v>
      </c>
      <c r="C224" s="5" t="s">
        <v>365</v>
      </c>
      <c r="D224" s="35">
        <v>45809</v>
      </c>
      <c r="E224" s="36">
        <v>640</v>
      </c>
      <c r="F224" s="5" t="s">
        <v>379</v>
      </c>
    </row>
    <row r="225" spans="1:6">
      <c r="A225" s="4">
        <f t="shared" si="3"/>
        <v>224</v>
      </c>
      <c r="B225" s="4" t="s">
        <v>382</v>
      </c>
      <c r="C225" s="5" t="s">
        <v>370</v>
      </c>
      <c r="D225" s="35">
        <v>45809</v>
      </c>
      <c r="E225" s="36">
        <v>4140</v>
      </c>
      <c r="F225" s="5" t="s">
        <v>379</v>
      </c>
    </row>
    <row r="226" spans="1:6">
      <c r="A226" s="4">
        <f t="shared" si="3"/>
        <v>225</v>
      </c>
      <c r="B226" s="4" t="s">
        <v>383</v>
      </c>
      <c r="C226" s="5" t="s">
        <v>357</v>
      </c>
      <c r="D226" s="35">
        <v>45809</v>
      </c>
      <c r="E226" s="36">
        <v>58182.33</v>
      </c>
      <c r="F226" s="5" t="s">
        <v>379</v>
      </c>
    </row>
    <row r="227" spans="1:6">
      <c r="A227" s="4">
        <f t="shared" si="3"/>
        <v>226</v>
      </c>
      <c r="B227" s="4" t="s">
        <v>383</v>
      </c>
      <c r="C227" s="5" t="s">
        <v>366</v>
      </c>
      <c r="D227" s="35">
        <v>45809</v>
      </c>
      <c r="E227" s="36">
        <v>75111.539999999994</v>
      </c>
      <c r="F227" s="5" t="s">
        <v>379</v>
      </c>
    </row>
    <row r="228" spans="1:6">
      <c r="A228" s="4">
        <f t="shared" si="3"/>
        <v>227</v>
      </c>
      <c r="B228" s="4" t="s">
        <v>383</v>
      </c>
      <c r="C228" s="5" t="s">
        <v>362</v>
      </c>
      <c r="D228" s="35">
        <v>45809</v>
      </c>
      <c r="E228" s="36">
        <v>45719.06</v>
      </c>
      <c r="F228" s="5" t="s">
        <v>379</v>
      </c>
    </row>
    <row r="229" spans="1:6">
      <c r="A229" s="4">
        <f t="shared" si="3"/>
        <v>228</v>
      </c>
      <c r="B229" s="4" t="s">
        <v>383</v>
      </c>
      <c r="C229" s="5" t="s">
        <v>358</v>
      </c>
      <c r="D229" s="35">
        <v>45809</v>
      </c>
      <c r="E229" s="36">
        <v>106009.25</v>
      </c>
      <c r="F229" s="5" t="s">
        <v>379</v>
      </c>
    </row>
    <row r="230" spans="1:6">
      <c r="A230" s="4">
        <f t="shared" si="3"/>
        <v>229</v>
      </c>
      <c r="B230" s="4" t="s">
        <v>383</v>
      </c>
      <c r="C230" s="5" t="s">
        <v>365</v>
      </c>
      <c r="D230" s="35">
        <v>45809</v>
      </c>
      <c r="E230" s="36">
        <v>53912</v>
      </c>
      <c r="F230" s="5" t="s">
        <v>379</v>
      </c>
    </row>
    <row r="231" spans="1:6">
      <c r="A231" s="4">
        <f t="shared" si="3"/>
        <v>230</v>
      </c>
      <c r="B231" s="4" t="s">
        <v>378</v>
      </c>
      <c r="C231" s="5" t="s">
        <v>353</v>
      </c>
      <c r="D231" s="35">
        <v>45809</v>
      </c>
      <c r="E231" s="36">
        <v>6583.5</v>
      </c>
      <c r="F231" s="5" t="s">
        <v>379</v>
      </c>
    </row>
    <row r="232" spans="1:6">
      <c r="A232" s="4">
        <f t="shared" si="3"/>
        <v>231</v>
      </c>
      <c r="B232" s="4" t="s">
        <v>378</v>
      </c>
      <c r="C232" s="5" t="s">
        <v>358</v>
      </c>
      <c r="D232" s="35">
        <v>45809</v>
      </c>
      <c r="E232" s="36">
        <v>29938.5</v>
      </c>
      <c r="F232" s="5" t="s">
        <v>379</v>
      </c>
    </row>
    <row r="233" spans="1:6">
      <c r="A233" s="4">
        <f t="shared" si="3"/>
        <v>232</v>
      </c>
      <c r="B233" s="4" t="s">
        <v>378</v>
      </c>
      <c r="C233" s="5" t="s">
        <v>357</v>
      </c>
      <c r="D233" s="35">
        <v>45809</v>
      </c>
      <c r="E233" s="36">
        <v>49547.88</v>
      </c>
      <c r="F233" s="5" t="s">
        <v>379</v>
      </c>
    </row>
    <row r="234" spans="1:6">
      <c r="A234" s="4">
        <f t="shared" si="3"/>
        <v>233</v>
      </c>
      <c r="B234" s="4" t="s">
        <v>378</v>
      </c>
      <c r="C234" s="5" t="s">
        <v>362</v>
      </c>
      <c r="D234" s="35">
        <v>45809</v>
      </c>
      <c r="E234" s="36">
        <v>2960.24</v>
      </c>
      <c r="F234" s="5" t="s">
        <v>379</v>
      </c>
    </row>
    <row r="235" spans="1:6">
      <c r="A235" s="4">
        <f t="shared" si="3"/>
        <v>234</v>
      </c>
      <c r="B235" s="4" t="s">
        <v>378</v>
      </c>
      <c r="C235" s="5" t="s">
        <v>366</v>
      </c>
      <c r="D235" s="35">
        <v>45809</v>
      </c>
      <c r="E235" s="36">
        <v>18803.2</v>
      </c>
      <c r="F235" s="5" t="s">
        <v>379</v>
      </c>
    </row>
    <row r="236" spans="1:6">
      <c r="A236" s="4">
        <f t="shared" si="3"/>
        <v>235</v>
      </c>
      <c r="B236" s="4" t="s">
        <v>384</v>
      </c>
      <c r="C236" s="5" t="s">
        <v>360</v>
      </c>
      <c r="D236" s="35">
        <v>45809</v>
      </c>
      <c r="E236" s="36">
        <v>459</v>
      </c>
      <c r="F236" s="5" t="s">
        <v>379</v>
      </c>
    </row>
    <row r="237" spans="1:6">
      <c r="A237" s="4">
        <f t="shared" si="3"/>
        <v>236</v>
      </c>
      <c r="B237" s="4" t="s">
        <v>385</v>
      </c>
      <c r="C237" s="5" t="s">
        <v>361</v>
      </c>
      <c r="D237" s="35">
        <v>45809</v>
      </c>
      <c r="E237" s="5">
        <v>25658735.999999996</v>
      </c>
      <c r="F237" s="5" t="s">
        <v>386</v>
      </c>
    </row>
    <row r="238" spans="1:6">
      <c r="A238" s="4">
        <f t="shared" si="3"/>
        <v>237</v>
      </c>
      <c r="B238" s="4" t="s">
        <v>385</v>
      </c>
      <c r="C238" s="5" t="s">
        <v>351</v>
      </c>
      <c r="D238" s="35">
        <v>45809</v>
      </c>
      <c r="E238" s="5">
        <v>53933379</v>
      </c>
      <c r="F238" s="5" t="s">
        <v>386</v>
      </c>
    </row>
    <row r="239" spans="1:6">
      <c r="A239" s="4">
        <f t="shared" si="3"/>
        <v>238</v>
      </c>
      <c r="B239" s="4" t="s">
        <v>385</v>
      </c>
      <c r="C239" s="5" t="s">
        <v>357</v>
      </c>
      <c r="D239" s="35">
        <v>45809</v>
      </c>
      <c r="E239" s="5">
        <v>24286842.105263159</v>
      </c>
      <c r="F239" s="5" t="s">
        <v>386</v>
      </c>
    </row>
    <row r="240" spans="1:6">
      <c r="A240" s="4">
        <f t="shared" si="3"/>
        <v>239</v>
      </c>
      <c r="B240" s="4" t="s">
        <v>385</v>
      </c>
      <c r="C240" s="5" t="s">
        <v>363</v>
      </c>
      <c r="D240" s="35">
        <v>45809</v>
      </c>
      <c r="E240" s="5">
        <v>3450000</v>
      </c>
      <c r="F240" s="5" t="s">
        <v>386</v>
      </c>
    </row>
    <row r="241" spans="1:6">
      <c r="A241" s="4">
        <f t="shared" si="3"/>
        <v>240</v>
      </c>
      <c r="B241" s="4" t="s">
        <v>387</v>
      </c>
      <c r="C241" s="5" t="s">
        <v>354</v>
      </c>
      <c r="D241" s="37">
        <v>45809</v>
      </c>
      <c r="E241" s="36">
        <v>490</v>
      </c>
      <c r="F241" s="5" t="s">
        <v>379</v>
      </c>
    </row>
    <row r="242" spans="1:6">
      <c r="A242" s="4">
        <f t="shared" si="3"/>
        <v>241</v>
      </c>
      <c r="B242" s="4" t="s">
        <v>380</v>
      </c>
      <c r="C242" s="5" t="s">
        <v>357</v>
      </c>
      <c r="D242" s="35">
        <v>45809</v>
      </c>
      <c r="E242" s="36">
        <v>1320</v>
      </c>
      <c r="F242" s="5" t="s">
        <v>379</v>
      </c>
    </row>
    <row r="243" spans="1:6">
      <c r="A243" s="4">
        <f t="shared" si="3"/>
        <v>242</v>
      </c>
      <c r="B243" s="4" t="s">
        <v>381</v>
      </c>
      <c r="C243" s="5" t="s">
        <v>357</v>
      </c>
      <c r="D243" s="35">
        <v>45778</v>
      </c>
      <c r="E243" s="36">
        <v>46098.59</v>
      </c>
      <c r="F243" s="5" t="s">
        <v>379</v>
      </c>
    </row>
    <row r="244" spans="1:6">
      <c r="A244" s="4">
        <f t="shared" si="3"/>
        <v>243</v>
      </c>
      <c r="B244" s="4" t="s">
        <v>381</v>
      </c>
      <c r="C244" s="5" t="s">
        <v>353</v>
      </c>
      <c r="D244" s="35">
        <v>45778</v>
      </c>
      <c r="E244" s="36">
        <v>14797.119999999999</v>
      </c>
      <c r="F244" s="5" t="s">
        <v>379</v>
      </c>
    </row>
    <row r="245" spans="1:6">
      <c r="A245" s="4">
        <f t="shared" si="3"/>
        <v>244</v>
      </c>
      <c r="B245" s="4" t="s">
        <v>382</v>
      </c>
      <c r="C245" s="5" t="s">
        <v>357</v>
      </c>
      <c r="D245" s="35">
        <v>45778</v>
      </c>
      <c r="E245" s="36">
        <v>6968</v>
      </c>
      <c r="F245" s="5" t="s">
        <v>379</v>
      </c>
    </row>
    <row r="246" spans="1:6">
      <c r="A246" s="4">
        <f t="shared" si="3"/>
        <v>245</v>
      </c>
      <c r="B246" s="4" t="s">
        <v>382</v>
      </c>
      <c r="C246" s="5" t="s">
        <v>356</v>
      </c>
      <c r="D246" s="35">
        <v>45778</v>
      </c>
      <c r="E246" s="36">
        <v>7327.78</v>
      </c>
      <c r="F246" s="5" t="s">
        <v>379</v>
      </c>
    </row>
    <row r="247" spans="1:6">
      <c r="A247" s="4">
        <f t="shared" si="3"/>
        <v>246</v>
      </c>
      <c r="B247" s="4" t="s">
        <v>382</v>
      </c>
      <c r="C247" s="5" t="s">
        <v>353</v>
      </c>
      <c r="D247" s="35">
        <v>45778</v>
      </c>
      <c r="E247" s="36">
        <v>10420.120000000001</v>
      </c>
      <c r="F247" s="5" t="s">
        <v>379</v>
      </c>
    </row>
    <row r="248" spans="1:6">
      <c r="A248" s="4">
        <f t="shared" si="3"/>
        <v>247</v>
      </c>
      <c r="B248" s="4" t="s">
        <v>382</v>
      </c>
      <c r="C248" s="5" t="s">
        <v>358</v>
      </c>
      <c r="D248" s="35">
        <v>45778</v>
      </c>
      <c r="E248" s="36">
        <v>64994.48</v>
      </c>
      <c r="F248" s="5" t="s">
        <v>379</v>
      </c>
    </row>
    <row r="249" spans="1:6">
      <c r="A249" s="4">
        <f t="shared" si="3"/>
        <v>248</v>
      </c>
      <c r="B249" s="4" t="s">
        <v>382</v>
      </c>
      <c r="C249" s="5" t="s">
        <v>365</v>
      </c>
      <c r="D249" s="35">
        <v>45778</v>
      </c>
      <c r="E249" s="36">
        <v>34912</v>
      </c>
      <c r="F249" s="5" t="s">
        <v>379</v>
      </c>
    </row>
    <row r="250" spans="1:6">
      <c r="A250" s="4">
        <f t="shared" si="3"/>
        <v>249</v>
      </c>
      <c r="B250" s="4" t="s">
        <v>382</v>
      </c>
      <c r="C250" s="5" t="s">
        <v>370</v>
      </c>
      <c r="D250" s="35">
        <v>45778</v>
      </c>
      <c r="E250" s="36">
        <v>10580</v>
      </c>
      <c r="F250" s="5" t="s">
        <v>379</v>
      </c>
    </row>
    <row r="251" spans="1:6">
      <c r="A251" s="4">
        <f t="shared" si="3"/>
        <v>250</v>
      </c>
      <c r="B251" s="4" t="s">
        <v>383</v>
      </c>
      <c r="C251" s="5" t="s">
        <v>357</v>
      </c>
      <c r="D251" s="35">
        <v>45778</v>
      </c>
      <c r="E251" s="36">
        <v>34051.660000000003</v>
      </c>
      <c r="F251" s="5" t="s">
        <v>379</v>
      </c>
    </row>
    <row r="252" spans="1:6">
      <c r="A252" s="4">
        <f t="shared" si="3"/>
        <v>251</v>
      </c>
      <c r="B252" s="4" t="s">
        <v>383</v>
      </c>
      <c r="C252" s="5" t="s">
        <v>366</v>
      </c>
      <c r="D252" s="35">
        <v>45778</v>
      </c>
      <c r="E252" s="36">
        <v>14331.45</v>
      </c>
      <c r="F252" s="5" t="s">
        <v>379</v>
      </c>
    </row>
    <row r="253" spans="1:6">
      <c r="A253" s="4">
        <f t="shared" si="3"/>
        <v>252</v>
      </c>
      <c r="B253" s="4" t="s">
        <v>383</v>
      </c>
      <c r="C253" s="5" t="s">
        <v>362</v>
      </c>
      <c r="D253" s="35">
        <v>45778</v>
      </c>
      <c r="E253" s="36">
        <v>77770.25</v>
      </c>
      <c r="F253" s="5" t="s">
        <v>379</v>
      </c>
    </row>
    <row r="254" spans="1:6">
      <c r="A254" s="4">
        <f t="shared" si="3"/>
        <v>253</v>
      </c>
      <c r="B254" s="4" t="s">
        <v>383</v>
      </c>
      <c r="C254" s="5" t="s">
        <v>358</v>
      </c>
      <c r="D254" s="35">
        <v>45778</v>
      </c>
      <c r="E254" s="36">
        <v>82548.179999999993</v>
      </c>
      <c r="F254" s="5" t="s">
        <v>379</v>
      </c>
    </row>
    <row r="255" spans="1:6">
      <c r="A255" s="4">
        <f t="shared" si="3"/>
        <v>254</v>
      </c>
      <c r="B255" s="4" t="s">
        <v>383</v>
      </c>
      <c r="C255" s="5" t="s">
        <v>365</v>
      </c>
      <c r="D255" s="35">
        <v>45778</v>
      </c>
      <c r="E255" s="36">
        <v>24536</v>
      </c>
      <c r="F255" s="5" t="s">
        <v>379</v>
      </c>
    </row>
    <row r="256" spans="1:6">
      <c r="A256" s="4">
        <f t="shared" si="3"/>
        <v>255</v>
      </c>
      <c r="B256" s="4" t="s">
        <v>378</v>
      </c>
      <c r="C256" s="5" t="s">
        <v>353</v>
      </c>
      <c r="D256" s="35">
        <v>45778</v>
      </c>
      <c r="E256" s="36">
        <v>3542</v>
      </c>
      <c r="F256" s="5" t="s">
        <v>379</v>
      </c>
    </row>
    <row r="257" spans="1:6">
      <c r="A257" s="4">
        <f t="shared" si="3"/>
        <v>256</v>
      </c>
      <c r="B257" s="4" t="s">
        <v>378</v>
      </c>
      <c r="C257" s="5" t="s">
        <v>358</v>
      </c>
      <c r="D257" s="35">
        <v>45778</v>
      </c>
      <c r="E257" s="36">
        <v>37710.269999999997</v>
      </c>
      <c r="F257" s="5" t="s">
        <v>379</v>
      </c>
    </row>
    <row r="258" spans="1:6">
      <c r="A258" s="4">
        <f t="shared" si="3"/>
        <v>257</v>
      </c>
      <c r="B258" s="4" t="s">
        <v>378</v>
      </c>
      <c r="C258" s="5" t="s">
        <v>357</v>
      </c>
      <c r="D258" s="35">
        <v>45778</v>
      </c>
      <c r="E258" s="36">
        <v>153551.26</v>
      </c>
      <c r="F258" s="5" t="s">
        <v>379</v>
      </c>
    </row>
    <row r="259" spans="1:6">
      <c r="A259" s="4">
        <f t="shared" si="3"/>
        <v>258</v>
      </c>
      <c r="B259" s="4" t="s">
        <v>378</v>
      </c>
      <c r="C259" s="5" t="s">
        <v>362</v>
      </c>
      <c r="D259" s="35">
        <v>45778</v>
      </c>
      <c r="E259" s="36">
        <v>6514.31</v>
      </c>
      <c r="F259" s="5" t="s">
        <v>379</v>
      </c>
    </row>
    <row r="260" spans="1:6">
      <c r="A260" s="4">
        <f t="shared" si="3"/>
        <v>259</v>
      </c>
      <c r="B260" s="4" t="s">
        <v>378</v>
      </c>
      <c r="C260" s="5" t="s">
        <v>366</v>
      </c>
      <c r="D260" s="35">
        <v>45778</v>
      </c>
      <c r="E260" s="36">
        <v>9462.7999999999993</v>
      </c>
      <c r="F260" s="5" t="s">
        <v>379</v>
      </c>
    </row>
    <row r="261" spans="1:6">
      <c r="A261" s="4">
        <f t="shared" si="3"/>
        <v>260</v>
      </c>
      <c r="B261" s="4" t="s">
        <v>385</v>
      </c>
      <c r="C261" s="5" t="s">
        <v>361</v>
      </c>
      <c r="D261" s="35">
        <v>45778</v>
      </c>
      <c r="E261" s="5">
        <v>24534000.000000004</v>
      </c>
      <c r="F261" s="5" t="s">
        <v>386</v>
      </c>
    </row>
    <row r="262" spans="1:6">
      <c r="A262" s="4">
        <f t="shared" si="3"/>
        <v>261</v>
      </c>
      <c r="B262" s="4" t="s">
        <v>385</v>
      </c>
      <c r="C262" s="5" t="s">
        <v>351</v>
      </c>
      <c r="D262" s="35">
        <v>45778</v>
      </c>
      <c r="E262" s="5">
        <v>56605893</v>
      </c>
      <c r="F262" s="5" t="s">
        <v>386</v>
      </c>
    </row>
    <row r="263" spans="1:6">
      <c r="A263" s="4">
        <f t="shared" si="3"/>
        <v>262</v>
      </c>
      <c r="B263" s="4" t="s">
        <v>385</v>
      </c>
      <c r="C263" s="5" t="s">
        <v>357</v>
      </c>
      <c r="D263" s="35">
        <v>45778</v>
      </c>
      <c r="E263" s="5">
        <v>16627272.727272728</v>
      </c>
      <c r="F263" s="5" t="s">
        <v>386</v>
      </c>
    </row>
    <row r="264" spans="1:6">
      <c r="A264" s="4">
        <f t="shared" si="3"/>
        <v>263</v>
      </c>
      <c r="B264" s="4" t="s">
        <v>385</v>
      </c>
      <c r="C264" s="5" t="s">
        <v>363</v>
      </c>
      <c r="D264" s="35">
        <v>45778</v>
      </c>
      <c r="E264" s="5">
        <v>8285713</v>
      </c>
      <c r="F264" s="5" t="s">
        <v>386</v>
      </c>
    </row>
    <row r="265" spans="1:6">
      <c r="A265" s="4">
        <f t="shared" si="3"/>
        <v>264</v>
      </c>
      <c r="B265" s="4" t="s">
        <v>387</v>
      </c>
      <c r="C265" s="5" t="s">
        <v>354</v>
      </c>
      <c r="D265" s="37">
        <v>45778</v>
      </c>
      <c r="E265" s="36">
        <v>5283</v>
      </c>
      <c r="F265" s="5" t="s">
        <v>379</v>
      </c>
    </row>
    <row r="266" spans="1:6">
      <c r="A266" s="4">
        <f t="shared" si="3"/>
        <v>265</v>
      </c>
      <c r="B266" s="4" t="s">
        <v>381</v>
      </c>
      <c r="C266" s="5" t="s">
        <v>353</v>
      </c>
      <c r="D266" s="35">
        <v>45748</v>
      </c>
      <c r="E266" s="36">
        <v>8588.7099999999991</v>
      </c>
      <c r="F266" s="5" t="s">
        <v>379</v>
      </c>
    </row>
    <row r="267" spans="1:6">
      <c r="A267" s="4">
        <f t="shared" ref="A267:A330" si="4">ROW()-1</f>
        <v>266</v>
      </c>
      <c r="B267" s="4" t="s">
        <v>381</v>
      </c>
      <c r="C267" s="5" t="s">
        <v>358</v>
      </c>
      <c r="D267" s="35">
        <v>45748</v>
      </c>
      <c r="E267" s="36">
        <v>1753.38</v>
      </c>
      <c r="F267" s="5" t="s">
        <v>379</v>
      </c>
    </row>
    <row r="268" spans="1:6">
      <c r="A268" s="4">
        <f t="shared" si="4"/>
        <v>267</v>
      </c>
      <c r="B268" s="4" t="s">
        <v>382</v>
      </c>
      <c r="C268" s="5" t="s">
        <v>357</v>
      </c>
      <c r="D268" s="35">
        <v>45748</v>
      </c>
      <c r="E268" s="36">
        <v>1683.45</v>
      </c>
      <c r="F268" s="5" t="s">
        <v>379</v>
      </c>
    </row>
    <row r="269" spans="1:6">
      <c r="A269" s="4">
        <f t="shared" si="4"/>
        <v>268</v>
      </c>
      <c r="B269" s="4" t="s">
        <v>382</v>
      </c>
      <c r="C269" s="5" t="s">
        <v>356</v>
      </c>
      <c r="D269" s="35">
        <v>45748</v>
      </c>
      <c r="E269" s="36">
        <v>1696</v>
      </c>
      <c r="F269" s="5" t="s">
        <v>379</v>
      </c>
    </row>
    <row r="270" spans="1:6">
      <c r="A270" s="4">
        <f t="shared" si="4"/>
        <v>269</v>
      </c>
      <c r="B270" s="4" t="s">
        <v>382</v>
      </c>
      <c r="C270" s="5" t="s">
        <v>353</v>
      </c>
      <c r="D270" s="35">
        <v>45748</v>
      </c>
      <c r="E270" s="36">
        <v>14986.71</v>
      </c>
      <c r="F270" s="5" t="s">
        <v>379</v>
      </c>
    </row>
    <row r="271" spans="1:6">
      <c r="A271" s="4">
        <f t="shared" si="4"/>
        <v>270</v>
      </c>
      <c r="B271" s="4" t="s">
        <v>382</v>
      </c>
      <c r="C271" s="5" t="s">
        <v>366</v>
      </c>
      <c r="D271" s="35">
        <v>45748</v>
      </c>
      <c r="E271" s="36">
        <v>3930.1</v>
      </c>
      <c r="F271" s="5" t="s">
        <v>379</v>
      </c>
    </row>
    <row r="272" spans="1:6">
      <c r="A272" s="4">
        <f t="shared" si="4"/>
        <v>271</v>
      </c>
      <c r="B272" s="4" t="s">
        <v>382</v>
      </c>
      <c r="C272" s="5" t="s">
        <v>358</v>
      </c>
      <c r="D272" s="35">
        <v>45748</v>
      </c>
      <c r="E272" s="36">
        <v>40859.64</v>
      </c>
      <c r="F272" s="5" t="s">
        <v>379</v>
      </c>
    </row>
    <row r="273" spans="1:6">
      <c r="A273" s="4">
        <f t="shared" si="4"/>
        <v>272</v>
      </c>
      <c r="B273" s="4" t="s">
        <v>382</v>
      </c>
      <c r="C273" s="5" t="s">
        <v>365</v>
      </c>
      <c r="D273" s="35">
        <v>45748</v>
      </c>
      <c r="E273" s="36">
        <v>17532</v>
      </c>
      <c r="F273" s="5" t="s">
        <v>379</v>
      </c>
    </row>
    <row r="274" spans="1:6">
      <c r="A274" s="4">
        <f t="shared" si="4"/>
        <v>273</v>
      </c>
      <c r="B274" s="4" t="s">
        <v>382</v>
      </c>
      <c r="C274" s="5" t="s">
        <v>367</v>
      </c>
      <c r="D274" s="35">
        <v>45748</v>
      </c>
      <c r="E274" s="36">
        <v>9300.1</v>
      </c>
      <c r="F274" s="5" t="s">
        <v>379</v>
      </c>
    </row>
    <row r="275" spans="1:6">
      <c r="A275" s="4">
        <f t="shared" si="4"/>
        <v>274</v>
      </c>
      <c r="B275" s="4" t="s">
        <v>383</v>
      </c>
      <c r="C275" s="5" t="s">
        <v>357</v>
      </c>
      <c r="D275" s="35">
        <v>45748</v>
      </c>
      <c r="E275" s="36">
        <v>54222.96</v>
      </c>
      <c r="F275" s="5" t="s">
        <v>379</v>
      </c>
    </row>
    <row r="276" spans="1:6">
      <c r="A276" s="4">
        <f t="shared" si="4"/>
        <v>275</v>
      </c>
      <c r="B276" s="4" t="s">
        <v>383</v>
      </c>
      <c r="C276" s="5" t="s">
        <v>366</v>
      </c>
      <c r="D276" s="35">
        <v>45748</v>
      </c>
      <c r="E276" s="36">
        <v>31956.27</v>
      </c>
      <c r="F276" s="5" t="s">
        <v>379</v>
      </c>
    </row>
    <row r="277" spans="1:6">
      <c r="A277" s="4">
        <f t="shared" si="4"/>
        <v>276</v>
      </c>
      <c r="B277" s="4" t="s">
        <v>383</v>
      </c>
      <c r="C277" s="5" t="s">
        <v>362</v>
      </c>
      <c r="D277" s="35">
        <v>45748</v>
      </c>
      <c r="E277" s="36">
        <v>26322.379999999997</v>
      </c>
      <c r="F277" s="5" t="s">
        <v>379</v>
      </c>
    </row>
    <row r="278" spans="1:6">
      <c r="A278" s="4">
        <f t="shared" si="4"/>
        <v>277</v>
      </c>
      <c r="B278" s="4" t="s">
        <v>383</v>
      </c>
      <c r="C278" s="5" t="s">
        <v>358</v>
      </c>
      <c r="D278" s="35">
        <v>45748</v>
      </c>
      <c r="E278" s="36">
        <v>114979.11</v>
      </c>
      <c r="F278" s="5" t="s">
        <v>379</v>
      </c>
    </row>
    <row r="279" spans="1:6">
      <c r="A279" s="4">
        <f t="shared" si="4"/>
        <v>278</v>
      </c>
      <c r="B279" s="4" t="s">
        <v>383</v>
      </c>
      <c r="C279" s="5" t="s">
        <v>365</v>
      </c>
      <c r="D279" s="35">
        <v>45748</v>
      </c>
      <c r="E279" s="36">
        <v>35584</v>
      </c>
      <c r="F279" s="5" t="s">
        <v>379</v>
      </c>
    </row>
    <row r="280" spans="1:6">
      <c r="A280" s="4">
        <f t="shared" si="4"/>
        <v>279</v>
      </c>
      <c r="B280" s="4" t="s">
        <v>383</v>
      </c>
      <c r="C280" s="5" t="s">
        <v>367</v>
      </c>
      <c r="D280" s="35">
        <v>45748</v>
      </c>
      <c r="E280" s="36">
        <v>3106</v>
      </c>
      <c r="F280" s="5" t="s">
        <v>379</v>
      </c>
    </row>
    <row r="281" spans="1:6">
      <c r="A281" s="4">
        <f t="shared" si="4"/>
        <v>280</v>
      </c>
      <c r="B281" s="4" t="s">
        <v>378</v>
      </c>
      <c r="C281" s="5" t="s">
        <v>353</v>
      </c>
      <c r="D281" s="35">
        <v>45748</v>
      </c>
      <c r="E281" s="36">
        <v>6860</v>
      </c>
      <c r="F281" s="5" t="s">
        <v>379</v>
      </c>
    </row>
    <row r="282" spans="1:6">
      <c r="A282" s="4">
        <f t="shared" si="4"/>
        <v>281</v>
      </c>
      <c r="B282" s="4" t="s">
        <v>378</v>
      </c>
      <c r="C282" s="5" t="s">
        <v>358</v>
      </c>
      <c r="D282" s="35">
        <v>45748</v>
      </c>
      <c r="E282" s="36">
        <v>31955.200000000001</v>
      </c>
      <c r="F282" s="5" t="s">
        <v>379</v>
      </c>
    </row>
    <row r="283" spans="1:6">
      <c r="A283" s="4">
        <f t="shared" si="4"/>
        <v>282</v>
      </c>
      <c r="B283" s="4" t="s">
        <v>378</v>
      </c>
      <c r="C283" s="5" t="s">
        <v>357</v>
      </c>
      <c r="D283" s="35">
        <v>45748</v>
      </c>
      <c r="E283" s="36">
        <v>61184.98</v>
      </c>
      <c r="F283" s="5" t="s">
        <v>379</v>
      </c>
    </row>
    <row r="284" spans="1:6">
      <c r="A284" s="4">
        <f t="shared" si="4"/>
        <v>283</v>
      </c>
      <c r="B284" s="4" t="s">
        <v>378</v>
      </c>
      <c r="C284" s="5" t="s">
        <v>362</v>
      </c>
      <c r="D284" s="35">
        <v>45748</v>
      </c>
      <c r="E284" s="36">
        <v>5545.46</v>
      </c>
      <c r="F284" s="5" t="s">
        <v>379</v>
      </c>
    </row>
    <row r="285" spans="1:6">
      <c r="A285" s="4">
        <f t="shared" si="4"/>
        <v>284</v>
      </c>
      <c r="B285" s="4" t="s">
        <v>378</v>
      </c>
      <c r="C285" s="5" t="s">
        <v>366</v>
      </c>
      <c r="D285" s="35">
        <v>45748</v>
      </c>
      <c r="E285" s="36">
        <v>15356.85</v>
      </c>
      <c r="F285" s="5" t="s">
        <v>379</v>
      </c>
    </row>
    <row r="286" spans="1:6">
      <c r="A286" s="4">
        <f t="shared" si="4"/>
        <v>285</v>
      </c>
      <c r="B286" s="4" t="s">
        <v>378</v>
      </c>
      <c r="C286" s="5" t="s">
        <v>365</v>
      </c>
      <c r="D286" s="35">
        <v>45748</v>
      </c>
      <c r="E286" s="36">
        <v>8360</v>
      </c>
      <c r="F286" s="5" t="s">
        <v>379</v>
      </c>
    </row>
    <row r="287" spans="1:6">
      <c r="A287" s="4">
        <f t="shared" si="4"/>
        <v>286</v>
      </c>
      <c r="B287" s="4" t="s">
        <v>384</v>
      </c>
      <c r="C287" s="5" t="s">
        <v>360</v>
      </c>
      <c r="D287" s="35">
        <v>45748</v>
      </c>
      <c r="E287" s="36">
        <v>1416</v>
      </c>
      <c r="F287" s="5" t="s">
        <v>379</v>
      </c>
    </row>
    <row r="288" spans="1:6">
      <c r="A288" s="4">
        <f t="shared" si="4"/>
        <v>287</v>
      </c>
      <c r="B288" s="4" t="s">
        <v>385</v>
      </c>
      <c r="C288" s="5" t="s">
        <v>361</v>
      </c>
      <c r="D288" s="35">
        <v>45748</v>
      </c>
      <c r="E288" s="5">
        <v>25468000</v>
      </c>
      <c r="F288" s="5" t="s">
        <v>386</v>
      </c>
    </row>
    <row r="289" spans="1:6">
      <c r="A289" s="4">
        <f t="shared" si="4"/>
        <v>288</v>
      </c>
      <c r="B289" s="4" t="s">
        <v>385</v>
      </c>
      <c r="C289" s="5" t="s">
        <v>351</v>
      </c>
      <c r="D289" s="35">
        <v>45748</v>
      </c>
      <c r="E289" s="5">
        <v>42693865</v>
      </c>
      <c r="F289" s="5" t="s">
        <v>386</v>
      </c>
    </row>
    <row r="290" spans="1:6">
      <c r="A290" s="4">
        <f t="shared" si="4"/>
        <v>289</v>
      </c>
      <c r="B290" s="4" t="s">
        <v>385</v>
      </c>
      <c r="C290" s="5" t="s">
        <v>357</v>
      </c>
      <c r="D290" s="35">
        <v>45748</v>
      </c>
      <c r="E290" s="5">
        <v>10000000</v>
      </c>
      <c r="F290" s="5" t="s">
        <v>386</v>
      </c>
    </row>
    <row r="291" spans="1:6">
      <c r="A291" s="4">
        <f t="shared" si="4"/>
        <v>290</v>
      </c>
      <c r="B291" s="4" t="s">
        <v>385</v>
      </c>
      <c r="C291" s="5" t="s">
        <v>363</v>
      </c>
      <c r="D291" s="35">
        <v>45748</v>
      </c>
      <c r="E291" s="5">
        <v>27568571</v>
      </c>
      <c r="F291" s="5" t="s">
        <v>386</v>
      </c>
    </row>
    <row r="292" spans="1:6">
      <c r="A292" s="4">
        <f t="shared" si="4"/>
        <v>291</v>
      </c>
      <c r="B292" s="4" t="s">
        <v>387</v>
      </c>
      <c r="C292" s="5" t="s">
        <v>354</v>
      </c>
      <c r="D292" s="37">
        <v>45748</v>
      </c>
      <c r="E292" s="36">
        <v>6235</v>
      </c>
      <c r="F292" s="5" t="s">
        <v>379</v>
      </c>
    </row>
    <row r="293" spans="1:6">
      <c r="A293" s="4">
        <f t="shared" si="4"/>
        <v>292</v>
      </c>
      <c r="B293" s="4" t="s">
        <v>381</v>
      </c>
      <c r="C293" s="5" t="s">
        <v>353</v>
      </c>
      <c r="D293" s="35">
        <v>45717</v>
      </c>
      <c r="E293" s="36">
        <v>7752</v>
      </c>
      <c r="F293" s="5" t="s">
        <v>379</v>
      </c>
    </row>
    <row r="294" spans="1:6">
      <c r="A294" s="4">
        <f t="shared" si="4"/>
        <v>293</v>
      </c>
      <c r="B294" s="4" t="s">
        <v>381</v>
      </c>
      <c r="C294" s="5" t="s">
        <v>358</v>
      </c>
      <c r="D294" s="35">
        <v>45717</v>
      </c>
      <c r="E294" s="36">
        <v>1290.69</v>
      </c>
      <c r="F294" s="5" t="s">
        <v>379</v>
      </c>
    </row>
    <row r="295" spans="1:6">
      <c r="A295" s="4">
        <f t="shared" si="4"/>
        <v>294</v>
      </c>
      <c r="B295" s="4" t="s">
        <v>382</v>
      </c>
      <c r="C295" s="5" t="s">
        <v>362</v>
      </c>
      <c r="D295" s="35">
        <v>45717</v>
      </c>
      <c r="E295" s="36">
        <v>664</v>
      </c>
      <c r="F295" s="5" t="s">
        <v>379</v>
      </c>
    </row>
    <row r="296" spans="1:6">
      <c r="A296" s="4">
        <f t="shared" si="4"/>
        <v>295</v>
      </c>
      <c r="B296" s="4" t="s">
        <v>382</v>
      </c>
      <c r="C296" s="5" t="s">
        <v>357</v>
      </c>
      <c r="D296" s="35">
        <v>45717</v>
      </c>
      <c r="E296" s="36">
        <v>13618.11</v>
      </c>
      <c r="F296" s="5" t="s">
        <v>379</v>
      </c>
    </row>
    <row r="297" spans="1:6">
      <c r="A297" s="4">
        <f t="shared" si="4"/>
        <v>296</v>
      </c>
      <c r="B297" s="4" t="s">
        <v>382</v>
      </c>
      <c r="C297" s="5" t="s">
        <v>356</v>
      </c>
      <c r="D297" s="35">
        <v>45717</v>
      </c>
      <c r="E297" s="36">
        <v>6884.86</v>
      </c>
      <c r="F297" s="5" t="s">
        <v>379</v>
      </c>
    </row>
    <row r="298" spans="1:6">
      <c r="A298" s="4">
        <f t="shared" si="4"/>
        <v>297</v>
      </c>
      <c r="B298" s="4" t="s">
        <v>382</v>
      </c>
      <c r="C298" s="5" t="s">
        <v>353</v>
      </c>
      <c r="D298" s="35">
        <v>45717</v>
      </c>
      <c r="E298" s="36">
        <v>15628.28</v>
      </c>
      <c r="F298" s="5" t="s">
        <v>379</v>
      </c>
    </row>
    <row r="299" spans="1:6">
      <c r="A299" s="4">
        <f t="shared" si="4"/>
        <v>298</v>
      </c>
      <c r="B299" s="4" t="s">
        <v>382</v>
      </c>
      <c r="C299" s="5" t="s">
        <v>366</v>
      </c>
      <c r="D299" s="35">
        <v>45717</v>
      </c>
      <c r="E299" s="36">
        <v>7339.6</v>
      </c>
      <c r="F299" s="5" t="s">
        <v>379</v>
      </c>
    </row>
    <row r="300" spans="1:6">
      <c r="A300" s="4">
        <f t="shared" si="4"/>
        <v>299</v>
      </c>
      <c r="B300" s="4" t="s">
        <v>382</v>
      </c>
      <c r="C300" s="5" t="s">
        <v>358</v>
      </c>
      <c r="D300" s="35">
        <v>45717</v>
      </c>
      <c r="E300" s="36">
        <v>83634.909999999989</v>
      </c>
      <c r="F300" s="5" t="s">
        <v>379</v>
      </c>
    </row>
    <row r="301" spans="1:6">
      <c r="A301" s="4">
        <f t="shared" si="4"/>
        <v>300</v>
      </c>
      <c r="B301" s="4" t="s">
        <v>382</v>
      </c>
      <c r="C301" s="5" t="s">
        <v>365</v>
      </c>
      <c r="D301" s="35">
        <v>45717</v>
      </c>
      <c r="E301" s="36">
        <v>30768</v>
      </c>
      <c r="F301" s="5" t="s">
        <v>379</v>
      </c>
    </row>
    <row r="302" spans="1:6">
      <c r="A302" s="4">
        <f t="shared" si="4"/>
        <v>301</v>
      </c>
      <c r="B302" s="4" t="s">
        <v>382</v>
      </c>
      <c r="C302" s="5" t="s">
        <v>367</v>
      </c>
      <c r="D302" s="35">
        <v>45717</v>
      </c>
      <c r="E302" s="36">
        <v>2508</v>
      </c>
      <c r="F302" s="5" t="s">
        <v>379</v>
      </c>
    </row>
    <row r="303" spans="1:6">
      <c r="A303" s="4">
        <f t="shared" si="4"/>
        <v>302</v>
      </c>
      <c r="B303" s="4" t="s">
        <v>383</v>
      </c>
      <c r="C303" s="5" t="s">
        <v>357</v>
      </c>
      <c r="D303" s="35">
        <v>45717</v>
      </c>
      <c r="E303" s="36">
        <v>65294.26</v>
      </c>
      <c r="F303" s="5" t="s">
        <v>379</v>
      </c>
    </row>
    <row r="304" spans="1:6">
      <c r="A304" s="4">
        <f t="shared" si="4"/>
        <v>303</v>
      </c>
      <c r="B304" s="4" t="s">
        <v>383</v>
      </c>
      <c r="C304" s="5" t="s">
        <v>366</v>
      </c>
      <c r="D304" s="35">
        <v>45717</v>
      </c>
      <c r="E304" s="36">
        <v>21557.95</v>
      </c>
      <c r="F304" s="5" t="s">
        <v>379</v>
      </c>
    </row>
    <row r="305" spans="1:6">
      <c r="A305" s="4">
        <f t="shared" si="4"/>
        <v>304</v>
      </c>
      <c r="B305" s="4" t="s">
        <v>383</v>
      </c>
      <c r="C305" s="5" t="s">
        <v>362</v>
      </c>
      <c r="D305" s="35">
        <v>45717</v>
      </c>
      <c r="E305" s="36">
        <v>7582</v>
      </c>
      <c r="F305" s="5" t="s">
        <v>379</v>
      </c>
    </row>
    <row r="306" spans="1:6">
      <c r="A306" s="4">
        <f t="shared" si="4"/>
        <v>305</v>
      </c>
      <c r="B306" s="4" t="s">
        <v>383</v>
      </c>
      <c r="C306" s="5" t="s">
        <v>358</v>
      </c>
      <c r="D306" s="35">
        <v>45717</v>
      </c>
      <c r="E306" s="36">
        <v>76191.600000000006</v>
      </c>
      <c r="F306" s="5" t="s">
        <v>379</v>
      </c>
    </row>
    <row r="307" spans="1:6">
      <c r="A307" s="4">
        <f t="shared" si="4"/>
        <v>306</v>
      </c>
      <c r="B307" s="4" t="s">
        <v>383</v>
      </c>
      <c r="C307" s="5" t="s">
        <v>365</v>
      </c>
      <c r="D307" s="35">
        <v>45717</v>
      </c>
      <c r="E307" s="36">
        <v>46784</v>
      </c>
      <c r="F307" s="5" t="s">
        <v>379</v>
      </c>
    </row>
    <row r="308" spans="1:6">
      <c r="A308" s="4">
        <f t="shared" si="4"/>
        <v>307</v>
      </c>
      <c r="B308" s="4" t="s">
        <v>383</v>
      </c>
      <c r="C308" s="5" t="s">
        <v>367</v>
      </c>
      <c r="D308" s="35">
        <v>45717</v>
      </c>
      <c r="E308" s="36">
        <v>2256</v>
      </c>
      <c r="F308" s="5" t="s">
        <v>379</v>
      </c>
    </row>
    <row r="309" spans="1:6">
      <c r="A309" s="4">
        <f t="shared" si="4"/>
        <v>308</v>
      </c>
      <c r="B309" s="4" t="s">
        <v>378</v>
      </c>
      <c r="C309" s="5" t="s">
        <v>353</v>
      </c>
      <c r="D309" s="35">
        <v>45717</v>
      </c>
      <c r="E309" s="36">
        <v>3125</v>
      </c>
      <c r="F309" s="5" t="s">
        <v>379</v>
      </c>
    </row>
    <row r="310" spans="1:6">
      <c r="A310" s="4">
        <f t="shared" si="4"/>
        <v>309</v>
      </c>
      <c r="B310" s="4" t="s">
        <v>378</v>
      </c>
      <c r="C310" s="5" t="s">
        <v>358</v>
      </c>
      <c r="D310" s="35">
        <v>45717</v>
      </c>
      <c r="E310" s="36">
        <v>42195.5</v>
      </c>
      <c r="F310" s="5" t="s">
        <v>379</v>
      </c>
    </row>
    <row r="311" spans="1:6">
      <c r="A311" s="4">
        <f t="shared" si="4"/>
        <v>310</v>
      </c>
      <c r="B311" s="4" t="s">
        <v>378</v>
      </c>
      <c r="C311" s="5" t="s">
        <v>357</v>
      </c>
      <c r="D311" s="35">
        <v>45717</v>
      </c>
      <c r="E311" s="36">
        <v>51987.32</v>
      </c>
      <c r="F311" s="5" t="s">
        <v>379</v>
      </c>
    </row>
    <row r="312" spans="1:6">
      <c r="A312" s="4">
        <f t="shared" si="4"/>
        <v>311</v>
      </c>
      <c r="B312" s="4" t="s">
        <v>378</v>
      </c>
      <c r="C312" s="5" t="s">
        <v>362</v>
      </c>
      <c r="D312" s="35">
        <v>45717</v>
      </c>
      <c r="E312" s="36">
        <v>6602.51</v>
      </c>
      <c r="F312" s="5" t="s">
        <v>379</v>
      </c>
    </row>
    <row r="313" spans="1:6">
      <c r="A313" s="4">
        <f t="shared" si="4"/>
        <v>312</v>
      </c>
      <c r="B313" s="4" t="s">
        <v>378</v>
      </c>
      <c r="C313" s="5" t="s">
        <v>366</v>
      </c>
      <c r="D313" s="35">
        <v>45717</v>
      </c>
      <c r="E313" s="36">
        <v>5569.4</v>
      </c>
      <c r="F313" s="5" t="s">
        <v>379</v>
      </c>
    </row>
    <row r="314" spans="1:6">
      <c r="A314" s="4">
        <f t="shared" si="4"/>
        <v>313</v>
      </c>
      <c r="B314" s="4" t="s">
        <v>384</v>
      </c>
      <c r="C314" s="5" t="s">
        <v>360</v>
      </c>
      <c r="D314" s="35">
        <v>45717</v>
      </c>
      <c r="E314" s="36">
        <v>395</v>
      </c>
      <c r="F314" s="5" t="s">
        <v>379</v>
      </c>
    </row>
    <row r="315" spans="1:6">
      <c r="A315" s="4">
        <f t="shared" si="4"/>
        <v>314</v>
      </c>
      <c r="B315" s="4" t="s">
        <v>385</v>
      </c>
      <c r="C315" s="5" t="s">
        <v>361</v>
      </c>
      <c r="D315" s="35">
        <v>45717</v>
      </c>
      <c r="E315" s="5">
        <v>33318000</v>
      </c>
      <c r="F315" s="5" t="s">
        <v>386</v>
      </c>
    </row>
    <row r="316" spans="1:6">
      <c r="A316" s="4">
        <f t="shared" si="4"/>
        <v>315</v>
      </c>
      <c r="B316" s="4" t="s">
        <v>385</v>
      </c>
      <c r="C316" s="5" t="s">
        <v>351</v>
      </c>
      <c r="D316" s="35">
        <v>45717</v>
      </c>
      <c r="E316" s="5">
        <v>32312000</v>
      </c>
      <c r="F316" s="5" t="s">
        <v>386</v>
      </c>
    </row>
    <row r="317" spans="1:6">
      <c r="A317" s="4">
        <f t="shared" si="4"/>
        <v>316</v>
      </c>
      <c r="B317" s="4" t="s">
        <v>385</v>
      </c>
      <c r="C317" s="5" t="s">
        <v>357</v>
      </c>
      <c r="D317" s="35">
        <v>45717</v>
      </c>
      <c r="E317" s="5">
        <v>10220000</v>
      </c>
      <c r="F317" s="5" t="s">
        <v>386</v>
      </c>
    </row>
    <row r="318" spans="1:6">
      <c r="A318" s="4">
        <f t="shared" si="4"/>
        <v>317</v>
      </c>
      <c r="B318" s="4" t="s">
        <v>385</v>
      </c>
      <c r="C318" s="5" t="s">
        <v>363</v>
      </c>
      <c r="D318" s="35">
        <v>45717</v>
      </c>
      <c r="E318" s="5">
        <v>11565000</v>
      </c>
      <c r="F318" s="5" t="s">
        <v>386</v>
      </c>
    </row>
    <row r="319" spans="1:6">
      <c r="A319" s="4">
        <f t="shared" si="4"/>
        <v>318</v>
      </c>
      <c r="B319" s="4" t="s">
        <v>387</v>
      </c>
      <c r="C319" s="5" t="s">
        <v>354</v>
      </c>
      <c r="D319" s="37">
        <v>45717</v>
      </c>
      <c r="E319" s="36">
        <v>6122.5</v>
      </c>
      <c r="F319" s="5" t="s">
        <v>379</v>
      </c>
    </row>
    <row r="320" spans="1:6">
      <c r="A320" s="4">
        <f t="shared" si="4"/>
        <v>319</v>
      </c>
      <c r="B320" s="4" t="s">
        <v>380</v>
      </c>
      <c r="C320" s="5" t="s">
        <v>357</v>
      </c>
      <c r="D320" s="35">
        <v>45717</v>
      </c>
      <c r="E320" s="36">
        <v>2000</v>
      </c>
      <c r="F320" s="5" t="s">
        <v>379</v>
      </c>
    </row>
    <row r="321" spans="1:6">
      <c r="A321" s="4">
        <f t="shared" si="4"/>
        <v>320</v>
      </c>
      <c r="B321" s="4" t="s">
        <v>387</v>
      </c>
      <c r="C321" s="5" t="s">
        <v>354</v>
      </c>
      <c r="D321" s="37">
        <v>45690</v>
      </c>
      <c r="E321" s="36">
        <v>10874.5</v>
      </c>
      <c r="F321" s="5" t="s">
        <v>379</v>
      </c>
    </row>
    <row r="322" spans="1:6">
      <c r="A322" s="4">
        <f t="shared" si="4"/>
        <v>321</v>
      </c>
      <c r="B322" s="4" t="s">
        <v>381</v>
      </c>
      <c r="C322" s="5" t="s">
        <v>353</v>
      </c>
      <c r="D322" s="35">
        <v>45689</v>
      </c>
      <c r="E322" s="36">
        <v>6079.28</v>
      </c>
      <c r="F322" s="5" t="s">
        <v>379</v>
      </c>
    </row>
    <row r="323" spans="1:6">
      <c r="A323" s="4">
        <f t="shared" si="4"/>
        <v>322</v>
      </c>
      <c r="B323" s="4" t="s">
        <v>382</v>
      </c>
      <c r="C323" s="5" t="s">
        <v>362</v>
      </c>
      <c r="D323" s="35">
        <v>45689</v>
      </c>
      <c r="E323" s="36">
        <v>920.8</v>
      </c>
      <c r="F323" s="5" t="s">
        <v>379</v>
      </c>
    </row>
    <row r="324" spans="1:6">
      <c r="A324" s="4">
        <f t="shared" si="4"/>
        <v>323</v>
      </c>
      <c r="B324" s="4" t="s">
        <v>382</v>
      </c>
      <c r="C324" s="5" t="s">
        <v>357</v>
      </c>
      <c r="D324" s="35">
        <v>45689</v>
      </c>
      <c r="E324" s="36">
        <v>1474</v>
      </c>
      <c r="F324" s="5" t="s">
        <v>379</v>
      </c>
    </row>
    <row r="325" spans="1:6">
      <c r="A325" s="4">
        <f t="shared" si="4"/>
        <v>324</v>
      </c>
      <c r="B325" s="4" t="s">
        <v>382</v>
      </c>
      <c r="C325" s="5" t="s">
        <v>356</v>
      </c>
      <c r="D325" s="35">
        <v>45689</v>
      </c>
      <c r="E325" s="36">
        <v>3009.5</v>
      </c>
      <c r="F325" s="5" t="s">
        <v>379</v>
      </c>
    </row>
    <row r="326" spans="1:6">
      <c r="A326" s="4">
        <f t="shared" si="4"/>
        <v>325</v>
      </c>
      <c r="B326" s="4" t="s">
        <v>382</v>
      </c>
      <c r="C326" s="5" t="s">
        <v>353</v>
      </c>
      <c r="D326" s="35">
        <v>45689</v>
      </c>
      <c r="E326" s="36">
        <v>2786.5</v>
      </c>
      <c r="F326" s="5" t="s">
        <v>379</v>
      </c>
    </row>
    <row r="327" spans="1:6">
      <c r="A327" s="4">
        <f t="shared" si="4"/>
        <v>326</v>
      </c>
      <c r="B327" s="4" t="s">
        <v>382</v>
      </c>
      <c r="C327" s="5" t="s">
        <v>366</v>
      </c>
      <c r="D327" s="35">
        <v>45689</v>
      </c>
      <c r="E327" s="36">
        <v>563</v>
      </c>
      <c r="F327" s="5" t="s">
        <v>379</v>
      </c>
    </row>
    <row r="328" spans="1:6">
      <c r="A328" s="4">
        <f t="shared" si="4"/>
        <v>327</v>
      </c>
      <c r="B328" s="4" t="s">
        <v>382</v>
      </c>
      <c r="C328" s="5" t="s">
        <v>358</v>
      </c>
      <c r="D328" s="35">
        <v>45689</v>
      </c>
      <c r="E328" s="36">
        <v>15775.18</v>
      </c>
      <c r="F328" s="5" t="s">
        <v>379</v>
      </c>
    </row>
    <row r="329" spans="1:6">
      <c r="A329" s="4">
        <f t="shared" si="4"/>
        <v>328</v>
      </c>
      <c r="B329" s="4" t="s">
        <v>382</v>
      </c>
      <c r="C329" s="5" t="s">
        <v>365</v>
      </c>
      <c r="D329" s="35">
        <v>45689</v>
      </c>
      <c r="E329" s="36">
        <v>34792</v>
      </c>
      <c r="F329" s="5" t="s">
        <v>379</v>
      </c>
    </row>
    <row r="330" spans="1:6">
      <c r="A330" s="4">
        <f t="shared" si="4"/>
        <v>329</v>
      </c>
      <c r="B330" s="4" t="s">
        <v>382</v>
      </c>
      <c r="C330" s="5" t="s">
        <v>370</v>
      </c>
      <c r="D330" s="35">
        <v>45689</v>
      </c>
      <c r="E330" s="36">
        <v>460</v>
      </c>
      <c r="F330" s="5" t="s">
        <v>379</v>
      </c>
    </row>
    <row r="331" spans="1:6">
      <c r="A331" s="4">
        <f t="shared" ref="A331:A394" si="5">ROW()-1</f>
        <v>330</v>
      </c>
      <c r="B331" s="4" t="s">
        <v>383</v>
      </c>
      <c r="C331" s="5" t="s">
        <v>357</v>
      </c>
      <c r="D331" s="35">
        <v>45689</v>
      </c>
      <c r="E331" s="36">
        <v>46826.6</v>
      </c>
      <c r="F331" s="5" t="s">
        <v>379</v>
      </c>
    </row>
    <row r="332" spans="1:6">
      <c r="A332" s="4">
        <f t="shared" si="5"/>
        <v>331</v>
      </c>
      <c r="B332" s="4" t="s">
        <v>383</v>
      </c>
      <c r="C332" s="5" t="s">
        <v>366</v>
      </c>
      <c r="D332" s="35">
        <v>45689</v>
      </c>
      <c r="E332" s="36">
        <v>13399.71</v>
      </c>
      <c r="F332" s="5" t="s">
        <v>379</v>
      </c>
    </row>
    <row r="333" spans="1:6">
      <c r="A333" s="4">
        <f t="shared" si="5"/>
        <v>332</v>
      </c>
      <c r="B333" s="4" t="s">
        <v>383</v>
      </c>
      <c r="C333" s="5" t="s">
        <v>362</v>
      </c>
      <c r="D333" s="35">
        <v>45689</v>
      </c>
      <c r="E333" s="36">
        <v>27811.14</v>
      </c>
      <c r="F333" s="5" t="s">
        <v>379</v>
      </c>
    </row>
    <row r="334" spans="1:6">
      <c r="A334" s="4">
        <f t="shared" si="5"/>
        <v>333</v>
      </c>
      <c r="B334" s="4" t="s">
        <v>383</v>
      </c>
      <c r="C334" s="5" t="s">
        <v>358</v>
      </c>
      <c r="D334" s="35">
        <v>45689</v>
      </c>
      <c r="E334" s="36">
        <v>38298.400000000001</v>
      </c>
      <c r="F334" s="5" t="s">
        <v>379</v>
      </c>
    </row>
    <row r="335" spans="1:6">
      <c r="A335" s="4">
        <f t="shared" si="5"/>
        <v>334</v>
      </c>
      <c r="B335" s="4" t="s">
        <v>383</v>
      </c>
      <c r="C335" s="5" t="s">
        <v>365</v>
      </c>
      <c r="D335" s="35">
        <v>45689</v>
      </c>
      <c r="E335" s="36">
        <v>7088</v>
      </c>
      <c r="F335" s="5" t="s">
        <v>379</v>
      </c>
    </row>
    <row r="336" spans="1:6">
      <c r="A336" s="4">
        <f t="shared" si="5"/>
        <v>335</v>
      </c>
      <c r="B336" s="4" t="s">
        <v>378</v>
      </c>
      <c r="C336" s="5" t="s">
        <v>353</v>
      </c>
      <c r="D336" s="35">
        <v>45689</v>
      </c>
      <c r="E336" s="36">
        <v>13104</v>
      </c>
      <c r="F336" s="5" t="s">
        <v>379</v>
      </c>
    </row>
    <row r="337" spans="1:6">
      <c r="A337" s="4">
        <f t="shared" si="5"/>
        <v>336</v>
      </c>
      <c r="B337" s="4" t="s">
        <v>378</v>
      </c>
      <c r="C337" s="5" t="s">
        <v>358</v>
      </c>
      <c r="D337" s="35">
        <v>45689</v>
      </c>
      <c r="E337" s="36">
        <v>66897.399999999994</v>
      </c>
      <c r="F337" s="5" t="s">
        <v>379</v>
      </c>
    </row>
    <row r="338" spans="1:6">
      <c r="A338" s="4">
        <f t="shared" si="5"/>
        <v>337</v>
      </c>
      <c r="B338" s="4" t="s">
        <v>378</v>
      </c>
      <c r="C338" s="5" t="s">
        <v>357</v>
      </c>
      <c r="D338" s="35">
        <v>45689</v>
      </c>
      <c r="E338" s="36">
        <v>115039.56</v>
      </c>
      <c r="F338" s="5" t="s">
        <v>379</v>
      </c>
    </row>
    <row r="339" spans="1:6">
      <c r="A339" s="4">
        <f t="shared" si="5"/>
        <v>338</v>
      </c>
      <c r="B339" s="4" t="s">
        <v>378</v>
      </c>
      <c r="C339" s="5" t="s">
        <v>362</v>
      </c>
      <c r="D339" s="35">
        <v>45689</v>
      </c>
      <c r="E339" s="36">
        <v>1120</v>
      </c>
      <c r="F339" s="5" t="s">
        <v>379</v>
      </c>
    </row>
    <row r="340" spans="1:6">
      <c r="A340" s="4">
        <f t="shared" si="5"/>
        <v>339</v>
      </c>
      <c r="B340" s="4" t="s">
        <v>378</v>
      </c>
      <c r="C340" s="5" t="s">
        <v>366</v>
      </c>
      <c r="D340" s="35">
        <v>45689</v>
      </c>
      <c r="E340" s="36">
        <v>26007.8</v>
      </c>
      <c r="F340" s="5" t="s">
        <v>379</v>
      </c>
    </row>
    <row r="341" spans="1:6">
      <c r="A341" s="4">
        <f t="shared" si="5"/>
        <v>340</v>
      </c>
      <c r="B341" s="4" t="s">
        <v>384</v>
      </c>
      <c r="C341" s="5" t="s">
        <v>360</v>
      </c>
      <c r="D341" s="35">
        <v>45689</v>
      </c>
      <c r="E341" s="36">
        <v>631</v>
      </c>
      <c r="F341" s="5" t="s">
        <v>379</v>
      </c>
    </row>
    <row r="342" spans="1:6">
      <c r="A342" s="4">
        <f t="shared" si="5"/>
        <v>341</v>
      </c>
      <c r="B342" s="4" t="s">
        <v>385</v>
      </c>
      <c r="C342" s="5" t="s">
        <v>361</v>
      </c>
      <c r="D342" s="35">
        <v>45689</v>
      </c>
      <c r="E342" s="5">
        <v>32509554.999999996</v>
      </c>
      <c r="F342" s="5" t="s">
        <v>386</v>
      </c>
    </row>
    <row r="343" spans="1:6">
      <c r="A343" s="4">
        <f t="shared" si="5"/>
        <v>342</v>
      </c>
      <c r="B343" s="4" t="s">
        <v>385</v>
      </c>
      <c r="C343" s="5" t="s">
        <v>351</v>
      </c>
      <c r="D343" s="35">
        <v>45689</v>
      </c>
      <c r="E343" s="5">
        <v>28269260</v>
      </c>
      <c r="F343" s="5" t="s">
        <v>386</v>
      </c>
    </row>
    <row r="344" spans="1:6">
      <c r="A344" s="4">
        <f t="shared" si="5"/>
        <v>343</v>
      </c>
      <c r="B344" s="4" t="s">
        <v>385</v>
      </c>
      <c r="C344" s="5" t="s">
        <v>357</v>
      </c>
      <c r="D344" s="35">
        <v>45689</v>
      </c>
      <c r="E344" s="5">
        <v>10220000.000000002</v>
      </c>
      <c r="F344" s="5" t="s">
        <v>386</v>
      </c>
    </row>
    <row r="345" spans="1:6">
      <c r="A345" s="4">
        <f t="shared" si="5"/>
        <v>344</v>
      </c>
      <c r="B345" s="4" t="s">
        <v>385</v>
      </c>
      <c r="C345" s="5" t="s">
        <v>363</v>
      </c>
      <c r="D345" s="35">
        <v>45689</v>
      </c>
      <c r="E345" s="5">
        <v>15870000</v>
      </c>
      <c r="F345" s="5" t="s">
        <v>386</v>
      </c>
    </row>
    <row r="346" spans="1:6">
      <c r="A346" s="4">
        <f t="shared" si="5"/>
        <v>345</v>
      </c>
      <c r="B346" s="4" t="s">
        <v>380</v>
      </c>
      <c r="C346" s="5" t="s">
        <v>357</v>
      </c>
      <c r="D346" s="35">
        <v>45689</v>
      </c>
      <c r="E346" s="36">
        <v>1600</v>
      </c>
      <c r="F346" s="5" t="s">
        <v>379</v>
      </c>
    </row>
    <row r="347" spans="1:6">
      <c r="A347" s="4">
        <f t="shared" si="5"/>
        <v>346</v>
      </c>
      <c r="B347" s="4" t="s">
        <v>387</v>
      </c>
      <c r="C347" s="5" t="s">
        <v>354</v>
      </c>
      <c r="D347" s="38">
        <v>45658</v>
      </c>
      <c r="E347" s="36">
        <v>9429</v>
      </c>
      <c r="F347" s="5" t="s">
        <v>379</v>
      </c>
    </row>
    <row r="348" spans="1:6">
      <c r="A348" s="4">
        <f t="shared" si="5"/>
        <v>347</v>
      </c>
      <c r="B348" s="4" t="s">
        <v>381</v>
      </c>
      <c r="C348" s="5" t="s">
        <v>357</v>
      </c>
      <c r="D348" s="35">
        <v>45658</v>
      </c>
      <c r="E348" s="36">
        <v>31133</v>
      </c>
      <c r="F348" s="5" t="s">
        <v>379</v>
      </c>
    </row>
    <row r="349" spans="1:6">
      <c r="A349" s="4">
        <f t="shared" si="5"/>
        <v>348</v>
      </c>
      <c r="B349" s="4" t="s">
        <v>381</v>
      </c>
      <c r="C349" s="5" t="s">
        <v>353</v>
      </c>
      <c r="D349" s="35">
        <v>45658</v>
      </c>
      <c r="E349" s="36">
        <v>9455.630000000001</v>
      </c>
      <c r="F349" s="5" t="s">
        <v>379</v>
      </c>
    </row>
    <row r="350" spans="1:6">
      <c r="A350" s="4">
        <f t="shared" si="5"/>
        <v>349</v>
      </c>
      <c r="B350" s="4" t="s">
        <v>381</v>
      </c>
      <c r="C350" s="5" t="s">
        <v>366</v>
      </c>
      <c r="D350" s="35">
        <v>45658</v>
      </c>
      <c r="E350" s="36">
        <v>675</v>
      </c>
      <c r="F350" s="5" t="s">
        <v>379</v>
      </c>
    </row>
    <row r="351" spans="1:6">
      <c r="A351" s="4">
        <f t="shared" si="5"/>
        <v>350</v>
      </c>
      <c r="B351" s="4" t="s">
        <v>381</v>
      </c>
      <c r="C351" s="5" t="s">
        <v>358</v>
      </c>
      <c r="D351" s="35">
        <v>45658</v>
      </c>
      <c r="E351" s="36">
        <v>2999.7200000000003</v>
      </c>
      <c r="F351" s="5" t="s">
        <v>379</v>
      </c>
    </row>
    <row r="352" spans="1:6">
      <c r="A352" s="4">
        <f t="shared" si="5"/>
        <v>351</v>
      </c>
      <c r="B352" s="4" t="s">
        <v>381</v>
      </c>
      <c r="C352" s="5" t="s">
        <v>365</v>
      </c>
      <c r="D352" s="35">
        <v>45658</v>
      </c>
      <c r="E352" s="36">
        <v>69170</v>
      </c>
      <c r="F352" s="5" t="s">
        <v>379</v>
      </c>
    </row>
    <row r="353" spans="1:6">
      <c r="A353" s="4">
        <f t="shared" si="5"/>
        <v>352</v>
      </c>
      <c r="B353" s="4" t="s">
        <v>381</v>
      </c>
      <c r="C353" s="5" t="s">
        <v>368</v>
      </c>
      <c r="D353" s="35">
        <v>45658</v>
      </c>
      <c r="E353" s="36">
        <v>6224.8</v>
      </c>
      <c r="F353" s="5" t="s">
        <v>379</v>
      </c>
    </row>
    <row r="354" spans="1:6">
      <c r="A354" s="4">
        <f t="shared" si="5"/>
        <v>353</v>
      </c>
      <c r="B354" s="4" t="s">
        <v>381</v>
      </c>
      <c r="C354" s="5" t="s">
        <v>370</v>
      </c>
      <c r="D354" s="35">
        <v>45658</v>
      </c>
      <c r="E354" s="36">
        <v>9269</v>
      </c>
      <c r="F354" s="5" t="s">
        <v>379</v>
      </c>
    </row>
    <row r="355" spans="1:6">
      <c r="A355" s="4">
        <f t="shared" si="5"/>
        <v>354</v>
      </c>
      <c r="B355" s="4" t="s">
        <v>381</v>
      </c>
      <c r="C355" s="5" t="s">
        <v>364</v>
      </c>
      <c r="D355" s="35">
        <v>45658</v>
      </c>
      <c r="E355" s="36">
        <v>6360</v>
      </c>
      <c r="F355" s="5" t="s">
        <v>379</v>
      </c>
    </row>
    <row r="356" spans="1:6">
      <c r="A356" s="4">
        <f t="shared" si="5"/>
        <v>355</v>
      </c>
      <c r="B356" s="4" t="s">
        <v>382</v>
      </c>
      <c r="C356" s="5" t="s">
        <v>362</v>
      </c>
      <c r="D356" s="35">
        <v>45658</v>
      </c>
      <c r="E356" s="36">
        <v>1200.8</v>
      </c>
      <c r="F356" s="5" t="s">
        <v>379</v>
      </c>
    </row>
    <row r="357" spans="1:6">
      <c r="A357" s="4">
        <f t="shared" si="5"/>
        <v>356</v>
      </c>
      <c r="B357" s="4" t="s">
        <v>382</v>
      </c>
      <c r="C357" s="5" t="s">
        <v>356</v>
      </c>
      <c r="D357" s="35">
        <v>45658</v>
      </c>
      <c r="E357" s="36">
        <v>8041.5</v>
      </c>
      <c r="F357" s="5" t="s">
        <v>379</v>
      </c>
    </row>
    <row r="358" spans="1:6">
      <c r="A358" s="4">
        <f t="shared" si="5"/>
        <v>357</v>
      </c>
      <c r="B358" s="4" t="s">
        <v>382</v>
      </c>
      <c r="C358" s="5" t="s">
        <v>353</v>
      </c>
      <c r="D358" s="35">
        <v>45658</v>
      </c>
      <c r="E358" s="36">
        <v>19170.82</v>
      </c>
      <c r="F358" s="5" t="s">
        <v>379</v>
      </c>
    </row>
    <row r="359" spans="1:6">
      <c r="A359" s="4">
        <f t="shared" si="5"/>
        <v>358</v>
      </c>
      <c r="B359" s="4" t="s">
        <v>382</v>
      </c>
      <c r="C359" s="5" t="s">
        <v>354</v>
      </c>
      <c r="D359" s="35">
        <v>45658</v>
      </c>
      <c r="E359" s="36">
        <v>4574.16</v>
      </c>
      <c r="F359" s="5" t="s">
        <v>379</v>
      </c>
    </row>
    <row r="360" spans="1:6">
      <c r="A360" s="4">
        <f t="shared" si="5"/>
        <v>359</v>
      </c>
      <c r="B360" s="4" t="s">
        <v>382</v>
      </c>
      <c r="C360" s="5" t="s">
        <v>366</v>
      </c>
      <c r="D360" s="35">
        <v>45658</v>
      </c>
      <c r="E360" s="36">
        <v>3429.9</v>
      </c>
      <c r="F360" s="5" t="s">
        <v>379</v>
      </c>
    </row>
    <row r="361" spans="1:6">
      <c r="A361" s="4">
        <f t="shared" si="5"/>
        <v>360</v>
      </c>
      <c r="B361" s="4" t="s">
        <v>382</v>
      </c>
      <c r="C361" s="5" t="s">
        <v>358</v>
      </c>
      <c r="D361" s="35">
        <v>45658</v>
      </c>
      <c r="E361" s="36">
        <v>77949.27</v>
      </c>
      <c r="F361" s="5" t="s">
        <v>379</v>
      </c>
    </row>
    <row r="362" spans="1:6">
      <c r="A362" s="4">
        <f t="shared" si="5"/>
        <v>361</v>
      </c>
      <c r="B362" s="4" t="s">
        <v>382</v>
      </c>
      <c r="C362" s="5" t="s">
        <v>365</v>
      </c>
      <c r="D362" s="35">
        <v>45658</v>
      </c>
      <c r="E362" s="36">
        <v>27328</v>
      </c>
      <c r="F362" s="5" t="s">
        <v>379</v>
      </c>
    </row>
    <row r="363" spans="1:6">
      <c r="A363" s="4">
        <f t="shared" si="5"/>
        <v>362</v>
      </c>
      <c r="B363" s="4" t="s">
        <v>382</v>
      </c>
      <c r="C363" s="5" t="s">
        <v>369</v>
      </c>
      <c r="D363" s="35">
        <v>45658</v>
      </c>
      <c r="E363" s="36">
        <v>18285.3</v>
      </c>
      <c r="F363" s="5" t="s">
        <v>379</v>
      </c>
    </row>
    <row r="364" spans="1:6">
      <c r="A364" s="4">
        <f t="shared" si="5"/>
        <v>363</v>
      </c>
      <c r="B364" s="4" t="s">
        <v>382</v>
      </c>
      <c r="C364" s="5" t="s">
        <v>370</v>
      </c>
      <c r="D364" s="35">
        <v>45658</v>
      </c>
      <c r="E364" s="36">
        <v>460</v>
      </c>
      <c r="F364" s="5" t="s">
        <v>379</v>
      </c>
    </row>
    <row r="365" spans="1:6">
      <c r="A365" s="4">
        <f t="shared" si="5"/>
        <v>364</v>
      </c>
      <c r="B365" s="4" t="s">
        <v>382</v>
      </c>
      <c r="C365" s="5" t="s">
        <v>367</v>
      </c>
      <c r="D365" s="35">
        <v>45658</v>
      </c>
      <c r="E365" s="36">
        <v>14478.45</v>
      </c>
      <c r="F365" s="5" t="s">
        <v>379</v>
      </c>
    </row>
    <row r="366" spans="1:6">
      <c r="A366" s="4">
        <f t="shared" si="5"/>
        <v>365</v>
      </c>
      <c r="B366" s="4" t="s">
        <v>382</v>
      </c>
      <c r="C366" s="5" t="s">
        <v>364</v>
      </c>
      <c r="D366" s="35">
        <v>45658</v>
      </c>
      <c r="E366" s="36">
        <v>344</v>
      </c>
      <c r="F366" s="5" t="s">
        <v>379</v>
      </c>
    </row>
    <row r="367" spans="1:6">
      <c r="A367" s="4">
        <f t="shared" si="5"/>
        <v>366</v>
      </c>
      <c r="B367" s="4" t="s">
        <v>383</v>
      </c>
      <c r="C367" s="5" t="s">
        <v>357</v>
      </c>
      <c r="D367" s="35">
        <v>45658</v>
      </c>
      <c r="E367" s="36">
        <v>75578.66</v>
      </c>
      <c r="F367" s="5" t="s">
        <v>379</v>
      </c>
    </row>
    <row r="368" spans="1:6">
      <c r="A368" s="4">
        <f t="shared" si="5"/>
        <v>367</v>
      </c>
      <c r="B368" s="4" t="s">
        <v>383</v>
      </c>
      <c r="C368" s="5" t="s">
        <v>366</v>
      </c>
      <c r="D368" s="35">
        <v>45658</v>
      </c>
      <c r="E368" s="36">
        <v>12680.51</v>
      </c>
      <c r="F368" s="5" t="s">
        <v>379</v>
      </c>
    </row>
    <row r="369" spans="1:6">
      <c r="A369" s="4">
        <f t="shared" si="5"/>
        <v>368</v>
      </c>
      <c r="B369" s="4" t="s">
        <v>383</v>
      </c>
      <c r="C369" s="5" t="s">
        <v>362</v>
      </c>
      <c r="D369" s="35">
        <v>45658</v>
      </c>
      <c r="E369" s="36">
        <v>8174.1100000000006</v>
      </c>
      <c r="F369" s="5" t="s">
        <v>379</v>
      </c>
    </row>
    <row r="370" spans="1:6">
      <c r="A370" s="4">
        <f t="shared" si="5"/>
        <v>369</v>
      </c>
      <c r="B370" s="4" t="s">
        <v>383</v>
      </c>
      <c r="C370" s="5" t="s">
        <v>358</v>
      </c>
      <c r="D370" s="35">
        <v>45658</v>
      </c>
      <c r="E370" s="36">
        <v>52391.1</v>
      </c>
      <c r="F370" s="5" t="s">
        <v>379</v>
      </c>
    </row>
    <row r="371" spans="1:6">
      <c r="A371" s="4">
        <f t="shared" si="5"/>
        <v>370</v>
      </c>
      <c r="B371" s="4" t="s">
        <v>383</v>
      </c>
      <c r="C371" s="5" t="s">
        <v>365</v>
      </c>
      <c r="D371" s="35">
        <v>45658</v>
      </c>
      <c r="E371" s="36">
        <v>15896</v>
      </c>
      <c r="F371" s="5" t="s">
        <v>379</v>
      </c>
    </row>
    <row r="372" spans="1:6">
      <c r="A372" s="4">
        <f t="shared" si="5"/>
        <v>371</v>
      </c>
      <c r="B372" s="4" t="s">
        <v>384</v>
      </c>
      <c r="C372" s="5" t="s">
        <v>360</v>
      </c>
      <c r="D372" s="35">
        <v>45658</v>
      </c>
      <c r="E372" s="36">
        <v>3142</v>
      </c>
      <c r="F372" s="5" t="s">
        <v>379</v>
      </c>
    </row>
    <row r="373" spans="1:6">
      <c r="A373" s="4">
        <f t="shared" si="5"/>
        <v>372</v>
      </c>
      <c r="B373" s="4" t="s">
        <v>385</v>
      </c>
      <c r="C373" s="5" t="s">
        <v>361</v>
      </c>
      <c r="D373" s="35">
        <v>45658</v>
      </c>
      <c r="E373" s="5">
        <v>31226380.952380948</v>
      </c>
      <c r="F373" s="5" t="s">
        <v>386</v>
      </c>
    </row>
    <row r="374" spans="1:6">
      <c r="A374" s="4">
        <f t="shared" si="5"/>
        <v>373</v>
      </c>
      <c r="B374" s="4" t="s">
        <v>385</v>
      </c>
      <c r="C374" s="5" t="s">
        <v>351</v>
      </c>
      <c r="D374" s="35">
        <v>45658</v>
      </c>
      <c r="E374" s="5">
        <v>26225055</v>
      </c>
      <c r="F374" s="5" t="s">
        <v>386</v>
      </c>
    </row>
    <row r="375" spans="1:6">
      <c r="A375" s="4">
        <f t="shared" si="5"/>
        <v>374</v>
      </c>
      <c r="B375" s="4" t="s">
        <v>385</v>
      </c>
      <c r="C375" s="5" t="s">
        <v>357</v>
      </c>
      <c r="D375" s="35">
        <v>45658</v>
      </c>
      <c r="E375" s="5">
        <v>9999999.9999999981</v>
      </c>
      <c r="F375" s="5" t="s">
        <v>386</v>
      </c>
    </row>
    <row r="376" spans="1:6">
      <c r="A376" s="4">
        <f t="shared" si="5"/>
        <v>375</v>
      </c>
      <c r="B376" s="4" t="s">
        <v>385</v>
      </c>
      <c r="C376" s="5" t="s">
        <v>363</v>
      </c>
      <c r="D376" s="35">
        <v>45658</v>
      </c>
      <c r="E376" s="5">
        <v>10350000</v>
      </c>
      <c r="F376" s="5" t="s">
        <v>386</v>
      </c>
    </row>
    <row r="377" spans="1:6">
      <c r="A377" s="4">
        <f t="shared" si="5"/>
        <v>376</v>
      </c>
      <c r="B377" s="4" t="s">
        <v>380</v>
      </c>
      <c r="C377" s="5" t="s">
        <v>357</v>
      </c>
      <c r="D377" s="35">
        <v>45658</v>
      </c>
      <c r="E377" s="36">
        <v>1400</v>
      </c>
      <c r="F377" s="5" t="s">
        <v>379</v>
      </c>
    </row>
    <row r="378" spans="1:6">
      <c r="A378" s="4">
        <f t="shared" si="5"/>
        <v>377</v>
      </c>
      <c r="B378" s="4" t="s">
        <v>387</v>
      </c>
      <c r="C378" s="5" t="s">
        <v>354</v>
      </c>
      <c r="D378" s="38">
        <v>45627</v>
      </c>
      <c r="E378" s="36">
        <v>21952.5</v>
      </c>
      <c r="F378" s="5" t="s">
        <v>379</v>
      </c>
    </row>
    <row r="379" spans="1:6">
      <c r="A379" s="4">
        <f t="shared" si="5"/>
        <v>378</v>
      </c>
      <c r="B379" s="4" t="s">
        <v>381</v>
      </c>
      <c r="C379" s="5" t="s">
        <v>362</v>
      </c>
      <c r="D379" s="35">
        <v>45627</v>
      </c>
      <c r="E379" s="36">
        <v>2333.7800000000002</v>
      </c>
      <c r="F379" s="5" t="s">
        <v>379</v>
      </c>
    </row>
    <row r="380" spans="1:6">
      <c r="A380" s="4">
        <f t="shared" si="5"/>
        <v>379</v>
      </c>
      <c r="B380" s="4" t="s">
        <v>381</v>
      </c>
      <c r="C380" s="5" t="s">
        <v>357</v>
      </c>
      <c r="D380" s="35">
        <v>45627</v>
      </c>
      <c r="E380" s="36">
        <v>28285</v>
      </c>
      <c r="F380" s="5" t="s">
        <v>379</v>
      </c>
    </row>
    <row r="381" spans="1:6">
      <c r="A381" s="4">
        <f t="shared" si="5"/>
        <v>380</v>
      </c>
      <c r="B381" s="4" t="s">
        <v>381</v>
      </c>
      <c r="C381" s="5" t="s">
        <v>353</v>
      </c>
      <c r="D381" s="35">
        <v>45627</v>
      </c>
      <c r="E381" s="36">
        <v>39847.57</v>
      </c>
      <c r="F381" s="5" t="s">
        <v>379</v>
      </c>
    </row>
    <row r="382" spans="1:6">
      <c r="A382" s="4">
        <f t="shared" si="5"/>
        <v>381</v>
      </c>
      <c r="B382" s="4" t="s">
        <v>381</v>
      </c>
      <c r="C382" s="5" t="s">
        <v>366</v>
      </c>
      <c r="D382" s="35">
        <v>45627</v>
      </c>
      <c r="E382" s="36">
        <v>1499.2</v>
      </c>
      <c r="F382" s="5" t="s">
        <v>379</v>
      </c>
    </row>
    <row r="383" spans="1:6">
      <c r="A383" s="4">
        <f t="shared" si="5"/>
        <v>382</v>
      </c>
      <c r="B383" s="4" t="s">
        <v>381</v>
      </c>
      <c r="C383" s="5" t="s">
        <v>358</v>
      </c>
      <c r="D383" s="35">
        <v>45627</v>
      </c>
      <c r="E383" s="36">
        <v>15182.049999999997</v>
      </c>
      <c r="F383" s="5" t="s">
        <v>379</v>
      </c>
    </row>
    <row r="384" spans="1:6">
      <c r="A384" s="4">
        <f t="shared" si="5"/>
        <v>383</v>
      </c>
      <c r="B384" s="4" t="s">
        <v>381</v>
      </c>
      <c r="C384" s="5" t="s">
        <v>365</v>
      </c>
      <c r="D384" s="35">
        <v>45627</v>
      </c>
      <c r="E384" s="36">
        <v>68744</v>
      </c>
      <c r="F384" s="5" t="s">
        <v>379</v>
      </c>
    </row>
    <row r="385" spans="1:6">
      <c r="A385" s="4">
        <f t="shared" si="5"/>
        <v>384</v>
      </c>
      <c r="B385" s="4" t="s">
        <v>381</v>
      </c>
      <c r="C385" s="5" t="s">
        <v>370</v>
      </c>
      <c r="D385" s="35">
        <v>45627</v>
      </c>
      <c r="E385" s="36">
        <v>460</v>
      </c>
      <c r="F385" s="5" t="s">
        <v>379</v>
      </c>
    </row>
    <row r="386" spans="1:6">
      <c r="A386" s="4">
        <f t="shared" si="5"/>
        <v>385</v>
      </c>
      <c r="B386" s="4" t="s">
        <v>381</v>
      </c>
      <c r="C386" s="5" t="s">
        <v>364</v>
      </c>
      <c r="D386" s="35">
        <v>45627</v>
      </c>
      <c r="E386" s="36">
        <v>5936</v>
      </c>
      <c r="F386" s="5" t="s">
        <v>379</v>
      </c>
    </row>
    <row r="387" spans="1:6">
      <c r="A387" s="4">
        <f t="shared" si="5"/>
        <v>386</v>
      </c>
      <c r="B387" s="4" t="s">
        <v>382</v>
      </c>
      <c r="C387" s="5" t="s">
        <v>362</v>
      </c>
      <c r="D387" s="35">
        <v>45627</v>
      </c>
      <c r="E387" s="36">
        <v>2569.6</v>
      </c>
      <c r="F387" s="5" t="s">
        <v>379</v>
      </c>
    </row>
    <row r="388" spans="1:6">
      <c r="A388" s="4">
        <f t="shared" si="5"/>
        <v>387</v>
      </c>
      <c r="B388" s="4" t="s">
        <v>382</v>
      </c>
      <c r="C388" s="5" t="s">
        <v>356</v>
      </c>
      <c r="D388" s="35">
        <v>45627</v>
      </c>
      <c r="E388" s="36">
        <v>4051.3</v>
      </c>
      <c r="F388" s="5" t="s">
        <v>379</v>
      </c>
    </row>
    <row r="389" spans="1:6">
      <c r="A389" s="4">
        <f t="shared" si="5"/>
        <v>388</v>
      </c>
      <c r="B389" s="4" t="s">
        <v>382</v>
      </c>
      <c r="C389" s="5" t="s">
        <v>353</v>
      </c>
      <c r="D389" s="35">
        <v>45627</v>
      </c>
      <c r="E389" s="36">
        <v>2993</v>
      </c>
      <c r="F389" s="5" t="s">
        <v>379</v>
      </c>
    </row>
    <row r="390" spans="1:6">
      <c r="A390" s="4">
        <f t="shared" si="5"/>
        <v>389</v>
      </c>
      <c r="B390" s="4" t="s">
        <v>382</v>
      </c>
      <c r="C390" s="5" t="s">
        <v>366</v>
      </c>
      <c r="D390" s="35">
        <v>45627</v>
      </c>
      <c r="E390" s="36">
        <v>4560.3599999999997</v>
      </c>
      <c r="F390" s="5" t="s">
        <v>379</v>
      </c>
    </row>
    <row r="391" spans="1:6">
      <c r="A391" s="4">
        <f t="shared" si="5"/>
        <v>390</v>
      </c>
      <c r="B391" s="4" t="s">
        <v>382</v>
      </c>
      <c r="C391" s="5" t="s">
        <v>358</v>
      </c>
      <c r="D391" s="35">
        <v>45627</v>
      </c>
      <c r="E391" s="36">
        <v>41751.730000000003</v>
      </c>
      <c r="F391" s="5" t="s">
        <v>379</v>
      </c>
    </row>
    <row r="392" spans="1:6">
      <c r="A392" s="4">
        <f t="shared" si="5"/>
        <v>391</v>
      </c>
      <c r="B392" s="4" t="s">
        <v>382</v>
      </c>
      <c r="C392" s="5" t="s">
        <v>365</v>
      </c>
      <c r="D392" s="35">
        <v>45627</v>
      </c>
      <c r="E392" s="36">
        <v>47028</v>
      </c>
      <c r="F392" s="5" t="s">
        <v>379</v>
      </c>
    </row>
    <row r="393" spans="1:6">
      <c r="A393" s="4">
        <f t="shared" si="5"/>
        <v>392</v>
      </c>
      <c r="B393" s="4" t="s">
        <v>382</v>
      </c>
      <c r="C393" s="5" t="s">
        <v>370</v>
      </c>
      <c r="D393" s="35">
        <v>45627</v>
      </c>
      <c r="E393" s="36">
        <v>2208</v>
      </c>
      <c r="F393" s="5" t="s">
        <v>379</v>
      </c>
    </row>
    <row r="394" spans="1:6">
      <c r="A394" s="4">
        <f t="shared" si="5"/>
        <v>393</v>
      </c>
      <c r="B394" s="4" t="s">
        <v>382</v>
      </c>
      <c r="C394" s="5" t="s">
        <v>367</v>
      </c>
      <c r="D394" s="35">
        <v>45627</v>
      </c>
      <c r="E394" s="36">
        <v>83471.62</v>
      </c>
      <c r="F394" s="5" t="s">
        <v>379</v>
      </c>
    </row>
    <row r="395" spans="1:6">
      <c r="A395" s="4">
        <f t="shared" ref="A395:A458" si="6">ROW()-1</f>
        <v>394</v>
      </c>
      <c r="B395" s="4" t="s">
        <v>382</v>
      </c>
      <c r="C395" s="5" t="s">
        <v>364</v>
      </c>
      <c r="D395" s="35">
        <v>45627</v>
      </c>
      <c r="E395" s="36">
        <v>1904</v>
      </c>
      <c r="F395" s="5" t="s">
        <v>379</v>
      </c>
    </row>
    <row r="396" spans="1:6">
      <c r="A396" s="4">
        <f t="shared" si="6"/>
        <v>395</v>
      </c>
      <c r="B396" s="4" t="s">
        <v>383</v>
      </c>
      <c r="C396" s="5" t="s">
        <v>357</v>
      </c>
      <c r="D396" s="35">
        <v>45627</v>
      </c>
      <c r="E396" s="36">
        <v>42179.6</v>
      </c>
      <c r="F396" s="5" t="s">
        <v>379</v>
      </c>
    </row>
    <row r="397" spans="1:6">
      <c r="A397" s="4">
        <f t="shared" si="6"/>
        <v>396</v>
      </c>
      <c r="B397" s="4" t="s">
        <v>383</v>
      </c>
      <c r="C397" s="5" t="s">
        <v>366</v>
      </c>
      <c r="D397" s="35">
        <v>45627</v>
      </c>
      <c r="E397" s="36">
        <v>12612.15</v>
      </c>
      <c r="F397" s="5" t="s">
        <v>379</v>
      </c>
    </row>
    <row r="398" spans="1:6">
      <c r="A398" s="4">
        <f t="shared" si="6"/>
        <v>397</v>
      </c>
      <c r="B398" s="4" t="s">
        <v>383</v>
      </c>
      <c r="C398" s="5" t="s">
        <v>362</v>
      </c>
      <c r="D398" s="35">
        <v>45627</v>
      </c>
      <c r="E398" s="36">
        <v>6882.84</v>
      </c>
      <c r="F398" s="5" t="s">
        <v>379</v>
      </c>
    </row>
    <row r="399" spans="1:6">
      <c r="A399" s="4">
        <f t="shared" si="6"/>
        <v>398</v>
      </c>
      <c r="B399" s="4" t="s">
        <v>383</v>
      </c>
      <c r="C399" s="5" t="s">
        <v>358</v>
      </c>
      <c r="D399" s="35">
        <v>45627</v>
      </c>
      <c r="E399" s="36">
        <v>51418</v>
      </c>
      <c r="F399" s="5" t="s">
        <v>379</v>
      </c>
    </row>
    <row r="400" spans="1:6">
      <c r="A400" s="4">
        <f t="shared" si="6"/>
        <v>399</v>
      </c>
      <c r="B400" s="4" t="s">
        <v>383</v>
      </c>
      <c r="C400" s="5" t="s">
        <v>365</v>
      </c>
      <c r="D400" s="35">
        <v>45627</v>
      </c>
      <c r="E400" s="36">
        <v>17984</v>
      </c>
      <c r="F400" s="5" t="s">
        <v>379</v>
      </c>
    </row>
    <row r="401" spans="1:6">
      <c r="A401" s="4">
        <f t="shared" si="6"/>
        <v>400</v>
      </c>
      <c r="B401" s="4" t="s">
        <v>385</v>
      </c>
      <c r="C401" s="5" t="s">
        <v>361</v>
      </c>
      <c r="D401" s="35">
        <v>45627</v>
      </c>
      <c r="E401" s="5">
        <v>31210000</v>
      </c>
      <c r="F401" s="5" t="s">
        <v>386</v>
      </c>
    </row>
    <row r="402" spans="1:6">
      <c r="A402" s="4">
        <f t="shared" si="6"/>
        <v>401</v>
      </c>
      <c r="B402" s="4" t="s">
        <v>385</v>
      </c>
      <c r="C402" s="5" t="s">
        <v>351</v>
      </c>
      <c r="D402" s="35">
        <v>45627</v>
      </c>
      <c r="E402" s="5">
        <v>23007200</v>
      </c>
      <c r="F402" s="5" t="s">
        <v>386</v>
      </c>
    </row>
    <row r="403" spans="1:6">
      <c r="A403" s="4">
        <f t="shared" si="6"/>
        <v>402</v>
      </c>
      <c r="B403" s="4" t="s">
        <v>385</v>
      </c>
      <c r="C403" s="5" t="s">
        <v>357</v>
      </c>
      <c r="D403" s="35">
        <v>45627</v>
      </c>
      <c r="E403" s="5">
        <v>10220000</v>
      </c>
      <c r="F403" s="5" t="s">
        <v>386</v>
      </c>
    </row>
    <row r="404" spans="1:6">
      <c r="A404" s="4">
        <f t="shared" si="6"/>
        <v>403</v>
      </c>
      <c r="B404" s="4" t="s">
        <v>385</v>
      </c>
      <c r="C404" s="5" t="s">
        <v>363</v>
      </c>
      <c r="D404" s="35">
        <v>45627</v>
      </c>
      <c r="E404" s="5">
        <v>18480000</v>
      </c>
      <c r="F404" s="5" t="s">
        <v>386</v>
      </c>
    </row>
    <row r="405" spans="1:6">
      <c r="A405" s="4">
        <f t="shared" si="6"/>
        <v>404</v>
      </c>
      <c r="B405" s="4" t="s">
        <v>380</v>
      </c>
      <c r="C405" s="5" t="s">
        <v>357</v>
      </c>
      <c r="D405" s="35">
        <v>45627</v>
      </c>
      <c r="E405" s="36">
        <v>800</v>
      </c>
      <c r="F405" s="5" t="s">
        <v>379</v>
      </c>
    </row>
    <row r="406" spans="1:6">
      <c r="A406" s="4">
        <f t="shared" si="6"/>
        <v>405</v>
      </c>
      <c r="B406" s="4" t="s">
        <v>387</v>
      </c>
      <c r="C406" s="5" t="s">
        <v>354</v>
      </c>
      <c r="D406" s="38">
        <v>45597</v>
      </c>
      <c r="E406" s="36">
        <v>18045</v>
      </c>
      <c r="F406" s="5" t="s">
        <v>379</v>
      </c>
    </row>
    <row r="407" spans="1:6">
      <c r="A407" s="4">
        <f t="shared" si="6"/>
        <v>406</v>
      </c>
      <c r="B407" s="4" t="s">
        <v>381</v>
      </c>
      <c r="C407" s="5" t="s">
        <v>357</v>
      </c>
      <c r="D407" s="35">
        <v>45597</v>
      </c>
      <c r="E407" s="36">
        <v>3848</v>
      </c>
      <c r="F407" s="5" t="s">
        <v>379</v>
      </c>
    </row>
    <row r="408" spans="1:6">
      <c r="A408" s="4">
        <f t="shared" si="6"/>
        <v>407</v>
      </c>
      <c r="B408" s="4" t="s">
        <v>381</v>
      </c>
      <c r="C408" s="5" t="s">
        <v>353</v>
      </c>
      <c r="D408" s="35">
        <v>45597</v>
      </c>
      <c r="E408" s="36">
        <v>768</v>
      </c>
      <c r="F408" s="5" t="s">
        <v>379</v>
      </c>
    </row>
    <row r="409" spans="1:6">
      <c r="A409" s="4">
        <f t="shared" si="6"/>
        <v>408</v>
      </c>
      <c r="B409" s="4" t="s">
        <v>381</v>
      </c>
      <c r="C409" s="5" t="s">
        <v>358</v>
      </c>
      <c r="D409" s="35">
        <v>45597</v>
      </c>
      <c r="E409" s="36">
        <v>10573.640000000003</v>
      </c>
      <c r="F409" s="5" t="s">
        <v>379</v>
      </c>
    </row>
    <row r="410" spans="1:6">
      <c r="A410" s="4">
        <f t="shared" si="6"/>
        <v>409</v>
      </c>
      <c r="B410" s="4" t="s">
        <v>381</v>
      </c>
      <c r="C410" s="5" t="s">
        <v>370</v>
      </c>
      <c r="D410" s="35">
        <v>45597</v>
      </c>
      <c r="E410" s="36">
        <v>2208</v>
      </c>
      <c r="F410" s="5" t="s">
        <v>379</v>
      </c>
    </row>
    <row r="411" spans="1:6">
      <c r="A411" s="4">
        <f t="shared" si="6"/>
        <v>410</v>
      </c>
      <c r="B411" s="4" t="s">
        <v>382</v>
      </c>
      <c r="C411" s="5" t="s">
        <v>362</v>
      </c>
      <c r="D411" s="35">
        <v>45597</v>
      </c>
      <c r="E411" s="36">
        <v>1414</v>
      </c>
      <c r="F411" s="5" t="s">
        <v>379</v>
      </c>
    </row>
    <row r="412" spans="1:6">
      <c r="A412" s="4">
        <f t="shared" si="6"/>
        <v>411</v>
      </c>
      <c r="B412" s="4" t="s">
        <v>382</v>
      </c>
      <c r="C412" s="5" t="s">
        <v>357</v>
      </c>
      <c r="D412" s="35">
        <v>45597</v>
      </c>
      <c r="E412" s="36">
        <v>4059</v>
      </c>
      <c r="F412" s="5" t="s">
        <v>379</v>
      </c>
    </row>
    <row r="413" spans="1:6">
      <c r="A413" s="4">
        <f t="shared" si="6"/>
        <v>412</v>
      </c>
      <c r="B413" s="4" t="s">
        <v>382</v>
      </c>
      <c r="C413" s="5" t="s">
        <v>356</v>
      </c>
      <c r="D413" s="35">
        <v>45597</v>
      </c>
      <c r="E413" s="36">
        <v>1685.4</v>
      </c>
      <c r="F413" s="5" t="s">
        <v>379</v>
      </c>
    </row>
    <row r="414" spans="1:6">
      <c r="A414" s="4">
        <f t="shared" si="6"/>
        <v>413</v>
      </c>
      <c r="B414" s="4" t="s">
        <v>382</v>
      </c>
      <c r="C414" s="5" t="s">
        <v>353</v>
      </c>
      <c r="D414" s="35">
        <v>45597</v>
      </c>
      <c r="E414" s="36">
        <v>1981.5</v>
      </c>
      <c r="F414" s="5" t="s">
        <v>379</v>
      </c>
    </row>
    <row r="415" spans="1:6">
      <c r="A415" s="4">
        <f t="shared" si="6"/>
        <v>414</v>
      </c>
      <c r="B415" s="4" t="s">
        <v>382</v>
      </c>
      <c r="C415" s="5" t="s">
        <v>366</v>
      </c>
      <c r="D415" s="35">
        <v>45597</v>
      </c>
      <c r="E415" s="36">
        <v>12855</v>
      </c>
      <c r="F415" s="5" t="s">
        <v>379</v>
      </c>
    </row>
    <row r="416" spans="1:6">
      <c r="A416" s="4">
        <f t="shared" si="6"/>
        <v>415</v>
      </c>
      <c r="B416" s="4" t="s">
        <v>382</v>
      </c>
      <c r="C416" s="5" t="s">
        <v>358</v>
      </c>
      <c r="D416" s="35">
        <v>45597</v>
      </c>
      <c r="E416" s="36">
        <v>73215.22</v>
      </c>
      <c r="F416" s="5" t="s">
        <v>379</v>
      </c>
    </row>
    <row r="417" spans="1:6">
      <c r="A417" s="4">
        <f t="shared" si="6"/>
        <v>416</v>
      </c>
      <c r="B417" s="4" t="s">
        <v>382</v>
      </c>
      <c r="C417" s="5" t="s">
        <v>370</v>
      </c>
      <c r="D417" s="35">
        <v>45597</v>
      </c>
      <c r="E417" s="36">
        <v>2944</v>
      </c>
      <c r="F417" s="5" t="s">
        <v>379</v>
      </c>
    </row>
    <row r="418" spans="1:6">
      <c r="A418" s="4">
        <f t="shared" si="6"/>
        <v>417</v>
      </c>
      <c r="B418" s="4" t="s">
        <v>382</v>
      </c>
      <c r="C418" s="5" t="s">
        <v>367</v>
      </c>
      <c r="D418" s="35">
        <v>45597</v>
      </c>
      <c r="E418" s="36">
        <v>3183.72</v>
      </c>
      <c r="F418" s="5" t="s">
        <v>379</v>
      </c>
    </row>
    <row r="419" spans="1:6">
      <c r="A419" s="4">
        <f t="shared" si="6"/>
        <v>418</v>
      </c>
      <c r="B419" s="4" t="s">
        <v>383</v>
      </c>
      <c r="C419" s="5" t="s">
        <v>357</v>
      </c>
      <c r="D419" s="35">
        <v>45597</v>
      </c>
      <c r="E419" s="36">
        <v>23087.7</v>
      </c>
      <c r="F419" s="5" t="s">
        <v>379</v>
      </c>
    </row>
    <row r="420" spans="1:6">
      <c r="A420" s="4">
        <f t="shared" si="6"/>
        <v>419</v>
      </c>
      <c r="B420" s="4" t="s">
        <v>383</v>
      </c>
      <c r="C420" s="5" t="s">
        <v>366</v>
      </c>
      <c r="D420" s="35">
        <v>45597</v>
      </c>
      <c r="E420" s="36">
        <v>4352.08</v>
      </c>
      <c r="F420" s="5" t="s">
        <v>379</v>
      </c>
    </row>
    <row r="421" spans="1:6">
      <c r="A421" s="4">
        <f t="shared" si="6"/>
        <v>420</v>
      </c>
      <c r="B421" s="4" t="s">
        <v>383</v>
      </c>
      <c r="C421" s="5" t="s">
        <v>362</v>
      </c>
      <c r="D421" s="35">
        <v>45597</v>
      </c>
      <c r="E421" s="36">
        <v>6246.12</v>
      </c>
      <c r="F421" s="5" t="s">
        <v>379</v>
      </c>
    </row>
    <row r="422" spans="1:6">
      <c r="A422" s="4">
        <f t="shared" si="6"/>
        <v>421</v>
      </c>
      <c r="B422" s="4" t="s">
        <v>383</v>
      </c>
      <c r="C422" s="5" t="s">
        <v>358</v>
      </c>
      <c r="D422" s="35">
        <v>45597</v>
      </c>
      <c r="E422" s="36">
        <v>55250.44</v>
      </c>
      <c r="F422" s="5" t="s">
        <v>379</v>
      </c>
    </row>
    <row r="423" spans="1:6">
      <c r="A423" s="4">
        <f t="shared" si="6"/>
        <v>422</v>
      </c>
      <c r="B423" s="4" t="s">
        <v>383</v>
      </c>
      <c r="C423" s="5" t="s">
        <v>365</v>
      </c>
      <c r="D423" s="35">
        <v>45597</v>
      </c>
      <c r="E423" s="36">
        <v>26148</v>
      </c>
      <c r="F423" s="5" t="s">
        <v>379</v>
      </c>
    </row>
    <row r="424" spans="1:6">
      <c r="A424" s="4">
        <f t="shared" si="6"/>
        <v>423</v>
      </c>
      <c r="B424" s="4" t="s">
        <v>384</v>
      </c>
      <c r="C424" s="5" t="s">
        <v>360</v>
      </c>
      <c r="D424" s="35">
        <v>45597</v>
      </c>
      <c r="E424" s="36">
        <v>3042</v>
      </c>
      <c r="F424" s="5" t="s">
        <v>379</v>
      </c>
    </row>
    <row r="425" spans="1:6">
      <c r="A425" s="4">
        <f t="shared" si="6"/>
        <v>424</v>
      </c>
      <c r="B425" s="4" t="s">
        <v>385</v>
      </c>
      <c r="C425" s="5" t="s">
        <v>361</v>
      </c>
      <c r="D425" s="35">
        <v>45597</v>
      </c>
      <c r="E425" s="5">
        <v>36367333.333333336</v>
      </c>
      <c r="F425" s="5" t="s">
        <v>386</v>
      </c>
    </row>
    <row r="426" spans="1:6">
      <c r="A426" s="4">
        <f t="shared" si="6"/>
        <v>425</v>
      </c>
      <c r="B426" s="4" t="s">
        <v>385</v>
      </c>
      <c r="C426" s="5" t="s">
        <v>351</v>
      </c>
      <c r="D426" s="35">
        <v>45597</v>
      </c>
      <c r="E426" s="5">
        <v>19695200</v>
      </c>
      <c r="F426" s="5" t="s">
        <v>386</v>
      </c>
    </row>
    <row r="427" spans="1:6">
      <c r="A427" s="4">
        <f t="shared" si="6"/>
        <v>426</v>
      </c>
      <c r="B427" s="4" t="s">
        <v>385</v>
      </c>
      <c r="C427" s="5" t="s">
        <v>357</v>
      </c>
      <c r="D427" s="35">
        <v>45597</v>
      </c>
      <c r="E427" s="5">
        <v>4220000</v>
      </c>
      <c r="F427" s="5" t="s">
        <v>386</v>
      </c>
    </row>
    <row r="428" spans="1:6">
      <c r="A428" s="4">
        <f t="shared" si="6"/>
        <v>427</v>
      </c>
      <c r="B428" s="4" t="s">
        <v>385</v>
      </c>
      <c r="C428" s="5" t="s">
        <v>363</v>
      </c>
      <c r="D428" s="35">
        <v>45597</v>
      </c>
      <c r="E428" s="5">
        <v>22810000</v>
      </c>
      <c r="F428" s="5" t="s">
        <v>386</v>
      </c>
    </row>
    <row r="429" spans="1:6">
      <c r="A429" s="4">
        <f t="shared" si="6"/>
        <v>428</v>
      </c>
      <c r="B429" s="4" t="s">
        <v>380</v>
      </c>
      <c r="C429" s="5" t="s">
        <v>357</v>
      </c>
      <c r="D429" s="35">
        <v>45597</v>
      </c>
      <c r="E429" s="36">
        <v>6460</v>
      </c>
      <c r="F429" s="5" t="s">
        <v>379</v>
      </c>
    </row>
    <row r="430" spans="1:6">
      <c r="A430" s="4">
        <f t="shared" si="6"/>
        <v>429</v>
      </c>
      <c r="B430" s="4" t="s">
        <v>387</v>
      </c>
      <c r="C430" s="5" t="s">
        <v>354</v>
      </c>
      <c r="D430" s="38">
        <v>45566</v>
      </c>
      <c r="E430" s="36">
        <v>16570.260000000002</v>
      </c>
      <c r="F430" s="5" t="s">
        <v>379</v>
      </c>
    </row>
    <row r="431" spans="1:6">
      <c r="A431" s="4">
        <f t="shared" si="6"/>
        <v>430</v>
      </c>
      <c r="B431" s="4" t="s">
        <v>381</v>
      </c>
      <c r="C431" s="5" t="s">
        <v>362</v>
      </c>
      <c r="D431" s="35">
        <v>45566</v>
      </c>
      <c r="E431" s="36">
        <v>7201.35</v>
      </c>
      <c r="F431" s="5" t="s">
        <v>379</v>
      </c>
    </row>
    <row r="432" spans="1:6">
      <c r="A432" s="4">
        <f t="shared" si="6"/>
        <v>431</v>
      </c>
      <c r="B432" s="4" t="s">
        <v>381</v>
      </c>
      <c r="C432" s="5" t="s">
        <v>357</v>
      </c>
      <c r="D432" s="35">
        <v>45566</v>
      </c>
      <c r="E432" s="36">
        <v>89005.5</v>
      </c>
      <c r="F432" s="5" t="s">
        <v>379</v>
      </c>
    </row>
    <row r="433" spans="1:6">
      <c r="A433" s="4">
        <f t="shared" si="6"/>
        <v>432</v>
      </c>
      <c r="B433" s="4" t="s">
        <v>381</v>
      </c>
      <c r="C433" s="5" t="s">
        <v>353</v>
      </c>
      <c r="D433" s="35">
        <v>45566</v>
      </c>
      <c r="E433" s="36">
        <v>24437.32</v>
      </c>
      <c r="F433" s="5" t="s">
        <v>379</v>
      </c>
    </row>
    <row r="434" spans="1:6">
      <c r="A434" s="4">
        <f t="shared" si="6"/>
        <v>433</v>
      </c>
      <c r="B434" s="4" t="s">
        <v>381</v>
      </c>
      <c r="C434" s="5" t="s">
        <v>358</v>
      </c>
      <c r="D434" s="35">
        <v>45566</v>
      </c>
      <c r="E434" s="36">
        <v>10213.33</v>
      </c>
      <c r="F434" s="5" t="s">
        <v>379</v>
      </c>
    </row>
    <row r="435" spans="1:6">
      <c r="A435" s="4">
        <f t="shared" si="6"/>
        <v>434</v>
      </c>
      <c r="B435" s="4" t="s">
        <v>381</v>
      </c>
      <c r="C435" s="5" t="s">
        <v>365</v>
      </c>
      <c r="D435" s="35">
        <v>45566</v>
      </c>
      <c r="E435" s="36">
        <v>47512</v>
      </c>
      <c r="F435" s="5" t="s">
        <v>379</v>
      </c>
    </row>
    <row r="436" spans="1:6">
      <c r="A436" s="4">
        <f t="shared" si="6"/>
        <v>435</v>
      </c>
      <c r="B436" s="4" t="s">
        <v>381</v>
      </c>
      <c r="C436" s="5" t="s">
        <v>368</v>
      </c>
      <c r="D436" s="35">
        <v>45566</v>
      </c>
      <c r="E436" s="36">
        <v>3461</v>
      </c>
      <c r="F436" s="5" t="s">
        <v>379</v>
      </c>
    </row>
    <row r="437" spans="1:6">
      <c r="A437" s="4">
        <f t="shared" si="6"/>
        <v>436</v>
      </c>
      <c r="B437" s="4" t="s">
        <v>381</v>
      </c>
      <c r="C437" s="5" t="s">
        <v>370</v>
      </c>
      <c r="D437" s="35">
        <v>45566</v>
      </c>
      <c r="E437" s="36">
        <v>30676.71</v>
      </c>
      <c r="F437" s="5" t="s">
        <v>379</v>
      </c>
    </row>
    <row r="438" spans="1:6">
      <c r="A438" s="4">
        <f t="shared" si="6"/>
        <v>437</v>
      </c>
      <c r="B438" s="4" t="s">
        <v>382</v>
      </c>
      <c r="C438" s="5" t="s">
        <v>357</v>
      </c>
      <c r="D438" s="35">
        <v>45566</v>
      </c>
      <c r="E438" s="36">
        <v>9527.5</v>
      </c>
      <c r="F438" s="5" t="s">
        <v>379</v>
      </c>
    </row>
    <row r="439" spans="1:6">
      <c r="A439" s="4">
        <f t="shared" si="6"/>
        <v>438</v>
      </c>
      <c r="B439" s="4" t="s">
        <v>382</v>
      </c>
      <c r="C439" s="5" t="s">
        <v>353</v>
      </c>
      <c r="D439" s="35">
        <v>45566</v>
      </c>
      <c r="E439" s="36">
        <v>3893.5</v>
      </c>
      <c r="F439" s="5" t="s">
        <v>379</v>
      </c>
    </row>
    <row r="440" spans="1:6">
      <c r="A440" s="4">
        <f t="shared" si="6"/>
        <v>439</v>
      </c>
      <c r="B440" s="4" t="s">
        <v>382</v>
      </c>
      <c r="C440" s="5" t="s">
        <v>366</v>
      </c>
      <c r="D440" s="35">
        <v>45566</v>
      </c>
      <c r="E440" s="36">
        <v>11599.45</v>
      </c>
      <c r="F440" s="5" t="s">
        <v>379</v>
      </c>
    </row>
    <row r="441" spans="1:6">
      <c r="A441" s="4">
        <f t="shared" si="6"/>
        <v>440</v>
      </c>
      <c r="B441" s="4" t="s">
        <v>382</v>
      </c>
      <c r="C441" s="5" t="s">
        <v>358</v>
      </c>
      <c r="D441" s="35">
        <v>45566</v>
      </c>
      <c r="E441" s="36">
        <v>53425.55</v>
      </c>
      <c r="F441" s="5" t="s">
        <v>379</v>
      </c>
    </row>
    <row r="442" spans="1:6">
      <c r="A442" s="4">
        <f t="shared" si="6"/>
        <v>441</v>
      </c>
      <c r="B442" s="4" t="s">
        <v>382</v>
      </c>
      <c r="C442" s="5" t="s">
        <v>365</v>
      </c>
      <c r="D442" s="35">
        <v>45566</v>
      </c>
      <c r="E442" s="36">
        <v>20380</v>
      </c>
      <c r="F442" s="5" t="s">
        <v>379</v>
      </c>
    </row>
    <row r="443" spans="1:6">
      <c r="A443" s="4">
        <f t="shared" si="6"/>
        <v>442</v>
      </c>
      <c r="B443" s="4" t="s">
        <v>382</v>
      </c>
      <c r="C443" s="5" t="s">
        <v>368</v>
      </c>
      <c r="D443" s="35">
        <v>45566</v>
      </c>
      <c r="E443" s="36">
        <v>7359.6</v>
      </c>
      <c r="F443" s="5" t="s">
        <v>379</v>
      </c>
    </row>
    <row r="444" spans="1:6">
      <c r="A444" s="4">
        <f t="shared" si="6"/>
        <v>443</v>
      </c>
      <c r="B444" s="4" t="s">
        <v>382</v>
      </c>
      <c r="C444" s="5" t="s">
        <v>367</v>
      </c>
      <c r="D444" s="35">
        <v>45566</v>
      </c>
      <c r="E444" s="36">
        <v>32728.78</v>
      </c>
      <c r="F444" s="5" t="s">
        <v>379</v>
      </c>
    </row>
    <row r="445" spans="1:6">
      <c r="A445" s="4">
        <f t="shared" si="6"/>
        <v>444</v>
      </c>
      <c r="B445" s="4" t="s">
        <v>382</v>
      </c>
      <c r="C445" s="5" t="s">
        <v>364</v>
      </c>
      <c r="D445" s="35">
        <v>45566</v>
      </c>
      <c r="E445" s="36">
        <v>3392</v>
      </c>
      <c r="F445" s="5" t="s">
        <v>379</v>
      </c>
    </row>
    <row r="446" spans="1:6">
      <c r="A446" s="4">
        <f t="shared" si="6"/>
        <v>445</v>
      </c>
      <c r="B446" s="4" t="s">
        <v>383</v>
      </c>
      <c r="C446" s="5" t="s">
        <v>366</v>
      </c>
      <c r="D446" s="35">
        <v>45566</v>
      </c>
      <c r="E446" s="36">
        <v>9851.6</v>
      </c>
      <c r="F446" s="5" t="s">
        <v>379</v>
      </c>
    </row>
    <row r="447" spans="1:6">
      <c r="A447" s="4">
        <f t="shared" si="6"/>
        <v>446</v>
      </c>
      <c r="B447" s="4" t="s">
        <v>383</v>
      </c>
      <c r="C447" s="5" t="s">
        <v>362</v>
      </c>
      <c r="D447" s="35">
        <v>45566</v>
      </c>
      <c r="E447" s="36">
        <v>8935.0400000000009</v>
      </c>
      <c r="F447" s="5" t="s">
        <v>379</v>
      </c>
    </row>
    <row r="448" spans="1:6">
      <c r="A448" s="4">
        <f t="shared" si="6"/>
        <v>447</v>
      </c>
      <c r="B448" s="4" t="s">
        <v>383</v>
      </c>
      <c r="C448" s="5" t="s">
        <v>358</v>
      </c>
      <c r="D448" s="35">
        <v>45566</v>
      </c>
      <c r="E448" s="36">
        <v>41413.5</v>
      </c>
      <c r="F448" s="5" t="s">
        <v>379</v>
      </c>
    </row>
    <row r="449" spans="1:6">
      <c r="A449" s="4">
        <f t="shared" si="6"/>
        <v>448</v>
      </c>
      <c r="B449" s="4" t="s">
        <v>383</v>
      </c>
      <c r="C449" s="5" t="s">
        <v>365</v>
      </c>
      <c r="D449" s="35">
        <v>45566</v>
      </c>
      <c r="E449" s="36">
        <v>15976</v>
      </c>
      <c r="F449" s="5" t="s">
        <v>379</v>
      </c>
    </row>
    <row r="450" spans="1:6">
      <c r="A450" s="4">
        <f t="shared" si="6"/>
        <v>449</v>
      </c>
      <c r="B450" s="4" t="s">
        <v>384</v>
      </c>
      <c r="C450" s="5" t="s">
        <v>360</v>
      </c>
      <c r="D450" s="35">
        <v>45566</v>
      </c>
      <c r="E450" s="36">
        <v>6545</v>
      </c>
      <c r="F450" s="5" t="s">
        <v>379</v>
      </c>
    </row>
    <row r="451" spans="1:6">
      <c r="A451" s="4">
        <f t="shared" si="6"/>
        <v>450</v>
      </c>
      <c r="B451" s="4" t="s">
        <v>384</v>
      </c>
      <c r="C451" s="5" t="s">
        <v>356</v>
      </c>
      <c r="D451" s="35">
        <v>45566</v>
      </c>
      <c r="E451" s="36">
        <v>708</v>
      </c>
      <c r="F451" s="5" t="s">
        <v>379</v>
      </c>
    </row>
    <row r="452" spans="1:6">
      <c r="A452" s="4">
        <f t="shared" si="6"/>
        <v>451</v>
      </c>
      <c r="B452" s="4" t="s">
        <v>385</v>
      </c>
      <c r="C452" s="5" t="s">
        <v>361</v>
      </c>
      <c r="D452" s="35">
        <v>45566</v>
      </c>
      <c r="E452" s="5">
        <v>21194000</v>
      </c>
      <c r="F452" s="5" t="s">
        <v>386</v>
      </c>
    </row>
    <row r="453" spans="1:6">
      <c r="A453" s="4">
        <f t="shared" si="6"/>
        <v>452</v>
      </c>
      <c r="B453" s="4" t="s">
        <v>385</v>
      </c>
      <c r="C453" s="5" t="s">
        <v>351</v>
      </c>
      <c r="D453" s="35">
        <v>45566</v>
      </c>
      <c r="E453" s="5">
        <v>6668400</v>
      </c>
      <c r="F453" s="5" t="s">
        <v>386</v>
      </c>
    </row>
    <row r="454" spans="1:6">
      <c r="A454" s="4">
        <f t="shared" si="6"/>
        <v>453</v>
      </c>
      <c r="B454" s="4" t="s">
        <v>385</v>
      </c>
      <c r="C454" s="5" t="s">
        <v>357</v>
      </c>
      <c r="D454" s="35">
        <v>45566</v>
      </c>
      <c r="E454" s="5">
        <v>220000</v>
      </c>
      <c r="F454" s="5" t="s">
        <v>386</v>
      </c>
    </row>
    <row r="455" spans="1:6">
      <c r="A455" s="4">
        <f t="shared" si="6"/>
        <v>454</v>
      </c>
      <c r="B455" s="4" t="s">
        <v>385</v>
      </c>
      <c r="C455" s="5" t="s">
        <v>363</v>
      </c>
      <c r="D455" s="35">
        <v>45566</v>
      </c>
      <c r="E455" s="5">
        <v>22270000</v>
      </c>
      <c r="F455" s="5" t="s">
        <v>386</v>
      </c>
    </row>
    <row r="456" spans="1:6">
      <c r="A456" s="4">
        <f t="shared" si="6"/>
        <v>455</v>
      </c>
      <c r="B456" s="4" t="s">
        <v>380</v>
      </c>
      <c r="C456" s="5" t="s">
        <v>357</v>
      </c>
      <c r="D456" s="35">
        <v>45566</v>
      </c>
      <c r="E456" s="36">
        <v>1200</v>
      </c>
      <c r="F456" s="5" t="s">
        <v>379</v>
      </c>
    </row>
    <row r="457" spans="1:6">
      <c r="A457" s="4">
        <f t="shared" si="6"/>
        <v>456</v>
      </c>
      <c r="B457" s="4" t="s">
        <v>387</v>
      </c>
      <c r="C457" s="5" t="s">
        <v>354</v>
      </c>
      <c r="D457" s="38">
        <v>45536</v>
      </c>
      <c r="E457" s="36">
        <v>11709.02</v>
      </c>
      <c r="F457" s="5" t="s">
        <v>379</v>
      </c>
    </row>
    <row r="458" spans="1:6">
      <c r="A458" s="4">
        <f t="shared" si="6"/>
        <v>457</v>
      </c>
      <c r="B458" s="4" t="s">
        <v>381</v>
      </c>
      <c r="C458" s="5" t="s">
        <v>362</v>
      </c>
      <c r="D458" s="35">
        <v>45536</v>
      </c>
      <c r="E458" s="36">
        <v>9600.52</v>
      </c>
      <c r="F458" s="5" t="s">
        <v>379</v>
      </c>
    </row>
    <row r="459" spans="1:6">
      <c r="A459" s="4">
        <f t="shared" ref="A459:A522" si="7">ROW()-1</f>
        <v>458</v>
      </c>
      <c r="B459" s="4" t="s">
        <v>381</v>
      </c>
      <c r="C459" s="5" t="s">
        <v>357</v>
      </c>
      <c r="D459" s="35">
        <v>45536</v>
      </c>
      <c r="E459" s="36">
        <v>12099</v>
      </c>
      <c r="F459" s="5" t="s">
        <v>379</v>
      </c>
    </row>
    <row r="460" spans="1:6">
      <c r="A460" s="4">
        <f t="shared" si="7"/>
        <v>459</v>
      </c>
      <c r="B460" s="4" t="s">
        <v>381</v>
      </c>
      <c r="C460" s="5" t="s">
        <v>353</v>
      </c>
      <c r="D460" s="35">
        <v>45536</v>
      </c>
      <c r="E460" s="36">
        <v>5756.8</v>
      </c>
      <c r="F460" s="5" t="s">
        <v>379</v>
      </c>
    </row>
    <row r="461" spans="1:6">
      <c r="A461" s="4">
        <f t="shared" si="7"/>
        <v>460</v>
      </c>
      <c r="B461" s="4" t="s">
        <v>381</v>
      </c>
      <c r="C461" s="5" t="s">
        <v>358</v>
      </c>
      <c r="D461" s="35">
        <v>45536</v>
      </c>
      <c r="E461" s="36">
        <v>9915.1400000000012</v>
      </c>
      <c r="F461" s="5" t="s">
        <v>379</v>
      </c>
    </row>
    <row r="462" spans="1:6">
      <c r="A462" s="4">
        <f t="shared" si="7"/>
        <v>461</v>
      </c>
      <c r="B462" s="4" t="s">
        <v>381</v>
      </c>
      <c r="C462" s="5" t="s">
        <v>365</v>
      </c>
      <c r="D462" s="35">
        <v>45536</v>
      </c>
      <c r="E462" s="36">
        <v>45312</v>
      </c>
      <c r="F462" s="5" t="s">
        <v>379</v>
      </c>
    </row>
    <row r="463" spans="1:6">
      <c r="A463" s="4">
        <f t="shared" si="7"/>
        <v>462</v>
      </c>
      <c r="B463" s="4" t="s">
        <v>381</v>
      </c>
      <c r="C463" s="5" t="s">
        <v>369</v>
      </c>
      <c r="D463" s="35">
        <v>45536</v>
      </c>
      <c r="E463" s="36">
        <v>1744.9</v>
      </c>
      <c r="F463" s="5" t="s">
        <v>379</v>
      </c>
    </row>
    <row r="464" spans="1:6">
      <c r="A464" s="4">
        <f t="shared" si="7"/>
        <v>463</v>
      </c>
      <c r="B464" s="4" t="s">
        <v>381</v>
      </c>
      <c r="C464" s="5" t="s">
        <v>364</v>
      </c>
      <c r="D464" s="35">
        <v>45536</v>
      </c>
      <c r="E464" s="36">
        <v>35510</v>
      </c>
      <c r="F464" s="5" t="s">
        <v>379</v>
      </c>
    </row>
    <row r="465" spans="1:6">
      <c r="A465" s="4">
        <f t="shared" si="7"/>
        <v>464</v>
      </c>
      <c r="B465" s="4" t="s">
        <v>382</v>
      </c>
      <c r="C465" s="5" t="s">
        <v>362</v>
      </c>
      <c r="D465" s="35">
        <v>45536</v>
      </c>
      <c r="E465" s="36">
        <v>1956</v>
      </c>
      <c r="F465" s="5" t="s">
        <v>379</v>
      </c>
    </row>
    <row r="466" spans="1:6">
      <c r="A466" s="4">
        <f t="shared" si="7"/>
        <v>465</v>
      </c>
      <c r="B466" s="4" t="s">
        <v>382</v>
      </c>
      <c r="C466" s="5" t="s">
        <v>357</v>
      </c>
      <c r="D466" s="35">
        <v>45536</v>
      </c>
      <c r="E466" s="36">
        <v>11063.5</v>
      </c>
      <c r="F466" s="5" t="s">
        <v>379</v>
      </c>
    </row>
    <row r="467" spans="1:6">
      <c r="A467" s="4">
        <f t="shared" si="7"/>
        <v>466</v>
      </c>
      <c r="B467" s="4" t="s">
        <v>382</v>
      </c>
      <c r="C467" s="5" t="s">
        <v>353</v>
      </c>
      <c r="D467" s="35">
        <v>45536</v>
      </c>
      <c r="E467" s="36">
        <v>5944.5</v>
      </c>
      <c r="F467" s="5" t="s">
        <v>379</v>
      </c>
    </row>
    <row r="468" spans="1:6">
      <c r="A468" s="4">
        <f t="shared" si="7"/>
        <v>467</v>
      </c>
      <c r="B468" s="4" t="s">
        <v>382</v>
      </c>
      <c r="C468" s="5" t="s">
        <v>354</v>
      </c>
      <c r="D468" s="35">
        <v>45536</v>
      </c>
      <c r="E468" s="36">
        <v>6755.36</v>
      </c>
      <c r="F468" s="5" t="s">
        <v>379</v>
      </c>
    </row>
    <row r="469" spans="1:6">
      <c r="A469" s="4">
        <f t="shared" si="7"/>
        <v>468</v>
      </c>
      <c r="B469" s="4" t="s">
        <v>382</v>
      </c>
      <c r="C469" s="5" t="s">
        <v>366</v>
      </c>
      <c r="D469" s="35">
        <v>45536</v>
      </c>
      <c r="E469" s="36">
        <v>14741.1</v>
      </c>
      <c r="F469" s="5" t="s">
        <v>379</v>
      </c>
    </row>
    <row r="470" spans="1:6">
      <c r="A470" s="4">
        <f t="shared" si="7"/>
        <v>469</v>
      </c>
      <c r="B470" s="4" t="s">
        <v>382</v>
      </c>
      <c r="C470" s="5" t="s">
        <v>358</v>
      </c>
      <c r="D470" s="35">
        <v>45536</v>
      </c>
      <c r="E470" s="36">
        <v>61103.7</v>
      </c>
      <c r="F470" s="5" t="s">
        <v>379</v>
      </c>
    </row>
    <row r="471" spans="1:6">
      <c r="A471" s="4">
        <f t="shared" si="7"/>
        <v>470</v>
      </c>
      <c r="B471" s="4" t="s">
        <v>382</v>
      </c>
      <c r="C471" s="5" t="s">
        <v>365</v>
      </c>
      <c r="D471" s="35">
        <v>45536</v>
      </c>
      <c r="E471" s="36">
        <v>22224</v>
      </c>
      <c r="F471" s="5" t="s">
        <v>379</v>
      </c>
    </row>
    <row r="472" spans="1:6">
      <c r="A472" s="4">
        <f t="shared" si="7"/>
        <v>471</v>
      </c>
      <c r="B472" s="4" t="s">
        <v>382</v>
      </c>
      <c r="C472" s="5" t="s">
        <v>368</v>
      </c>
      <c r="D472" s="35">
        <v>45536</v>
      </c>
      <c r="E472" s="36">
        <v>24813</v>
      </c>
      <c r="F472" s="5" t="s">
        <v>379</v>
      </c>
    </row>
    <row r="473" spans="1:6">
      <c r="A473" s="4">
        <f t="shared" si="7"/>
        <v>472</v>
      </c>
      <c r="B473" s="4" t="s">
        <v>382</v>
      </c>
      <c r="C473" s="5" t="s">
        <v>367</v>
      </c>
      <c r="D473" s="35">
        <v>45536</v>
      </c>
      <c r="E473" s="36">
        <v>44973.04</v>
      </c>
      <c r="F473" s="5" t="s">
        <v>379</v>
      </c>
    </row>
    <row r="474" spans="1:6">
      <c r="A474" s="4">
        <f t="shared" si="7"/>
        <v>473</v>
      </c>
      <c r="B474" s="4" t="s">
        <v>383</v>
      </c>
      <c r="C474" s="5" t="s">
        <v>357</v>
      </c>
      <c r="D474" s="35">
        <v>45536</v>
      </c>
      <c r="E474" s="36">
        <v>712.8</v>
      </c>
      <c r="F474" s="5" t="s">
        <v>379</v>
      </c>
    </row>
    <row r="475" spans="1:6">
      <c r="A475" s="4">
        <f t="shared" si="7"/>
        <v>474</v>
      </c>
      <c r="B475" s="4" t="s">
        <v>383</v>
      </c>
      <c r="C475" s="5" t="s">
        <v>366</v>
      </c>
      <c r="D475" s="35">
        <v>45536</v>
      </c>
      <c r="E475" s="36">
        <v>7528.3</v>
      </c>
      <c r="F475" s="5" t="s">
        <v>379</v>
      </c>
    </row>
    <row r="476" spans="1:6">
      <c r="A476" s="4">
        <f t="shared" si="7"/>
        <v>475</v>
      </c>
      <c r="B476" s="4" t="s">
        <v>383</v>
      </c>
      <c r="C476" s="5" t="s">
        <v>362</v>
      </c>
      <c r="D476" s="35">
        <v>45536</v>
      </c>
      <c r="E476" s="36">
        <v>3712</v>
      </c>
      <c r="F476" s="5" t="s">
        <v>379</v>
      </c>
    </row>
    <row r="477" spans="1:6">
      <c r="A477" s="4">
        <f t="shared" si="7"/>
        <v>476</v>
      </c>
      <c r="B477" s="4" t="s">
        <v>383</v>
      </c>
      <c r="C477" s="5" t="s">
        <v>358</v>
      </c>
      <c r="D477" s="35">
        <v>45536</v>
      </c>
      <c r="E477" s="36">
        <v>28931.200000000001</v>
      </c>
      <c r="F477" s="5" t="s">
        <v>379</v>
      </c>
    </row>
    <row r="478" spans="1:6">
      <c r="A478" s="4">
        <f t="shared" si="7"/>
        <v>477</v>
      </c>
      <c r="B478" s="4" t="s">
        <v>383</v>
      </c>
      <c r="C478" s="5" t="s">
        <v>365</v>
      </c>
      <c r="D478" s="35">
        <v>45536</v>
      </c>
      <c r="E478" s="36">
        <v>21712</v>
      </c>
      <c r="F478" s="5" t="s">
        <v>379</v>
      </c>
    </row>
    <row r="479" spans="1:6">
      <c r="A479" s="4">
        <f t="shared" si="7"/>
        <v>478</v>
      </c>
      <c r="B479" s="4" t="s">
        <v>383</v>
      </c>
      <c r="C479" s="5" t="s">
        <v>367</v>
      </c>
      <c r="D479" s="35">
        <v>45536</v>
      </c>
      <c r="E479" s="36">
        <v>955.72</v>
      </c>
      <c r="F479" s="5" t="s">
        <v>379</v>
      </c>
    </row>
    <row r="480" spans="1:6">
      <c r="A480" s="4">
        <f t="shared" si="7"/>
        <v>479</v>
      </c>
      <c r="B480" s="4" t="s">
        <v>384</v>
      </c>
      <c r="C480" s="5" t="s">
        <v>360</v>
      </c>
      <c r="D480" s="35">
        <v>45536</v>
      </c>
      <c r="E480" s="36">
        <v>9953.6</v>
      </c>
      <c r="F480" s="5" t="s">
        <v>379</v>
      </c>
    </row>
    <row r="481" spans="1:6">
      <c r="A481" s="4">
        <f t="shared" si="7"/>
        <v>480</v>
      </c>
      <c r="B481" s="4" t="s">
        <v>385</v>
      </c>
      <c r="C481" s="5" t="s">
        <v>361</v>
      </c>
      <c r="D481" s="35">
        <v>45536</v>
      </c>
      <c r="E481" s="5">
        <v>22837000</v>
      </c>
      <c r="F481" s="5" t="s">
        <v>386</v>
      </c>
    </row>
    <row r="482" spans="1:6">
      <c r="A482" s="4">
        <f t="shared" si="7"/>
        <v>481</v>
      </c>
      <c r="B482" s="4" t="s">
        <v>385</v>
      </c>
      <c r="C482" s="5" t="s">
        <v>351</v>
      </c>
      <c r="D482" s="35">
        <v>45536</v>
      </c>
      <c r="E482" s="5">
        <v>6967619.0476190476</v>
      </c>
      <c r="F482" s="5" t="s">
        <v>386</v>
      </c>
    </row>
    <row r="483" spans="1:6">
      <c r="A483" s="4">
        <f t="shared" si="7"/>
        <v>482</v>
      </c>
      <c r="B483" s="4" t="s">
        <v>385</v>
      </c>
      <c r="C483" s="5" t="s">
        <v>363</v>
      </c>
      <c r="D483" s="35">
        <v>45536</v>
      </c>
      <c r="E483" s="5">
        <v>22070000</v>
      </c>
      <c r="F483" s="5" t="s">
        <v>386</v>
      </c>
    </row>
    <row r="484" spans="1:6">
      <c r="A484" s="4">
        <f t="shared" si="7"/>
        <v>483</v>
      </c>
      <c r="B484" s="4" t="s">
        <v>380</v>
      </c>
      <c r="C484" s="5" t="s">
        <v>357</v>
      </c>
      <c r="D484" s="35">
        <v>45536</v>
      </c>
      <c r="E484" s="36">
        <v>1160</v>
      </c>
      <c r="F484" s="5" t="s">
        <v>379</v>
      </c>
    </row>
    <row r="485" spans="1:6">
      <c r="A485" s="4">
        <f t="shared" si="7"/>
        <v>484</v>
      </c>
      <c r="B485" s="4" t="s">
        <v>387</v>
      </c>
      <c r="C485" s="5" t="s">
        <v>354</v>
      </c>
      <c r="D485" s="38">
        <v>45505</v>
      </c>
      <c r="E485" s="36">
        <v>7514.5</v>
      </c>
      <c r="F485" s="5" t="s">
        <v>379</v>
      </c>
    </row>
    <row r="486" spans="1:6">
      <c r="A486" s="4">
        <f t="shared" si="7"/>
        <v>485</v>
      </c>
      <c r="B486" s="4" t="s">
        <v>381</v>
      </c>
      <c r="C486" s="5" t="s">
        <v>362</v>
      </c>
      <c r="D486" s="35">
        <v>45505</v>
      </c>
      <c r="E486" s="36">
        <v>1543</v>
      </c>
      <c r="F486" s="5" t="s">
        <v>379</v>
      </c>
    </row>
    <row r="487" spans="1:6">
      <c r="A487" s="4">
        <f t="shared" si="7"/>
        <v>486</v>
      </c>
      <c r="B487" s="4" t="s">
        <v>381</v>
      </c>
      <c r="C487" s="5" t="s">
        <v>357</v>
      </c>
      <c r="D487" s="35">
        <v>45505</v>
      </c>
      <c r="E487" s="36">
        <v>42841.5</v>
      </c>
      <c r="F487" s="5" t="s">
        <v>379</v>
      </c>
    </row>
    <row r="488" spans="1:6">
      <c r="A488" s="4">
        <f t="shared" si="7"/>
        <v>487</v>
      </c>
      <c r="B488" s="4" t="s">
        <v>381</v>
      </c>
      <c r="C488" s="5" t="s">
        <v>356</v>
      </c>
      <c r="D488" s="35">
        <v>45505</v>
      </c>
      <c r="E488" s="36">
        <v>6785.22</v>
      </c>
      <c r="F488" s="5" t="s">
        <v>379</v>
      </c>
    </row>
    <row r="489" spans="1:6">
      <c r="A489" s="4">
        <f t="shared" si="7"/>
        <v>488</v>
      </c>
      <c r="B489" s="4" t="s">
        <v>381</v>
      </c>
      <c r="C489" s="5" t="s">
        <v>353</v>
      </c>
      <c r="D489" s="35">
        <v>45505</v>
      </c>
      <c r="E489" s="36">
        <v>1536</v>
      </c>
      <c r="F489" s="5" t="s">
        <v>379</v>
      </c>
    </row>
    <row r="490" spans="1:6">
      <c r="A490" s="4">
        <f t="shared" si="7"/>
        <v>489</v>
      </c>
      <c r="B490" s="4" t="s">
        <v>381</v>
      </c>
      <c r="C490" s="5" t="s">
        <v>366</v>
      </c>
      <c r="D490" s="35">
        <v>45505</v>
      </c>
      <c r="E490" s="36">
        <v>1810.48</v>
      </c>
      <c r="F490" s="5" t="s">
        <v>379</v>
      </c>
    </row>
    <row r="491" spans="1:6">
      <c r="A491" s="4">
        <f t="shared" si="7"/>
        <v>490</v>
      </c>
      <c r="B491" s="4" t="s">
        <v>381</v>
      </c>
      <c r="C491" s="5" t="s">
        <v>358</v>
      </c>
      <c r="D491" s="35">
        <v>45505</v>
      </c>
      <c r="E491" s="36">
        <v>10100.81</v>
      </c>
      <c r="F491" s="5" t="s">
        <v>379</v>
      </c>
    </row>
    <row r="492" spans="1:6">
      <c r="A492" s="4">
        <f t="shared" si="7"/>
        <v>491</v>
      </c>
      <c r="B492" s="4" t="s">
        <v>381</v>
      </c>
      <c r="C492" s="5" t="s">
        <v>365</v>
      </c>
      <c r="D492" s="35">
        <v>45505</v>
      </c>
      <c r="E492" s="36">
        <v>60424</v>
      </c>
      <c r="F492" s="5" t="s">
        <v>379</v>
      </c>
    </row>
    <row r="493" spans="1:6">
      <c r="A493" s="4">
        <f t="shared" si="7"/>
        <v>492</v>
      </c>
      <c r="B493" s="4" t="s">
        <v>381</v>
      </c>
      <c r="C493" s="5" t="s">
        <v>368</v>
      </c>
      <c r="D493" s="35">
        <v>45505</v>
      </c>
      <c r="E493" s="36">
        <v>2816.2</v>
      </c>
      <c r="F493" s="5" t="s">
        <v>379</v>
      </c>
    </row>
    <row r="494" spans="1:6">
      <c r="A494" s="4">
        <f t="shared" si="7"/>
        <v>493</v>
      </c>
      <c r="B494" s="4" t="s">
        <v>381</v>
      </c>
      <c r="C494" s="5" t="s">
        <v>370</v>
      </c>
      <c r="D494" s="35">
        <v>45505</v>
      </c>
      <c r="E494" s="36">
        <v>41759.490000000005</v>
      </c>
      <c r="F494" s="5" t="s">
        <v>379</v>
      </c>
    </row>
    <row r="495" spans="1:6">
      <c r="A495" s="4">
        <f t="shared" si="7"/>
        <v>494</v>
      </c>
      <c r="B495" s="4" t="s">
        <v>382</v>
      </c>
      <c r="C495" s="5" t="s">
        <v>362</v>
      </c>
      <c r="D495" s="35">
        <v>45505</v>
      </c>
      <c r="E495" s="36">
        <v>3626.6</v>
      </c>
      <c r="F495" s="5" t="s">
        <v>379</v>
      </c>
    </row>
    <row r="496" spans="1:6">
      <c r="A496" s="4">
        <f t="shared" si="7"/>
        <v>495</v>
      </c>
      <c r="B496" s="4" t="s">
        <v>382</v>
      </c>
      <c r="C496" s="5" t="s">
        <v>357</v>
      </c>
      <c r="D496" s="35">
        <v>45505</v>
      </c>
      <c r="E496" s="36">
        <v>8417</v>
      </c>
      <c r="F496" s="5" t="s">
        <v>379</v>
      </c>
    </row>
    <row r="497" spans="1:6">
      <c r="A497" s="4">
        <f t="shared" si="7"/>
        <v>496</v>
      </c>
      <c r="B497" s="4" t="s">
        <v>382</v>
      </c>
      <c r="C497" s="5" t="s">
        <v>356</v>
      </c>
      <c r="D497" s="35">
        <v>45505</v>
      </c>
      <c r="E497" s="36">
        <v>4375.68</v>
      </c>
      <c r="F497" s="5" t="s">
        <v>379</v>
      </c>
    </row>
    <row r="498" spans="1:6">
      <c r="A498" s="4">
        <f t="shared" si="7"/>
        <v>497</v>
      </c>
      <c r="B498" s="4" t="s">
        <v>382</v>
      </c>
      <c r="C498" s="5" t="s">
        <v>353</v>
      </c>
      <c r="D498" s="35">
        <v>45505</v>
      </c>
      <c r="E498" s="36">
        <v>6824</v>
      </c>
      <c r="F498" s="5" t="s">
        <v>379</v>
      </c>
    </row>
    <row r="499" spans="1:6">
      <c r="A499" s="4">
        <f t="shared" si="7"/>
        <v>498</v>
      </c>
      <c r="B499" s="4" t="s">
        <v>382</v>
      </c>
      <c r="C499" s="5" t="s">
        <v>366</v>
      </c>
      <c r="D499" s="35">
        <v>45505</v>
      </c>
      <c r="E499" s="36">
        <v>17354.16</v>
      </c>
      <c r="F499" s="5" t="s">
        <v>379</v>
      </c>
    </row>
    <row r="500" spans="1:6">
      <c r="A500" s="4">
        <f t="shared" si="7"/>
        <v>499</v>
      </c>
      <c r="B500" s="4" t="s">
        <v>382</v>
      </c>
      <c r="C500" s="5" t="s">
        <v>358</v>
      </c>
      <c r="D500" s="35">
        <v>45505</v>
      </c>
      <c r="E500" s="36">
        <v>65143.92</v>
      </c>
      <c r="F500" s="5" t="s">
        <v>379</v>
      </c>
    </row>
    <row r="501" spans="1:6">
      <c r="A501" s="4">
        <f t="shared" si="7"/>
        <v>500</v>
      </c>
      <c r="B501" s="4" t="s">
        <v>382</v>
      </c>
      <c r="C501" s="5" t="s">
        <v>365</v>
      </c>
      <c r="D501" s="35">
        <v>45505</v>
      </c>
      <c r="E501" s="36">
        <v>31432</v>
      </c>
      <c r="F501" s="5" t="s">
        <v>379</v>
      </c>
    </row>
    <row r="502" spans="1:6">
      <c r="A502" s="4">
        <f t="shared" si="7"/>
        <v>501</v>
      </c>
      <c r="B502" s="4" t="s">
        <v>382</v>
      </c>
      <c r="C502" s="5" t="s">
        <v>368</v>
      </c>
      <c r="D502" s="35">
        <v>45505</v>
      </c>
      <c r="E502" s="36">
        <v>20699.04</v>
      </c>
      <c r="F502" s="5" t="s">
        <v>379</v>
      </c>
    </row>
    <row r="503" spans="1:6">
      <c r="A503" s="4">
        <f t="shared" si="7"/>
        <v>502</v>
      </c>
      <c r="B503" s="4" t="s">
        <v>382</v>
      </c>
      <c r="C503" s="5" t="s">
        <v>370</v>
      </c>
      <c r="D503" s="35">
        <v>45505</v>
      </c>
      <c r="E503" s="36">
        <v>3036</v>
      </c>
      <c r="F503" s="5" t="s">
        <v>379</v>
      </c>
    </row>
    <row r="504" spans="1:6">
      <c r="A504" s="4">
        <f t="shared" si="7"/>
        <v>503</v>
      </c>
      <c r="B504" s="4" t="s">
        <v>382</v>
      </c>
      <c r="C504" s="5" t="s">
        <v>367</v>
      </c>
      <c r="D504" s="35">
        <v>45505</v>
      </c>
      <c r="E504" s="36">
        <v>24280.31</v>
      </c>
      <c r="F504" s="5" t="s">
        <v>379</v>
      </c>
    </row>
    <row r="505" spans="1:6">
      <c r="A505" s="4">
        <f t="shared" si="7"/>
        <v>504</v>
      </c>
      <c r="B505" s="4" t="s">
        <v>383</v>
      </c>
      <c r="C505" s="5" t="s">
        <v>357</v>
      </c>
      <c r="D505" s="35">
        <v>45505</v>
      </c>
      <c r="E505" s="36">
        <v>511.2</v>
      </c>
      <c r="F505" s="5" t="s">
        <v>379</v>
      </c>
    </row>
    <row r="506" spans="1:6">
      <c r="A506" s="4">
        <f t="shared" si="7"/>
        <v>505</v>
      </c>
      <c r="B506" s="4" t="s">
        <v>383</v>
      </c>
      <c r="C506" s="5" t="s">
        <v>366</v>
      </c>
      <c r="D506" s="35">
        <v>45505</v>
      </c>
      <c r="E506" s="36">
        <v>816.85</v>
      </c>
      <c r="F506" s="5" t="s">
        <v>379</v>
      </c>
    </row>
    <row r="507" spans="1:6">
      <c r="A507" s="4">
        <f t="shared" si="7"/>
        <v>506</v>
      </c>
      <c r="B507" s="4" t="s">
        <v>383</v>
      </c>
      <c r="C507" s="5" t="s">
        <v>358</v>
      </c>
      <c r="D507" s="35">
        <v>45505</v>
      </c>
      <c r="E507" s="36">
        <v>12064.4</v>
      </c>
      <c r="F507" s="5" t="s">
        <v>379</v>
      </c>
    </row>
    <row r="508" spans="1:6">
      <c r="A508" s="4">
        <f t="shared" si="7"/>
        <v>507</v>
      </c>
      <c r="B508" s="4" t="s">
        <v>384</v>
      </c>
      <c r="C508" s="5" t="s">
        <v>360</v>
      </c>
      <c r="D508" s="35">
        <v>45505</v>
      </c>
      <c r="E508" s="36">
        <v>11453.8</v>
      </c>
      <c r="F508" s="5" t="s">
        <v>379</v>
      </c>
    </row>
    <row r="509" spans="1:6">
      <c r="A509" s="4">
        <f t="shared" si="7"/>
        <v>508</v>
      </c>
      <c r="B509" s="4" t="s">
        <v>385</v>
      </c>
      <c r="C509" s="5" t="s">
        <v>361</v>
      </c>
      <c r="D509" s="35">
        <v>45505</v>
      </c>
      <c r="E509" s="5">
        <v>20989347</v>
      </c>
      <c r="F509" s="5" t="s">
        <v>386</v>
      </c>
    </row>
    <row r="510" spans="1:6">
      <c r="A510" s="4">
        <f t="shared" si="7"/>
        <v>509</v>
      </c>
      <c r="B510" s="4" t="s">
        <v>385</v>
      </c>
      <c r="C510" s="5" t="s">
        <v>351</v>
      </c>
      <c r="D510" s="35">
        <v>45505</v>
      </c>
      <c r="E510" s="5">
        <v>14243640</v>
      </c>
      <c r="F510" s="5" t="s">
        <v>386</v>
      </c>
    </row>
    <row r="511" spans="1:6">
      <c r="A511" s="4">
        <f t="shared" si="7"/>
        <v>510</v>
      </c>
      <c r="B511" s="4" t="s">
        <v>385</v>
      </c>
      <c r="C511" s="5" t="s">
        <v>363</v>
      </c>
      <c r="D511" s="35">
        <v>45505</v>
      </c>
      <c r="E511" s="5">
        <v>24140000</v>
      </c>
      <c r="F511" s="5" t="s">
        <v>386</v>
      </c>
    </row>
    <row r="512" spans="1:6">
      <c r="A512" s="4">
        <f t="shared" si="7"/>
        <v>511</v>
      </c>
      <c r="B512" s="4" t="s">
        <v>380</v>
      </c>
      <c r="C512" s="5" t="s">
        <v>357</v>
      </c>
      <c r="D512" s="35">
        <v>45505</v>
      </c>
      <c r="E512" s="36">
        <v>1400</v>
      </c>
      <c r="F512" s="5" t="s">
        <v>379</v>
      </c>
    </row>
    <row r="513" spans="1:6">
      <c r="A513" s="4">
        <f t="shared" si="7"/>
        <v>512</v>
      </c>
      <c r="B513" s="4" t="s">
        <v>387</v>
      </c>
      <c r="C513" s="5" t="s">
        <v>354</v>
      </c>
      <c r="D513" s="38">
        <v>45474</v>
      </c>
      <c r="E513" s="36">
        <v>4535</v>
      </c>
      <c r="F513" s="5" t="s">
        <v>379</v>
      </c>
    </row>
    <row r="514" spans="1:6">
      <c r="A514" s="4">
        <f t="shared" si="7"/>
        <v>513</v>
      </c>
      <c r="B514" s="4" t="s">
        <v>381</v>
      </c>
      <c r="C514" s="5" t="s">
        <v>362</v>
      </c>
      <c r="D514" s="35">
        <v>45474</v>
      </c>
      <c r="E514" s="36">
        <v>4359</v>
      </c>
      <c r="F514" s="5" t="s">
        <v>379</v>
      </c>
    </row>
    <row r="515" spans="1:6">
      <c r="A515" s="4">
        <f t="shared" si="7"/>
        <v>514</v>
      </c>
      <c r="B515" s="4" t="s">
        <v>381</v>
      </c>
      <c r="C515" s="5" t="s">
        <v>357</v>
      </c>
      <c r="D515" s="35">
        <v>45474</v>
      </c>
      <c r="E515" s="36">
        <v>128613</v>
      </c>
      <c r="F515" s="5" t="s">
        <v>379</v>
      </c>
    </row>
    <row r="516" spans="1:6">
      <c r="A516" s="4">
        <f t="shared" si="7"/>
        <v>515</v>
      </c>
      <c r="B516" s="4" t="s">
        <v>381</v>
      </c>
      <c r="C516" s="5" t="s">
        <v>353</v>
      </c>
      <c r="D516" s="35">
        <v>45474</v>
      </c>
      <c r="E516" s="36">
        <v>1712</v>
      </c>
      <c r="F516" s="5" t="s">
        <v>379</v>
      </c>
    </row>
    <row r="517" spans="1:6">
      <c r="A517" s="4">
        <f t="shared" si="7"/>
        <v>516</v>
      </c>
      <c r="B517" s="4" t="s">
        <v>381</v>
      </c>
      <c r="C517" s="5" t="s">
        <v>358</v>
      </c>
      <c r="D517" s="35">
        <v>45474</v>
      </c>
      <c r="E517" s="36">
        <v>21414.619999999995</v>
      </c>
      <c r="F517" s="5" t="s">
        <v>379</v>
      </c>
    </row>
    <row r="518" spans="1:6">
      <c r="A518" s="4">
        <f t="shared" si="7"/>
        <v>517</v>
      </c>
      <c r="B518" s="4" t="s">
        <v>381</v>
      </c>
      <c r="C518" s="5" t="s">
        <v>365</v>
      </c>
      <c r="D518" s="35">
        <v>45474</v>
      </c>
      <c r="E518" s="36">
        <v>28556</v>
      </c>
      <c r="F518" s="5" t="s">
        <v>379</v>
      </c>
    </row>
    <row r="519" spans="1:6">
      <c r="A519" s="4">
        <f t="shared" si="7"/>
        <v>518</v>
      </c>
      <c r="B519" s="4" t="s">
        <v>381</v>
      </c>
      <c r="C519" s="5" t="s">
        <v>368</v>
      </c>
      <c r="D519" s="35">
        <v>45474</v>
      </c>
      <c r="E519" s="36">
        <v>2887.2</v>
      </c>
      <c r="F519" s="5" t="s">
        <v>379</v>
      </c>
    </row>
    <row r="520" spans="1:6">
      <c r="A520" s="4">
        <f t="shared" si="7"/>
        <v>519</v>
      </c>
      <c r="B520" s="4" t="s">
        <v>381</v>
      </c>
      <c r="C520" s="5" t="s">
        <v>369</v>
      </c>
      <c r="D520" s="35">
        <v>45474</v>
      </c>
      <c r="E520" s="36">
        <v>510</v>
      </c>
      <c r="F520" s="5" t="s">
        <v>379</v>
      </c>
    </row>
    <row r="521" spans="1:6">
      <c r="A521" s="4">
        <f t="shared" si="7"/>
        <v>520</v>
      </c>
      <c r="B521" s="4" t="s">
        <v>381</v>
      </c>
      <c r="C521" s="5" t="s">
        <v>370</v>
      </c>
      <c r="D521" s="35">
        <v>45474</v>
      </c>
      <c r="E521" s="36">
        <v>82433.14999999998</v>
      </c>
      <c r="F521" s="5" t="s">
        <v>379</v>
      </c>
    </row>
    <row r="522" spans="1:6">
      <c r="A522" s="4">
        <f t="shared" si="7"/>
        <v>521</v>
      </c>
      <c r="B522" s="4" t="s">
        <v>382</v>
      </c>
      <c r="C522" s="5" t="s">
        <v>362</v>
      </c>
      <c r="D522" s="35">
        <v>45474</v>
      </c>
      <c r="E522" s="36">
        <v>2030</v>
      </c>
      <c r="F522" s="5" t="s">
        <v>379</v>
      </c>
    </row>
    <row r="523" spans="1:6">
      <c r="A523" s="4">
        <f t="shared" ref="A523:A586" si="8">ROW()-1</f>
        <v>522</v>
      </c>
      <c r="B523" s="4" t="s">
        <v>382</v>
      </c>
      <c r="C523" s="5" t="s">
        <v>357</v>
      </c>
      <c r="D523" s="35">
        <v>45474</v>
      </c>
      <c r="E523" s="36">
        <v>6292</v>
      </c>
      <c r="F523" s="5" t="s">
        <v>379</v>
      </c>
    </row>
    <row r="524" spans="1:6">
      <c r="A524" s="4">
        <f t="shared" si="8"/>
        <v>523</v>
      </c>
      <c r="B524" s="4" t="s">
        <v>382</v>
      </c>
      <c r="C524" s="5" t="s">
        <v>356</v>
      </c>
      <c r="D524" s="35">
        <v>45474</v>
      </c>
      <c r="E524" s="36">
        <v>5056.3599999999997</v>
      </c>
      <c r="F524" s="5" t="s">
        <v>379</v>
      </c>
    </row>
    <row r="525" spans="1:6">
      <c r="A525" s="4">
        <f t="shared" si="8"/>
        <v>524</v>
      </c>
      <c r="B525" s="4" t="s">
        <v>382</v>
      </c>
      <c r="C525" s="5" t="s">
        <v>353</v>
      </c>
      <c r="D525" s="35">
        <v>45474</v>
      </c>
      <c r="E525" s="36">
        <v>4322</v>
      </c>
      <c r="F525" s="5" t="s">
        <v>379</v>
      </c>
    </row>
    <row r="526" spans="1:6">
      <c r="A526" s="4">
        <f t="shared" si="8"/>
        <v>525</v>
      </c>
      <c r="B526" s="4" t="s">
        <v>382</v>
      </c>
      <c r="C526" s="5" t="s">
        <v>366</v>
      </c>
      <c r="D526" s="35">
        <v>45474</v>
      </c>
      <c r="E526" s="36">
        <v>16356</v>
      </c>
      <c r="F526" s="5" t="s">
        <v>379</v>
      </c>
    </row>
    <row r="527" spans="1:6">
      <c r="A527" s="4">
        <f t="shared" si="8"/>
        <v>526</v>
      </c>
      <c r="B527" s="4" t="s">
        <v>382</v>
      </c>
      <c r="C527" s="5" t="s">
        <v>358</v>
      </c>
      <c r="D527" s="35">
        <v>45474</v>
      </c>
      <c r="E527" s="36">
        <v>43382.38</v>
      </c>
      <c r="F527" s="5" t="s">
        <v>379</v>
      </c>
    </row>
    <row r="528" spans="1:6">
      <c r="A528" s="4">
        <f t="shared" si="8"/>
        <v>527</v>
      </c>
      <c r="B528" s="4" t="s">
        <v>382</v>
      </c>
      <c r="C528" s="5" t="s">
        <v>365</v>
      </c>
      <c r="D528" s="35">
        <v>45474</v>
      </c>
      <c r="E528" s="36">
        <v>10996</v>
      </c>
      <c r="F528" s="5" t="s">
        <v>379</v>
      </c>
    </row>
    <row r="529" spans="1:6">
      <c r="A529" s="4">
        <f t="shared" si="8"/>
        <v>528</v>
      </c>
      <c r="B529" s="4" t="s">
        <v>382</v>
      </c>
      <c r="C529" s="5" t="s">
        <v>370</v>
      </c>
      <c r="D529" s="35">
        <v>45474</v>
      </c>
      <c r="E529" s="36">
        <v>5566</v>
      </c>
      <c r="F529" s="5" t="s">
        <v>379</v>
      </c>
    </row>
    <row r="530" spans="1:6">
      <c r="A530" s="4">
        <f t="shared" si="8"/>
        <v>529</v>
      </c>
      <c r="B530" s="4" t="s">
        <v>382</v>
      </c>
      <c r="C530" s="5" t="s">
        <v>367</v>
      </c>
      <c r="D530" s="35">
        <v>45474</v>
      </c>
      <c r="E530" s="36">
        <v>8739.5400000000009</v>
      </c>
      <c r="F530" s="5" t="s">
        <v>379</v>
      </c>
    </row>
    <row r="531" spans="1:6">
      <c r="A531" s="4">
        <f t="shared" si="8"/>
        <v>530</v>
      </c>
      <c r="B531" s="4" t="s">
        <v>383</v>
      </c>
      <c r="C531" s="5" t="s">
        <v>357</v>
      </c>
      <c r="D531" s="35">
        <v>45474</v>
      </c>
      <c r="E531" s="36">
        <v>4644</v>
      </c>
      <c r="F531" s="5" t="s">
        <v>379</v>
      </c>
    </row>
    <row r="532" spans="1:6">
      <c r="A532" s="4">
        <f t="shared" si="8"/>
        <v>531</v>
      </c>
      <c r="B532" s="4" t="s">
        <v>383</v>
      </c>
      <c r="C532" s="5" t="s">
        <v>358</v>
      </c>
      <c r="D532" s="35">
        <v>45474</v>
      </c>
      <c r="E532" s="36">
        <v>9084</v>
      </c>
      <c r="F532" s="5" t="s">
        <v>379</v>
      </c>
    </row>
    <row r="533" spans="1:6">
      <c r="A533" s="4">
        <f t="shared" si="8"/>
        <v>532</v>
      </c>
      <c r="B533" s="4" t="s">
        <v>384</v>
      </c>
      <c r="C533" s="5" t="s">
        <v>360</v>
      </c>
      <c r="D533" s="35">
        <v>45474</v>
      </c>
      <c r="E533" s="36">
        <v>10948.8</v>
      </c>
      <c r="F533" s="5" t="s">
        <v>379</v>
      </c>
    </row>
    <row r="534" spans="1:6">
      <c r="A534" s="4">
        <f t="shared" si="8"/>
        <v>533</v>
      </c>
      <c r="B534" s="4" t="s">
        <v>385</v>
      </c>
      <c r="C534" s="5" t="s">
        <v>361</v>
      </c>
      <c r="D534" s="35">
        <v>45474</v>
      </c>
      <c r="E534" s="5">
        <v>19227000</v>
      </c>
      <c r="F534" s="5" t="s">
        <v>386</v>
      </c>
    </row>
    <row r="535" spans="1:6">
      <c r="A535" s="4">
        <f t="shared" si="8"/>
        <v>534</v>
      </c>
      <c r="B535" s="4" t="s">
        <v>385</v>
      </c>
      <c r="C535" s="5" t="s">
        <v>351</v>
      </c>
      <c r="D535" s="35">
        <v>45474</v>
      </c>
      <c r="E535" s="5">
        <v>19212260</v>
      </c>
      <c r="F535" s="5" t="s">
        <v>386</v>
      </c>
    </row>
    <row r="536" spans="1:6">
      <c r="A536" s="4">
        <f t="shared" si="8"/>
        <v>535</v>
      </c>
      <c r="B536" s="4" t="s">
        <v>385</v>
      </c>
      <c r="C536" s="5" t="s">
        <v>363</v>
      </c>
      <c r="D536" s="35">
        <v>45474</v>
      </c>
      <c r="E536" s="5">
        <v>22020000</v>
      </c>
      <c r="F536" s="5" t="s">
        <v>386</v>
      </c>
    </row>
    <row r="537" spans="1:6">
      <c r="A537" s="4">
        <f t="shared" si="8"/>
        <v>536</v>
      </c>
      <c r="B537" s="4" t="s">
        <v>380</v>
      </c>
      <c r="C537" s="5" t="s">
        <v>357</v>
      </c>
      <c r="D537" s="35">
        <v>45474</v>
      </c>
      <c r="E537" s="36">
        <v>1400</v>
      </c>
      <c r="F537" s="5" t="s">
        <v>379</v>
      </c>
    </row>
    <row r="538" spans="1:6">
      <c r="A538" s="4">
        <f t="shared" si="8"/>
        <v>537</v>
      </c>
      <c r="B538" s="4" t="s">
        <v>387</v>
      </c>
      <c r="C538" s="5" t="s">
        <v>354</v>
      </c>
      <c r="D538" s="38">
        <v>45444</v>
      </c>
      <c r="E538" s="36">
        <v>6620</v>
      </c>
      <c r="F538" s="5" t="s">
        <v>379</v>
      </c>
    </row>
    <row r="539" spans="1:6">
      <c r="A539" s="4">
        <f t="shared" si="8"/>
        <v>538</v>
      </c>
      <c r="B539" s="4" t="s">
        <v>381</v>
      </c>
      <c r="C539" s="5" t="s">
        <v>362</v>
      </c>
      <c r="D539" s="35">
        <v>45444</v>
      </c>
      <c r="E539" s="36">
        <v>2983.6</v>
      </c>
      <c r="F539" s="5" t="s">
        <v>379</v>
      </c>
    </row>
    <row r="540" spans="1:6">
      <c r="A540" s="4">
        <f t="shared" si="8"/>
        <v>539</v>
      </c>
      <c r="B540" s="4" t="s">
        <v>381</v>
      </c>
      <c r="C540" s="5" t="s">
        <v>357</v>
      </c>
      <c r="D540" s="35">
        <v>45444</v>
      </c>
      <c r="E540" s="36">
        <v>64441</v>
      </c>
      <c r="F540" s="5" t="s">
        <v>379</v>
      </c>
    </row>
    <row r="541" spans="1:6">
      <c r="A541" s="4">
        <f t="shared" si="8"/>
        <v>540</v>
      </c>
      <c r="B541" s="4" t="s">
        <v>381</v>
      </c>
      <c r="C541" s="5" t="s">
        <v>356</v>
      </c>
      <c r="D541" s="35">
        <v>45444</v>
      </c>
      <c r="E541" s="36">
        <v>626.46</v>
      </c>
      <c r="F541" s="5" t="s">
        <v>379</v>
      </c>
    </row>
    <row r="542" spans="1:6">
      <c r="A542" s="4">
        <f t="shared" si="8"/>
        <v>541</v>
      </c>
      <c r="B542" s="4" t="s">
        <v>381</v>
      </c>
      <c r="C542" s="5" t="s">
        <v>353</v>
      </c>
      <c r="D542" s="35">
        <v>45444</v>
      </c>
      <c r="E542" s="36">
        <v>2274</v>
      </c>
      <c r="F542" s="5" t="s">
        <v>379</v>
      </c>
    </row>
    <row r="543" spans="1:6">
      <c r="A543" s="4">
        <f t="shared" si="8"/>
        <v>542</v>
      </c>
      <c r="B543" s="4" t="s">
        <v>381</v>
      </c>
      <c r="C543" s="5" t="s">
        <v>358</v>
      </c>
      <c r="D543" s="35">
        <v>45444</v>
      </c>
      <c r="E543" s="36">
        <v>23759.219999999994</v>
      </c>
      <c r="F543" s="5" t="s">
        <v>379</v>
      </c>
    </row>
    <row r="544" spans="1:6">
      <c r="A544" s="4">
        <f t="shared" si="8"/>
        <v>543</v>
      </c>
      <c r="B544" s="4" t="s">
        <v>381</v>
      </c>
      <c r="C544" s="5" t="s">
        <v>365</v>
      </c>
      <c r="D544" s="35">
        <v>45444</v>
      </c>
      <c r="E544" s="36">
        <v>55472</v>
      </c>
      <c r="F544" s="5" t="s">
        <v>379</v>
      </c>
    </row>
    <row r="545" spans="1:6">
      <c r="A545" s="4">
        <f t="shared" si="8"/>
        <v>544</v>
      </c>
      <c r="B545" s="4" t="s">
        <v>381</v>
      </c>
      <c r="C545" s="5" t="s">
        <v>369</v>
      </c>
      <c r="D545" s="35">
        <v>45444</v>
      </c>
      <c r="E545" s="36">
        <v>2300.8999999999996</v>
      </c>
      <c r="F545" s="5" t="s">
        <v>379</v>
      </c>
    </row>
    <row r="546" spans="1:6">
      <c r="A546" s="4">
        <f t="shared" si="8"/>
        <v>545</v>
      </c>
      <c r="B546" s="4" t="s">
        <v>382</v>
      </c>
      <c r="C546" s="5" t="s">
        <v>362</v>
      </c>
      <c r="D546" s="35">
        <v>45444</v>
      </c>
      <c r="E546" s="36">
        <v>6100.56</v>
      </c>
      <c r="F546" s="5" t="s">
        <v>379</v>
      </c>
    </row>
    <row r="547" spans="1:6">
      <c r="A547" s="4">
        <f t="shared" si="8"/>
        <v>546</v>
      </c>
      <c r="B547" s="4" t="s">
        <v>382</v>
      </c>
      <c r="C547" s="5" t="s">
        <v>357</v>
      </c>
      <c r="D547" s="35">
        <v>45444</v>
      </c>
      <c r="E547" s="36">
        <v>2485</v>
      </c>
      <c r="F547" s="5" t="s">
        <v>379</v>
      </c>
    </row>
    <row r="548" spans="1:6">
      <c r="A548" s="4">
        <f t="shared" si="8"/>
        <v>547</v>
      </c>
      <c r="B548" s="4" t="s">
        <v>382</v>
      </c>
      <c r="C548" s="5" t="s">
        <v>356</v>
      </c>
      <c r="D548" s="35">
        <v>45444</v>
      </c>
      <c r="E548" s="36">
        <v>11095.68</v>
      </c>
      <c r="F548" s="5" t="s">
        <v>379</v>
      </c>
    </row>
    <row r="549" spans="1:6">
      <c r="A549" s="4">
        <f t="shared" si="8"/>
        <v>548</v>
      </c>
      <c r="B549" s="4" t="s">
        <v>382</v>
      </c>
      <c r="C549" s="5" t="s">
        <v>353</v>
      </c>
      <c r="D549" s="35">
        <v>45444</v>
      </c>
      <c r="E549" s="36">
        <v>13660.5</v>
      </c>
      <c r="F549" s="5" t="s">
        <v>379</v>
      </c>
    </row>
    <row r="550" spans="1:6">
      <c r="A550" s="4">
        <f t="shared" si="8"/>
        <v>549</v>
      </c>
      <c r="B550" s="4" t="s">
        <v>382</v>
      </c>
      <c r="C550" s="5" t="s">
        <v>366</v>
      </c>
      <c r="D550" s="35">
        <v>45444</v>
      </c>
      <c r="E550" s="36">
        <v>18751</v>
      </c>
      <c r="F550" s="5" t="s">
        <v>379</v>
      </c>
    </row>
    <row r="551" spans="1:6">
      <c r="A551" s="4">
        <f t="shared" si="8"/>
        <v>550</v>
      </c>
      <c r="B551" s="4" t="s">
        <v>382</v>
      </c>
      <c r="C551" s="5" t="s">
        <v>358</v>
      </c>
      <c r="D551" s="35">
        <v>45444</v>
      </c>
      <c r="E551" s="36">
        <v>89855.69</v>
      </c>
      <c r="F551" s="5" t="s">
        <v>379</v>
      </c>
    </row>
    <row r="552" spans="1:6">
      <c r="A552" s="4">
        <f t="shared" si="8"/>
        <v>551</v>
      </c>
      <c r="B552" s="4" t="s">
        <v>382</v>
      </c>
      <c r="C552" s="5" t="s">
        <v>365</v>
      </c>
      <c r="D552" s="35">
        <v>45444</v>
      </c>
      <c r="E552" s="36">
        <v>20160</v>
      </c>
      <c r="F552" s="5" t="s">
        <v>379</v>
      </c>
    </row>
    <row r="553" spans="1:6">
      <c r="A553" s="4">
        <f t="shared" si="8"/>
        <v>552</v>
      </c>
      <c r="B553" s="4" t="s">
        <v>382</v>
      </c>
      <c r="C553" s="5" t="s">
        <v>368</v>
      </c>
      <c r="D553" s="35">
        <v>45444</v>
      </c>
      <c r="E553" s="36">
        <v>45600.59</v>
      </c>
      <c r="F553" s="5" t="s">
        <v>379</v>
      </c>
    </row>
    <row r="554" spans="1:6">
      <c r="A554" s="4">
        <f t="shared" si="8"/>
        <v>553</v>
      </c>
      <c r="B554" s="4" t="s">
        <v>382</v>
      </c>
      <c r="C554" s="5" t="s">
        <v>369</v>
      </c>
      <c r="D554" s="35">
        <v>45444</v>
      </c>
      <c r="E554" s="36">
        <v>847.7</v>
      </c>
      <c r="F554" s="5" t="s">
        <v>379</v>
      </c>
    </row>
    <row r="555" spans="1:6">
      <c r="A555" s="4">
        <f t="shared" si="8"/>
        <v>554</v>
      </c>
      <c r="B555" s="4" t="s">
        <v>382</v>
      </c>
      <c r="C555" s="5" t="s">
        <v>370</v>
      </c>
      <c r="D555" s="35">
        <v>45444</v>
      </c>
      <c r="E555" s="36">
        <v>15502</v>
      </c>
      <c r="F555" s="5" t="s">
        <v>379</v>
      </c>
    </row>
    <row r="556" spans="1:6">
      <c r="A556" s="4">
        <f t="shared" si="8"/>
        <v>555</v>
      </c>
      <c r="B556" s="4" t="s">
        <v>382</v>
      </c>
      <c r="C556" s="5" t="s">
        <v>367</v>
      </c>
      <c r="D556" s="35">
        <v>45444</v>
      </c>
      <c r="E556" s="36">
        <v>43416.3</v>
      </c>
      <c r="F556" s="5" t="s">
        <v>379</v>
      </c>
    </row>
    <row r="557" spans="1:6">
      <c r="A557" s="4">
        <f t="shared" si="8"/>
        <v>556</v>
      </c>
      <c r="B557" s="4" t="s">
        <v>383</v>
      </c>
      <c r="C557" s="5" t="s">
        <v>362</v>
      </c>
      <c r="D557" s="35">
        <v>45444</v>
      </c>
      <c r="E557" s="36">
        <v>5948.16</v>
      </c>
      <c r="F557" s="5" t="s">
        <v>379</v>
      </c>
    </row>
    <row r="558" spans="1:6">
      <c r="A558" s="4">
        <f t="shared" si="8"/>
        <v>557</v>
      </c>
      <c r="B558" s="4" t="s">
        <v>383</v>
      </c>
      <c r="C558" s="5" t="s">
        <v>358</v>
      </c>
      <c r="D558" s="35">
        <v>45444</v>
      </c>
      <c r="E558" s="36">
        <v>6001.4</v>
      </c>
      <c r="F558" s="5" t="s">
        <v>379</v>
      </c>
    </row>
    <row r="559" spans="1:6">
      <c r="A559" s="4">
        <f t="shared" si="8"/>
        <v>558</v>
      </c>
      <c r="B559" s="4" t="s">
        <v>383</v>
      </c>
      <c r="C559" s="5" t="s">
        <v>365</v>
      </c>
      <c r="D559" s="35">
        <v>45444</v>
      </c>
      <c r="E559" s="36">
        <v>376</v>
      </c>
      <c r="F559" s="5" t="s">
        <v>379</v>
      </c>
    </row>
    <row r="560" spans="1:6">
      <c r="A560" s="4">
        <f t="shared" si="8"/>
        <v>559</v>
      </c>
      <c r="B560" s="4" t="s">
        <v>384</v>
      </c>
      <c r="C560" s="5" t="s">
        <v>360</v>
      </c>
      <c r="D560" s="35">
        <v>45444</v>
      </c>
      <c r="E560" s="36">
        <v>16897.599999999999</v>
      </c>
      <c r="F560" s="5" t="s">
        <v>379</v>
      </c>
    </row>
    <row r="561" spans="1:6">
      <c r="A561" s="4">
        <f t="shared" si="8"/>
        <v>560</v>
      </c>
      <c r="B561" s="4" t="s">
        <v>385</v>
      </c>
      <c r="C561" s="5" t="s">
        <v>361</v>
      </c>
      <c r="D561" s="35">
        <v>45444</v>
      </c>
      <c r="E561" s="5">
        <v>17177000</v>
      </c>
      <c r="F561" s="5" t="s">
        <v>386</v>
      </c>
    </row>
    <row r="562" spans="1:6">
      <c r="A562" s="4">
        <f t="shared" si="8"/>
        <v>561</v>
      </c>
      <c r="B562" s="4" t="s">
        <v>385</v>
      </c>
      <c r="C562" s="5" t="s">
        <v>351</v>
      </c>
      <c r="D562" s="35">
        <v>45444</v>
      </c>
      <c r="E562" s="5">
        <v>19942025</v>
      </c>
      <c r="F562" s="5" t="s">
        <v>386</v>
      </c>
    </row>
    <row r="563" spans="1:6">
      <c r="A563" s="4">
        <f t="shared" si="8"/>
        <v>562</v>
      </c>
      <c r="B563" s="4" t="s">
        <v>385</v>
      </c>
      <c r="C563" s="5" t="s">
        <v>363</v>
      </c>
      <c r="D563" s="35">
        <v>45444</v>
      </c>
      <c r="E563" s="5">
        <v>12610000</v>
      </c>
      <c r="F563" s="5" t="s">
        <v>386</v>
      </c>
    </row>
    <row r="564" spans="1:6">
      <c r="A564" s="4">
        <f t="shared" si="8"/>
        <v>563</v>
      </c>
      <c r="B564" s="4" t="s">
        <v>380</v>
      </c>
      <c r="C564" s="5" t="s">
        <v>357</v>
      </c>
      <c r="D564" s="35">
        <v>45444</v>
      </c>
      <c r="E564" s="36">
        <v>1200</v>
      </c>
      <c r="F564" s="5" t="s">
        <v>379</v>
      </c>
    </row>
    <row r="565" spans="1:6">
      <c r="A565" s="4">
        <f t="shared" si="8"/>
        <v>564</v>
      </c>
      <c r="B565" s="4" t="s">
        <v>387</v>
      </c>
      <c r="C565" s="5" t="s">
        <v>354</v>
      </c>
      <c r="D565" s="38">
        <v>45413</v>
      </c>
      <c r="E565" s="36">
        <v>7449</v>
      </c>
      <c r="F565" s="5" t="s">
        <v>379</v>
      </c>
    </row>
    <row r="566" spans="1:6">
      <c r="A566" s="4">
        <f t="shared" si="8"/>
        <v>565</v>
      </c>
      <c r="B566" s="4" t="s">
        <v>381</v>
      </c>
      <c r="C566" s="5" t="s">
        <v>362</v>
      </c>
      <c r="D566" s="35">
        <v>45413</v>
      </c>
      <c r="E566" s="36">
        <v>4586.3999999999996</v>
      </c>
      <c r="F566" s="5" t="s">
        <v>379</v>
      </c>
    </row>
    <row r="567" spans="1:6">
      <c r="A567" s="4">
        <f t="shared" si="8"/>
        <v>566</v>
      </c>
      <c r="B567" s="4" t="s">
        <v>381</v>
      </c>
      <c r="C567" s="5" t="s">
        <v>357</v>
      </c>
      <c r="D567" s="35">
        <v>45413</v>
      </c>
      <c r="E567" s="36">
        <v>53689.41</v>
      </c>
      <c r="F567" s="5" t="s">
        <v>379</v>
      </c>
    </row>
    <row r="568" spans="1:6">
      <c r="A568" s="4">
        <f t="shared" si="8"/>
        <v>567</v>
      </c>
      <c r="B568" s="4" t="s">
        <v>381</v>
      </c>
      <c r="C568" s="5" t="s">
        <v>356</v>
      </c>
      <c r="D568" s="35">
        <v>45413</v>
      </c>
      <c r="E568" s="36">
        <v>6158.76</v>
      </c>
      <c r="F568" s="5" t="s">
        <v>379</v>
      </c>
    </row>
    <row r="569" spans="1:6">
      <c r="A569" s="4">
        <f t="shared" si="8"/>
        <v>568</v>
      </c>
      <c r="B569" s="4" t="s">
        <v>381</v>
      </c>
      <c r="C569" s="5" t="s">
        <v>353</v>
      </c>
      <c r="D569" s="35">
        <v>45413</v>
      </c>
      <c r="E569" s="36">
        <v>5010.28</v>
      </c>
      <c r="F569" s="5" t="s">
        <v>379</v>
      </c>
    </row>
    <row r="570" spans="1:6">
      <c r="A570" s="4">
        <f t="shared" si="8"/>
        <v>569</v>
      </c>
      <c r="B570" s="4" t="s">
        <v>381</v>
      </c>
      <c r="C570" s="5" t="s">
        <v>358</v>
      </c>
      <c r="D570" s="35">
        <v>45413</v>
      </c>
      <c r="E570" s="36">
        <v>12621.099999999999</v>
      </c>
      <c r="F570" s="5" t="s">
        <v>379</v>
      </c>
    </row>
    <row r="571" spans="1:6">
      <c r="A571" s="4">
        <f t="shared" si="8"/>
        <v>570</v>
      </c>
      <c r="B571" s="4" t="s">
        <v>381</v>
      </c>
      <c r="C571" s="5" t="s">
        <v>365</v>
      </c>
      <c r="D571" s="35">
        <v>45413</v>
      </c>
      <c r="E571" s="36">
        <v>30192</v>
      </c>
      <c r="F571" s="5" t="s">
        <v>379</v>
      </c>
    </row>
    <row r="572" spans="1:6">
      <c r="A572" s="4">
        <f t="shared" si="8"/>
        <v>571</v>
      </c>
      <c r="B572" s="4" t="s">
        <v>381</v>
      </c>
      <c r="C572" s="5" t="s">
        <v>368</v>
      </c>
      <c r="D572" s="35">
        <v>45413</v>
      </c>
      <c r="E572" s="36">
        <v>1467.4</v>
      </c>
      <c r="F572" s="5" t="s">
        <v>379</v>
      </c>
    </row>
    <row r="573" spans="1:6">
      <c r="A573" s="4">
        <f t="shared" si="8"/>
        <v>572</v>
      </c>
      <c r="B573" s="4" t="s">
        <v>381</v>
      </c>
      <c r="C573" s="5" t="s">
        <v>370</v>
      </c>
      <c r="D573" s="35">
        <v>45413</v>
      </c>
      <c r="E573" s="36">
        <v>32890</v>
      </c>
      <c r="F573" s="5" t="s">
        <v>379</v>
      </c>
    </row>
    <row r="574" spans="1:6">
      <c r="A574" s="4">
        <f t="shared" si="8"/>
        <v>573</v>
      </c>
      <c r="B574" s="4" t="s">
        <v>381</v>
      </c>
      <c r="C574" s="5" t="s">
        <v>364</v>
      </c>
      <c r="D574" s="35">
        <v>45413</v>
      </c>
      <c r="E574" s="36">
        <v>15816</v>
      </c>
      <c r="F574" s="5" t="s">
        <v>379</v>
      </c>
    </row>
    <row r="575" spans="1:6">
      <c r="A575" s="4">
        <f t="shared" si="8"/>
        <v>574</v>
      </c>
      <c r="B575" s="4" t="s">
        <v>382</v>
      </c>
      <c r="C575" s="5" t="s">
        <v>362</v>
      </c>
      <c r="D575" s="35">
        <v>45413</v>
      </c>
      <c r="E575" s="36">
        <v>3664.02</v>
      </c>
      <c r="F575" s="5" t="s">
        <v>379</v>
      </c>
    </row>
    <row r="576" spans="1:6">
      <c r="A576" s="4">
        <f t="shared" si="8"/>
        <v>575</v>
      </c>
      <c r="B576" s="4" t="s">
        <v>382</v>
      </c>
      <c r="C576" s="5" t="s">
        <v>357</v>
      </c>
      <c r="D576" s="35">
        <v>45413</v>
      </c>
      <c r="E576" s="36">
        <v>3707.5</v>
      </c>
      <c r="F576" s="5" t="s">
        <v>379</v>
      </c>
    </row>
    <row r="577" spans="1:6">
      <c r="A577" s="4">
        <f t="shared" si="8"/>
        <v>576</v>
      </c>
      <c r="B577" s="4" t="s">
        <v>382</v>
      </c>
      <c r="C577" s="5" t="s">
        <v>356</v>
      </c>
      <c r="D577" s="35">
        <v>45413</v>
      </c>
      <c r="E577" s="36">
        <v>8748.68</v>
      </c>
      <c r="F577" s="5" t="s">
        <v>379</v>
      </c>
    </row>
    <row r="578" spans="1:6">
      <c r="A578" s="4">
        <f t="shared" si="8"/>
        <v>577</v>
      </c>
      <c r="B578" s="4" t="s">
        <v>382</v>
      </c>
      <c r="C578" s="5" t="s">
        <v>353</v>
      </c>
      <c r="D578" s="35">
        <v>45413</v>
      </c>
      <c r="E578" s="36">
        <v>8091</v>
      </c>
      <c r="F578" s="5" t="s">
        <v>379</v>
      </c>
    </row>
    <row r="579" spans="1:6">
      <c r="A579" s="4">
        <f t="shared" si="8"/>
        <v>578</v>
      </c>
      <c r="B579" s="4" t="s">
        <v>382</v>
      </c>
      <c r="C579" s="5" t="s">
        <v>354</v>
      </c>
      <c r="D579" s="35">
        <v>45413</v>
      </c>
      <c r="E579" s="36">
        <v>1151.5999999999999</v>
      </c>
      <c r="F579" s="5" t="s">
        <v>379</v>
      </c>
    </row>
    <row r="580" spans="1:6">
      <c r="A580" s="4">
        <f t="shared" si="8"/>
        <v>579</v>
      </c>
      <c r="B580" s="4" t="s">
        <v>382</v>
      </c>
      <c r="C580" s="5" t="s">
        <v>366</v>
      </c>
      <c r="D580" s="35">
        <v>45413</v>
      </c>
      <c r="E580" s="36">
        <v>24958.28</v>
      </c>
      <c r="F580" s="5" t="s">
        <v>379</v>
      </c>
    </row>
    <row r="581" spans="1:6">
      <c r="A581" s="4">
        <f t="shared" si="8"/>
        <v>580</v>
      </c>
      <c r="B581" s="4" t="s">
        <v>382</v>
      </c>
      <c r="C581" s="5" t="s">
        <v>358</v>
      </c>
      <c r="D581" s="35">
        <v>45413</v>
      </c>
      <c r="E581" s="36">
        <v>71106.87000000001</v>
      </c>
      <c r="F581" s="5" t="s">
        <v>379</v>
      </c>
    </row>
    <row r="582" spans="1:6">
      <c r="A582" s="4">
        <f t="shared" si="8"/>
        <v>581</v>
      </c>
      <c r="B582" s="4" t="s">
        <v>382</v>
      </c>
      <c r="C582" s="5" t="s">
        <v>365</v>
      </c>
      <c r="D582" s="35">
        <v>45413</v>
      </c>
      <c r="E582" s="36">
        <v>12160</v>
      </c>
      <c r="F582" s="5" t="s">
        <v>379</v>
      </c>
    </row>
    <row r="583" spans="1:6">
      <c r="A583" s="4">
        <f t="shared" si="8"/>
        <v>582</v>
      </c>
      <c r="B583" s="4" t="s">
        <v>382</v>
      </c>
      <c r="C583" s="5" t="s">
        <v>368</v>
      </c>
      <c r="D583" s="35">
        <v>45413</v>
      </c>
      <c r="E583" s="36">
        <v>9537.27</v>
      </c>
      <c r="F583" s="5" t="s">
        <v>379</v>
      </c>
    </row>
    <row r="584" spans="1:6">
      <c r="A584" s="4">
        <f t="shared" si="8"/>
        <v>583</v>
      </c>
      <c r="B584" s="4" t="s">
        <v>382</v>
      </c>
      <c r="C584" s="5" t="s">
        <v>370</v>
      </c>
      <c r="D584" s="35">
        <v>45413</v>
      </c>
      <c r="E584" s="36">
        <v>3284.4</v>
      </c>
      <c r="F584" s="5" t="s">
        <v>379</v>
      </c>
    </row>
    <row r="585" spans="1:6">
      <c r="A585" s="4">
        <f t="shared" si="8"/>
        <v>584</v>
      </c>
      <c r="B585" s="4" t="s">
        <v>382</v>
      </c>
      <c r="C585" s="5" t="s">
        <v>367</v>
      </c>
      <c r="D585" s="35">
        <v>45413</v>
      </c>
      <c r="E585" s="36">
        <v>36409.019999999997</v>
      </c>
      <c r="F585" s="5" t="s">
        <v>379</v>
      </c>
    </row>
    <row r="586" spans="1:6">
      <c r="A586" s="4">
        <f t="shared" si="8"/>
        <v>585</v>
      </c>
      <c r="B586" s="4" t="s">
        <v>383</v>
      </c>
      <c r="C586" s="5" t="s">
        <v>358</v>
      </c>
      <c r="D586" s="35">
        <v>45413</v>
      </c>
      <c r="E586" s="36">
        <v>2712.4</v>
      </c>
      <c r="F586" s="5" t="s">
        <v>379</v>
      </c>
    </row>
    <row r="587" spans="1:6">
      <c r="A587" s="4">
        <f t="shared" ref="A587:A650" si="9">ROW()-1</f>
        <v>586</v>
      </c>
      <c r="B587" s="4" t="s">
        <v>384</v>
      </c>
      <c r="C587" s="5" t="s">
        <v>360</v>
      </c>
      <c r="D587" s="35">
        <v>45413</v>
      </c>
      <c r="E587" s="36">
        <v>18051.400000000001</v>
      </c>
      <c r="F587" s="5" t="s">
        <v>379</v>
      </c>
    </row>
    <row r="588" spans="1:6">
      <c r="A588" s="4">
        <f t="shared" si="9"/>
        <v>587</v>
      </c>
      <c r="B588" s="4" t="s">
        <v>384</v>
      </c>
      <c r="C588" s="5" t="s">
        <v>356</v>
      </c>
      <c r="D588" s="35">
        <v>45413</v>
      </c>
      <c r="E588" s="36">
        <v>35482.449999999997</v>
      </c>
      <c r="F588" s="5" t="s">
        <v>379</v>
      </c>
    </row>
    <row r="589" spans="1:6">
      <c r="A589" s="4">
        <f t="shared" si="9"/>
        <v>588</v>
      </c>
      <c r="B589" s="4" t="s">
        <v>385</v>
      </c>
      <c r="C589" s="5" t="s">
        <v>361</v>
      </c>
      <c r="D589" s="35">
        <v>45413</v>
      </c>
      <c r="E589" s="5">
        <v>21317000</v>
      </c>
      <c r="F589" s="5" t="s">
        <v>386</v>
      </c>
    </row>
    <row r="590" spans="1:6">
      <c r="A590" s="4">
        <f t="shared" si="9"/>
        <v>589</v>
      </c>
      <c r="B590" s="4" t="s">
        <v>385</v>
      </c>
      <c r="C590" s="5" t="s">
        <v>351</v>
      </c>
      <c r="D590" s="35">
        <v>45413</v>
      </c>
      <c r="E590" s="5">
        <v>17258660</v>
      </c>
      <c r="F590" s="5" t="s">
        <v>386</v>
      </c>
    </row>
    <row r="591" spans="1:6">
      <c r="A591" s="4">
        <f t="shared" si="9"/>
        <v>590</v>
      </c>
      <c r="B591" s="4" t="s">
        <v>385</v>
      </c>
      <c r="C591" s="5" t="s">
        <v>363</v>
      </c>
      <c r="D591" s="35">
        <v>45413</v>
      </c>
      <c r="E591" s="5">
        <v>15960000</v>
      </c>
      <c r="F591" s="5" t="s">
        <v>386</v>
      </c>
    </row>
    <row r="592" spans="1:6">
      <c r="A592" s="4">
        <f t="shared" si="9"/>
        <v>591</v>
      </c>
      <c r="B592" s="4" t="s">
        <v>380</v>
      </c>
      <c r="C592" s="5" t="s">
        <v>357</v>
      </c>
      <c r="D592" s="35">
        <v>45413</v>
      </c>
      <c r="E592" s="36">
        <v>5800</v>
      </c>
      <c r="F592" s="5" t="s">
        <v>379</v>
      </c>
    </row>
    <row r="593" spans="1:6">
      <c r="A593" s="4">
        <f t="shared" si="9"/>
        <v>592</v>
      </c>
      <c r="B593" s="4" t="s">
        <v>387</v>
      </c>
      <c r="C593" s="5" t="s">
        <v>354</v>
      </c>
      <c r="D593" s="38">
        <v>45383</v>
      </c>
      <c r="E593" s="36">
        <v>8023</v>
      </c>
      <c r="F593" s="5" t="s">
        <v>379</v>
      </c>
    </row>
    <row r="594" spans="1:6">
      <c r="A594" s="4">
        <f t="shared" si="9"/>
        <v>593</v>
      </c>
      <c r="B594" s="4" t="s">
        <v>381</v>
      </c>
      <c r="C594" s="5" t="s">
        <v>362</v>
      </c>
      <c r="D594" s="35">
        <v>45383</v>
      </c>
      <c r="E594" s="36">
        <v>6939.7</v>
      </c>
      <c r="F594" s="5" t="s">
        <v>379</v>
      </c>
    </row>
    <row r="595" spans="1:6">
      <c r="A595" s="4">
        <f t="shared" si="9"/>
        <v>594</v>
      </c>
      <c r="B595" s="4" t="s">
        <v>381</v>
      </c>
      <c r="C595" s="5" t="s">
        <v>357</v>
      </c>
      <c r="D595" s="35">
        <v>45383</v>
      </c>
      <c r="E595" s="36">
        <v>208309.47</v>
      </c>
      <c r="F595" s="5" t="s">
        <v>379</v>
      </c>
    </row>
    <row r="596" spans="1:6">
      <c r="A596" s="4">
        <f t="shared" si="9"/>
        <v>595</v>
      </c>
      <c r="B596" s="4" t="s">
        <v>381</v>
      </c>
      <c r="C596" s="5" t="s">
        <v>356</v>
      </c>
      <c r="D596" s="35">
        <v>45383</v>
      </c>
      <c r="E596" s="36">
        <v>4079.76</v>
      </c>
      <c r="F596" s="5" t="s">
        <v>379</v>
      </c>
    </row>
    <row r="597" spans="1:6">
      <c r="A597" s="4">
        <f t="shared" si="9"/>
        <v>596</v>
      </c>
      <c r="B597" s="4" t="s">
        <v>381</v>
      </c>
      <c r="C597" s="5" t="s">
        <v>353</v>
      </c>
      <c r="D597" s="35">
        <v>45383</v>
      </c>
      <c r="E597" s="36">
        <v>2816</v>
      </c>
      <c r="F597" s="5" t="s">
        <v>379</v>
      </c>
    </row>
    <row r="598" spans="1:6">
      <c r="A598" s="4">
        <f t="shared" si="9"/>
        <v>597</v>
      </c>
      <c r="B598" s="4" t="s">
        <v>381</v>
      </c>
      <c r="C598" s="5" t="s">
        <v>366</v>
      </c>
      <c r="D598" s="35">
        <v>45383</v>
      </c>
      <c r="E598" s="36">
        <v>2543.1999999999998</v>
      </c>
      <c r="F598" s="5" t="s">
        <v>379</v>
      </c>
    </row>
    <row r="599" spans="1:6">
      <c r="A599" s="4">
        <f t="shared" si="9"/>
        <v>598</v>
      </c>
      <c r="B599" s="4" t="s">
        <v>381</v>
      </c>
      <c r="C599" s="5" t="s">
        <v>358</v>
      </c>
      <c r="D599" s="35">
        <v>45383</v>
      </c>
      <c r="E599" s="36">
        <v>20124.650000000001</v>
      </c>
      <c r="F599" s="5" t="s">
        <v>379</v>
      </c>
    </row>
    <row r="600" spans="1:6">
      <c r="A600" s="4">
        <f t="shared" si="9"/>
        <v>599</v>
      </c>
      <c r="B600" s="4" t="s">
        <v>381</v>
      </c>
      <c r="C600" s="5" t="s">
        <v>365</v>
      </c>
      <c r="D600" s="35">
        <v>45383</v>
      </c>
      <c r="E600" s="36">
        <v>76304</v>
      </c>
      <c r="F600" s="5" t="s">
        <v>379</v>
      </c>
    </row>
    <row r="601" spans="1:6">
      <c r="A601" s="4">
        <f t="shared" si="9"/>
        <v>600</v>
      </c>
      <c r="B601" s="4" t="s">
        <v>381</v>
      </c>
      <c r="C601" s="5" t="s">
        <v>368</v>
      </c>
      <c r="D601" s="35">
        <v>45383</v>
      </c>
      <c r="E601" s="36">
        <v>4673.2</v>
      </c>
      <c r="F601" s="5" t="s">
        <v>379</v>
      </c>
    </row>
    <row r="602" spans="1:6">
      <c r="A602" s="4">
        <f t="shared" si="9"/>
        <v>601</v>
      </c>
      <c r="B602" s="4" t="s">
        <v>381</v>
      </c>
      <c r="C602" s="5" t="s">
        <v>370</v>
      </c>
      <c r="D602" s="35">
        <v>45383</v>
      </c>
      <c r="E602" s="36">
        <v>31740</v>
      </c>
      <c r="F602" s="5" t="s">
        <v>379</v>
      </c>
    </row>
    <row r="603" spans="1:6">
      <c r="A603" s="4">
        <f t="shared" si="9"/>
        <v>602</v>
      </c>
      <c r="B603" s="4" t="s">
        <v>382</v>
      </c>
      <c r="C603" s="5" t="s">
        <v>362</v>
      </c>
      <c r="D603" s="35">
        <v>45383</v>
      </c>
      <c r="E603" s="36">
        <v>14142</v>
      </c>
      <c r="F603" s="5" t="s">
        <v>379</v>
      </c>
    </row>
    <row r="604" spans="1:6">
      <c r="A604" s="4">
        <f t="shared" si="9"/>
        <v>603</v>
      </c>
      <c r="B604" s="4" t="s">
        <v>382</v>
      </c>
      <c r="C604" s="5" t="s">
        <v>357</v>
      </c>
      <c r="D604" s="35">
        <v>45383</v>
      </c>
      <c r="E604" s="36">
        <v>2484</v>
      </c>
      <c r="F604" s="5" t="s">
        <v>379</v>
      </c>
    </row>
    <row r="605" spans="1:6">
      <c r="A605" s="4">
        <f t="shared" si="9"/>
        <v>604</v>
      </c>
      <c r="B605" s="4" t="s">
        <v>382</v>
      </c>
      <c r="C605" s="5" t="s">
        <v>356</v>
      </c>
      <c r="D605" s="35">
        <v>45383</v>
      </c>
      <c r="E605" s="36">
        <v>8604.18</v>
      </c>
      <c r="F605" s="5" t="s">
        <v>379</v>
      </c>
    </row>
    <row r="606" spans="1:6">
      <c r="A606" s="4">
        <f t="shared" si="9"/>
        <v>605</v>
      </c>
      <c r="B606" s="4" t="s">
        <v>382</v>
      </c>
      <c r="C606" s="5" t="s">
        <v>353</v>
      </c>
      <c r="D606" s="35">
        <v>45383</v>
      </c>
      <c r="E606" s="36">
        <v>4582.5</v>
      </c>
      <c r="F606" s="5" t="s">
        <v>379</v>
      </c>
    </row>
    <row r="607" spans="1:6">
      <c r="A607" s="4">
        <f t="shared" si="9"/>
        <v>606</v>
      </c>
      <c r="B607" s="4" t="s">
        <v>382</v>
      </c>
      <c r="C607" s="5" t="s">
        <v>366</v>
      </c>
      <c r="D607" s="35">
        <v>45383</v>
      </c>
      <c r="E607" s="36">
        <v>32297.25</v>
      </c>
      <c r="F607" s="5" t="s">
        <v>379</v>
      </c>
    </row>
    <row r="608" spans="1:6">
      <c r="A608" s="4">
        <f t="shared" si="9"/>
        <v>607</v>
      </c>
      <c r="B608" s="4" t="s">
        <v>382</v>
      </c>
      <c r="C608" s="5" t="s">
        <v>358</v>
      </c>
      <c r="D608" s="35">
        <v>45383</v>
      </c>
      <c r="E608" s="36">
        <v>94532.800000000003</v>
      </c>
      <c r="F608" s="5" t="s">
        <v>379</v>
      </c>
    </row>
    <row r="609" spans="1:6">
      <c r="A609" s="4">
        <f t="shared" si="9"/>
        <v>608</v>
      </c>
      <c r="B609" s="4" t="s">
        <v>382</v>
      </c>
      <c r="C609" s="5" t="s">
        <v>365</v>
      </c>
      <c r="D609" s="35">
        <v>45383</v>
      </c>
      <c r="E609" s="36">
        <v>21320</v>
      </c>
      <c r="F609" s="5" t="s">
        <v>379</v>
      </c>
    </row>
    <row r="610" spans="1:6">
      <c r="A610" s="4">
        <f t="shared" si="9"/>
        <v>609</v>
      </c>
      <c r="B610" s="4" t="s">
        <v>382</v>
      </c>
      <c r="C610" s="5" t="s">
        <v>368</v>
      </c>
      <c r="D610" s="35">
        <v>45383</v>
      </c>
      <c r="E610" s="36">
        <v>27561.56</v>
      </c>
      <c r="F610" s="5" t="s">
        <v>379</v>
      </c>
    </row>
    <row r="611" spans="1:6">
      <c r="A611" s="4">
        <f t="shared" si="9"/>
        <v>610</v>
      </c>
      <c r="B611" s="4" t="s">
        <v>382</v>
      </c>
      <c r="C611" s="5" t="s">
        <v>370</v>
      </c>
      <c r="D611" s="35">
        <v>45383</v>
      </c>
      <c r="E611" s="36">
        <v>10368.4</v>
      </c>
      <c r="F611" s="5" t="s">
        <v>379</v>
      </c>
    </row>
    <row r="612" spans="1:6">
      <c r="A612" s="4">
        <f t="shared" si="9"/>
        <v>611</v>
      </c>
      <c r="B612" s="4" t="s">
        <v>382</v>
      </c>
      <c r="C612" s="5" t="s">
        <v>367</v>
      </c>
      <c r="D612" s="35">
        <v>45383</v>
      </c>
      <c r="E612" s="36">
        <v>36115.67</v>
      </c>
      <c r="F612" s="5" t="s">
        <v>379</v>
      </c>
    </row>
    <row r="613" spans="1:6">
      <c r="A613" s="4">
        <f t="shared" si="9"/>
        <v>612</v>
      </c>
      <c r="B613" s="4" t="s">
        <v>384</v>
      </c>
      <c r="C613" s="5" t="s">
        <v>360</v>
      </c>
      <c r="D613" s="35">
        <v>45383</v>
      </c>
      <c r="E613" s="36">
        <v>17373.8</v>
      </c>
      <c r="F613" s="5" t="s">
        <v>379</v>
      </c>
    </row>
    <row r="614" spans="1:6">
      <c r="A614" s="4">
        <f t="shared" si="9"/>
        <v>613</v>
      </c>
      <c r="B614" s="4" t="s">
        <v>385</v>
      </c>
      <c r="C614" s="5" t="s">
        <v>361</v>
      </c>
      <c r="D614" s="35">
        <v>45383</v>
      </c>
      <c r="E614" s="5">
        <v>22294160</v>
      </c>
      <c r="F614" s="5" t="s">
        <v>386</v>
      </c>
    </row>
    <row r="615" spans="1:6">
      <c r="A615" s="4">
        <f t="shared" si="9"/>
        <v>614</v>
      </c>
      <c r="B615" s="4" t="s">
        <v>385</v>
      </c>
      <c r="C615" s="5" t="s">
        <v>351</v>
      </c>
      <c r="D615" s="35">
        <v>45383</v>
      </c>
      <c r="E615" s="5">
        <v>17910315</v>
      </c>
      <c r="F615" s="5" t="s">
        <v>386</v>
      </c>
    </row>
    <row r="616" spans="1:6">
      <c r="A616" s="4">
        <f t="shared" si="9"/>
        <v>615</v>
      </c>
      <c r="B616" s="4" t="s">
        <v>385</v>
      </c>
      <c r="C616" s="5" t="s">
        <v>363</v>
      </c>
      <c r="D616" s="35">
        <v>45383</v>
      </c>
      <c r="E616" s="5">
        <v>15320000</v>
      </c>
      <c r="F616" s="5" t="s">
        <v>386</v>
      </c>
    </row>
    <row r="617" spans="1:6">
      <c r="A617" s="4">
        <f t="shared" si="9"/>
        <v>616</v>
      </c>
      <c r="B617" s="4" t="s">
        <v>380</v>
      </c>
      <c r="C617" s="5" t="s">
        <v>357</v>
      </c>
      <c r="D617" s="35">
        <v>45383</v>
      </c>
      <c r="E617" s="36">
        <v>5000</v>
      </c>
      <c r="F617" s="5" t="s">
        <v>379</v>
      </c>
    </row>
    <row r="618" spans="1:6">
      <c r="A618" s="4">
        <f t="shared" si="9"/>
        <v>617</v>
      </c>
      <c r="B618" s="4" t="s">
        <v>387</v>
      </c>
      <c r="C618" s="5" t="s">
        <v>354</v>
      </c>
      <c r="D618" s="38">
        <v>45352</v>
      </c>
      <c r="E618" s="36">
        <v>2480</v>
      </c>
      <c r="F618" s="5" t="s">
        <v>379</v>
      </c>
    </row>
    <row r="619" spans="1:6">
      <c r="A619" s="4">
        <f t="shared" si="9"/>
        <v>618</v>
      </c>
      <c r="B619" s="4" t="s">
        <v>381</v>
      </c>
      <c r="C619" s="5" t="s">
        <v>362</v>
      </c>
      <c r="D619" s="35">
        <v>45352</v>
      </c>
      <c r="E619" s="36">
        <v>2652.3</v>
      </c>
      <c r="F619" s="5" t="s">
        <v>379</v>
      </c>
    </row>
    <row r="620" spans="1:6">
      <c r="A620" s="4">
        <f t="shared" si="9"/>
        <v>619</v>
      </c>
      <c r="B620" s="4" t="s">
        <v>381</v>
      </c>
      <c r="C620" s="5" t="s">
        <v>357</v>
      </c>
      <c r="D620" s="35">
        <v>45352</v>
      </c>
      <c r="E620" s="36">
        <v>89888.08</v>
      </c>
      <c r="F620" s="5" t="s">
        <v>379</v>
      </c>
    </row>
    <row r="621" spans="1:6">
      <c r="A621" s="4">
        <f t="shared" si="9"/>
        <v>620</v>
      </c>
      <c r="B621" s="4" t="s">
        <v>381</v>
      </c>
      <c r="C621" s="5" t="s">
        <v>356</v>
      </c>
      <c r="D621" s="35">
        <v>45352</v>
      </c>
      <c r="E621" s="36">
        <v>2546.46</v>
      </c>
      <c r="F621" s="5" t="s">
        <v>379</v>
      </c>
    </row>
    <row r="622" spans="1:6">
      <c r="A622" s="4">
        <f t="shared" si="9"/>
        <v>621</v>
      </c>
      <c r="B622" s="4" t="s">
        <v>381</v>
      </c>
      <c r="C622" s="5" t="s">
        <v>353</v>
      </c>
      <c r="D622" s="35">
        <v>45352</v>
      </c>
      <c r="E622" s="36">
        <v>6862.07</v>
      </c>
      <c r="F622" s="5" t="s">
        <v>379</v>
      </c>
    </row>
    <row r="623" spans="1:6">
      <c r="A623" s="4">
        <f t="shared" si="9"/>
        <v>622</v>
      </c>
      <c r="B623" s="4" t="s">
        <v>381</v>
      </c>
      <c r="C623" s="5" t="s">
        <v>366</v>
      </c>
      <c r="D623" s="35">
        <v>45352</v>
      </c>
      <c r="E623" s="36">
        <v>466.4</v>
      </c>
      <c r="F623" s="5" t="s">
        <v>379</v>
      </c>
    </row>
    <row r="624" spans="1:6">
      <c r="A624" s="4">
        <f t="shared" si="9"/>
        <v>623</v>
      </c>
      <c r="B624" s="4" t="s">
        <v>381</v>
      </c>
      <c r="C624" s="5" t="s">
        <v>358</v>
      </c>
      <c r="D624" s="35">
        <v>45352</v>
      </c>
      <c r="E624" s="36">
        <v>40800.259999999995</v>
      </c>
      <c r="F624" s="5" t="s">
        <v>379</v>
      </c>
    </row>
    <row r="625" spans="1:6">
      <c r="A625" s="4">
        <f t="shared" si="9"/>
        <v>624</v>
      </c>
      <c r="B625" s="4" t="s">
        <v>381</v>
      </c>
      <c r="C625" s="5" t="s">
        <v>365</v>
      </c>
      <c r="D625" s="35">
        <v>45352</v>
      </c>
      <c r="E625" s="36">
        <v>62064</v>
      </c>
      <c r="F625" s="5" t="s">
        <v>379</v>
      </c>
    </row>
    <row r="626" spans="1:6">
      <c r="A626" s="4">
        <f t="shared" si="9"/>
        <v>625</v>
      </c>
      <c r="B626" s="4" t="s">
        <v>381</v>
      </c>
      <c r="C626" s="5" t="s">
        <v>368</v>
      </c>
      <c r="D626" s="35">
        <v>45352</v>
      </c>
      <c r="E626" s="36">
        <v>1221</v>
      </c>
      <c r="F626" s="5" t="s">
        <v>379</v>
      </c>
    </row>
    <row r="627" spans="1:6">
      <c r="A627" s="4">
        <f t="shared" si="9"/>
        <v>626</v>
      </c>
      <c r="B627" s="4" t="s">
        <v>381</v>
      </c>
      <c r="C627" s="5" t="s">
        <v>370</v>
      </c>
      <c r="D627" s="35">
        <v>45352</v>
      </c>
      <c r="E627" s="36">
        <v>22632</v>
      </c>
      <c r="F627" s="5" t="s">
        <v>379</v>
      </c>
    </row>
    <row r="628" spans="1:6">
      <c r="A628" s="4">
        <f t="shared" si="9"/>
        <v>627</v>
      </c>
      <c r="B628" s="4" t="s">
        <v>382</v>
      </c>
      <c r="C628" s="5" t="s">
        <v>362</v>
      </c>
      <c r="D628" s="35">
        <v>45352</v>
      </c>
      <c r="E628" s="36">
        <v>11343</v>
      </c>
      <c r="F628" s="5" t="s">
        <v>379</v>
      </c>
    </row>
    <row r="629" spans="1:6">
      <c r="A629" s="4">
        <f t="shared" si="9"/>
        <v>628</v>
      </c>
      <c r="B629" s="4" t="s">
        <v>382</v>
      </c>
      <c r="C629" s="5" t="s">
        <v>357</v>
      </c>
      <c r="D629" s="35">
        <v>45352</v>
      </c>
      <c r="E629" s="36">
        <v>6573.5</v>
      </c>
      <c r="F629" s="5" t="s">
        <v>379</v>
      </c>
    </row>
    <row r="630" spans="1:6">
      <c r="A630" s="4">
        <f t="shared" si="9"/>
        <v>629</v>
      </c>
      <c r="B630" s="4" t="s">
        <v>382</v>
      </c>
      <c r="C630" s="5" t="s">
        <v>356</v>
      </c>
      <c r="D630" s="35">
        <v>45352</v>
      </c>
      <c r="E630" s="36">
        <v>8731</v>
      </c>
      <c r="F630" s="5" t="s">
        <v>379</v>
      </c>
    </row>
    <row r="631" spans="1:6">
      <c r="A631" s="4">
        <f t="shared" si="9"/>
        <v>630</v>
      </c>
      <c r="B631" s="4" t="s">
        <v>382</v>
      </c>
      <c r="C631" s="5" t="s">
        <v>353</v>
      </c>
      <c r="D631" s="35">
        <v>45352</v>
      </c>
      <c r="E631" s="36">
        <v>11583</v>
      </c>
      <c r="F631" s="5" t="s">
        <v>379</v>
      </c>
    </row>
    <row r="632" spans="1:6">
      <c r="A632" s="4">
        <f t="shared" si="9"/>
        <v>631</v>
      </c>
      <c r="B632" s="4" t="s">
        <v>382</v>
      </c>
      <c r="C632" s="5" t="s">
        <v>354</v>
      </c>
      <c r="D632" s="35">
        <v>45352</v>
      </c>
      <c r="E632" s="36">
        <v>3067.6400000000003</v>
      </c>
      <c r="F632" s="5" t="s">
        <v>379</v>
      </c>
    </row>
    <row r="633" spans="1:6">
      <c r="A633" s="4">
        <f t="shared" si="9"/>
        <v>632</v>
      </c>
      <c r="B633" s="4" t="s">
        <v>382</v>
      </c>
      <c r="C633" s="5" t="s">
        <v>366</v>
      </c>
      <c r="D633" s="35">
        <v>45352</v>
      </c>
      <c r="E633" s="36">
        <v>30384</v>
      </c>
      <c r="F633" s="5" t="s">
        <v>379</v>
      </c>
    </row>
    <row r="634" spans="1:6">
      <c r="A634" s="4">
        <f t="shared" si="9"/>
        <v>633</v>
      </c>
      <c r="B634" s="4" t="s">
        <v>382</v>
      </c>
      <c r="C634" s="5" t="s">
        <v>358</v>
      </c>
      <c r="D634" s="35">
        <v>45352</v>
      </c>
      <c r="E634" s="36">
        <v>72034.03</v>
      </c>
      <c r="F634" s="5" t="s">
        <v>379</v>
      </c>
    </row>
    <row r="635" spans="1:6">
      <c r="A635" s="4">
        <f t="shared" si="9"/>
        <v>634</v>
      </c>
      <c r="B635" s="4" t="s">
        <v>382</v>
      </c>
      <c r="C635" s="5" t="s">
        <v>365</v>
      </c>
      <c r="D635" s="35">
        <v>45352</v>
      </c>
      <c r="E635" s="36">
        <v>43216</v>
      </c>
      <c r="F635" s="5" t="s">
        <v>379</v>
      </c>
    </row>
    <row r="636" spans="1:6">
      <c r="A636" s="4">
        <f t="shared" si="9"/>
        <v>635</v>
      </c>
      <c r="B636" s="4" t="s">
        <v>382</v>
      </c>
      <c r="C636" s="5" t="s">
        <v>368</v>
      </c>
      <c r="D636" s="35">
        <v>45352</v>
      </c>
      <c r="E636" s="36">
        <v>15400</v>
      </c>
      <c r="F636" s="5" t="s">
        <v>379</v>
      </c>
    </row>
    <row r="637" spans="1:6">
      <c r="A637" s="4">
        <f t="shared" si="9"/>
        <v>636</v>
      </c>
      <c r="B637" s="4" t="s">
        <v>382</v>
      </c>
      <c r="C637" s="5" t="s">
        <v>370</v>
      </c>
      <c r="D637" s="35">
        <v>45352</v>
      </c>
      <c r="E637" s="36">
        <v>11426.4</v>
      </c>
      <c r="F637" s="5" t="s">
        <v>379</v>
      </c>
    </row>
    <row r="638" spans="1:6">
      <c r="A638" s="4">
        <f t="shared" si="9"/>
        <v>637</v>
      </c>
      <c r="B638" s="4" t="s">
        <v>382</v>
      </c>
      <c r="C638" s="5" t="s">
        <v>367</v>
      </c>
      <c r="D638" s="35">
        <v>45352</v>
      </c>
      <c r="E638" s="36">
        <v>10936.92</v>
      </c>
      <c r="F638" s="5" t="s">
        <v>379</v>
      </c>
    </row>
    <row r="639" spans="1:6">
      <c r="A639" s="4">
        <f t="shared" si="9"/>
        <v>638</v>
      </c>
      <c r="B639" s="4" t="s">
        <v>384</v>
      </c>
      <c r="C639" s="5" t="s">
        <v>360</v>
      </c>
      <c r="D639" s="35">
        <v>45352</v>
      </c>
      <c r="E639" s="36">
        <v>28515.8</v>
      </c>
      <c r="F639" s="5" t="s">
        <v>379</v>
      </c>
    </row>
    <row r="640" spans="1:6">
      <c r="A640" s="4">
        <f t="shared" si="9"/>
        <v>639</v>
      </c>
      <c r="B640" s="4" t="s">
        <v>385</v>
      </c>
      <c r="C640" s="5" t="s">
        <v>361</v>
      </c>
      <c r="D640" s="35">
        <v>45352</v>
      </c>
      <c r="E640" s="5">
        <v>34115302</v>
      </c>
      <c r="F640" s="5" t="s">
        <v>386</v>
      </c>
    </row>
    <row r="641" spans="1:6">
      <c r="A641" s="4">
        <f t="shared" si="9"/>
        <v>640</v>
      </c>
      <c r="B641" s="4" t="s">
        <v>385</v>
      </c>
      <c r="C641" s="5" t="s">
        <v>351</v>
      </c>
      <c r="D641" s="35">
        <v>45352</v>
      </c>
      <c r="E641" s="5">
        <v>31106795</v>
      </c>
      <c r="F641" s="5" t="s">
        <v>386</v>
      </c>
    </row>
    <row r="642" spans="1:6">
      <c r="A642" s="4">
        <f t="shared" si="9"/>
        <v>641</v>
      </c>
      <c r="B642" s="4" t="s">
        <v>385</v>
      </c>
      <c r="C642" s="5" t="s">
        <v>357</v>
      </c>
      <c r="D642" s="35">
        <v>45352</v>
      </c>
      <c r="E642" s="5">
        <v>516560</v>
      </c>
      <c r="F642" s="5" t="s">
        <v>386</v>
      </c>
    </row>
    <row r="643" spans="1:6">
      <c r="A643" s="4">
        <f t="shared" si="9"/>
        <v>642</v>
      </c>
      <c r="B643" s="4" t="s">
        <v>385</v>
      </c>
      <c r="C643" s="5" t="s">
        <v>363</v>
      </c>
      <c r="D643" s="35">
        <v>45352</v>
      </c>
      <c r="E643" s="5">
        <v>11030828</v>
      </c>
      <c r="F643" s="5" t="s">
        <v>386</v>
      </c>
    </row>
    <row r="644" spans="1:6">
      <c r="A644" s="4">
        <f t="shared" si="9"/>
        <v>643</v>
      </c>
      <c r="B644" s="4" t="s">
        <v>380</v>
      </c>
      <c r="C644" s="5" t="s">
        <v>357</v>
      </c>
      <c r="D644" s="35">
        <v>45352</v>
      </c>
      <c r="E644" s="36">
        <v>3800</v>
      </c>
      <c r="F644" s="5" t="s">
        <v>379</v>
      </c>
    </row>
    <row r="645" spans="1:6">
      <c r="A645" s="4">
        <f t="shared" si="9"/>
        <v>644</v>
      </c>
      <c r="B645" s="4" t="s">
        <v>387</v>
      </c>
      <c r="C645" s="5" t="s">
        <v>354</v>
      </c>
      <c r="D645" s="38">
        <v>45323</v>
      </c>
      <c r="E645" s="36">
        <v>2959</v>
      </c>
      <c r="F645" s="5" t="s">
        <v>379</v>
      </c>
    </row>
    <row r="646" spans="1:6">
      <c r="A646" s="4">
        <f t="shared" si="9"/>
        <v>645</v>
      </c>
      <c r="B646" s="4" t="s">
        <v>381</v>
      </c>
      <c r="C646" s="5" t="s">
        <v>362</v>
      </c>
      <c r="D646" s="35">
        <v>45323</v>
      </c>
      <c r="E646" s="36">
        <v>4101</v>
      </c>
      <c r="F646" s="5" t="s">
        <v>379</v>
      </c>
    </row>
    <row r="647" spans="1:6">
      <c r="A647" s="4">
        <f t="shared" si="9"/>
        <v>646</v>
      </c>
      <c r="B647" s="4" t="s">
        <v>381</v>
      </c>
      <c r="C647" s="5" t="s">
        <v>357</v>
      </c>
      <c r="D647" s="35">
        <v>45323</v>
      </c>
      <c r="E647" s="36">
        <v>208580.1</v>
      </c>
      <c r="F647" s="5" t="s">
        <v>379</v>
      </c>
    </row>
    <row r="648" spans="1:6">
      <c r="A648" s="4">
        <f t="shared" si="9"/>
        <v>647</v>
      </c>
      <c r="B648" s="4" t="s">
        <v>381</v>
      </c>
      <c r="C648" s="5" t="s">
        <v>356</v>
      </c>
      <c r="D648" s="35">
        <v>45323</v>
      </c>
      <c r="E648" s="36">
        <v>6650.4</v>
      </c>
      <c r="F648" s="5" t="s">
        <v>379</v>
      </c>
    </row>
    <row r="649" spans="1:6">
      <c r="A649" s="4">
        <f t="shared" si="9"/>
        <v>648</v>
      </c>
      <c r="B649" s="4" t="s">
        <v>381</v>
      </c>
      <c r="C649" s="5" t="s">
        <v>353</v>
      </c>
      <c r="D649" s="35">
        <v>45323</v>
      </c>
      <c r="E649" s="36">
        <v>9447.380000000001</v>
      </c>
      <c r="F649" s="5" t="s">
        <v>379</v>
      </c>
    </row>
    <row r="650" spans="1:6">
      <c r="A650" s="4">
        <f t="shared" si="9"/>
        <v>649</v>
      </c>
      <c r="B650" s="4" t="s">
        <v>381</v>
      </c>
      <c r="C650" s="5" t="s">
        <v>366</v>
      </c>
      <c r="D650" s="35">
        <v>45323</v>
      </c>
      <c r="E650" s="36">
        <v>3300.6</v>
      </c>
      <c r="F650" s="5" t="s">
        <v>379</v>
      </c>
    </row>
    <row r="651" spans="1:6">
      <c r="A651" s="4">
        <f t="shared" ref="A651:A714" si="10">ROW()-1</f>
        <v>650</v>
      </c>
      <c r="B651" s="4" t="s">
        <v>381</v>
      </c>
      <c r="C651" s="5" t="s">
        <v>358</v>
      </c>
      <c r="D651" s="35">
        <v>45323</v>
      </c>
      <c r="E651" s="36">
        <v>82757.700000000012</v>
      </c>
      <c r="F651" s="5" t="s">
        <v>379</v>
      </c>
    </row>
    <row r="652" spans="1:6">
      <c r="A652" s="4">
        <f t="shared" si="10"/>
        <v>651</v>
      </c>
      <c r="B652" s="4" t="s">
        <v>381</v>
      </c>
      <c r="C652" s="5" t="s">
        <v>365</v>
      </c>
      <c r="D652" s="35">
        <v>45323</v>
      </c>
      <c r="E652" s="36">
        <v>42224</v>
      </c>
      <c r="F652" s="5" t="s">
        <v>379</v>
      </c>
    </row>
    <row r="653" spans="1:6">
      <c r="A653" s="4">
        <f t="shared" si="10"/>
        <v>652</v>
      </c>
      <c r="B653" s="4" t="s">
        <v>381</v>
      </c>
      <c r="C653" s="5" t="s">
        <v>368</v>
      </c>
      <c r="D653" s="35">
        <v>45323</v>
      </c>
      <c r="E653" s="36">
        <v>6046.5999999999995</v>
      </c>
      <c r="F653" s="5" t="s">
        <v>379</v>
      </c>
    </row>
    <row r="654" spans="1:6">
      <c r="A654" s="4">
        <f t="shared" si="10"/>
        <v>653</v>
      </c>
      <c r="B654" s="4" t="s">
        <v>381</v>
      </c>
      <c r="C654" s="5" t="s">
        <v>369</v>
      </c>
      <c r="D654" s="35">
        <v>45323</v>
      </c>
      <c r="E654" s="36">
        <v>2550</v>
      </c>
      <c r="F654" s="5" t="s">
        <v>379</v>
      </c>
    </row>
    <row r="655" spans="1:6">
      <c r="A655" s="4">
        <f t="shared" si="10"/>
        <v>654</v>
      </c>
      <c r="B655" s="4" t="s">
        <v>381</v>
      </c>
      <c r="C655" s="5" t="s">
        <v>370</v>
      </c>
      <c r="D655" s="35">
        <v>45323</v>
      </c>
      <c r="E655" s="36">
        <v>60214</v>
      </c>
      <c r="F655" s="5" t="s">
        <v>379</v>
      </c>
    </row>
    <row r="656" spans="1:6">
      <c r="A656" s="4">
        <f t="shared" si="10"/>
        <v>655</v>
      </c>
      <c r="B656" s="4" t="s">
        <v>382</v>
      </c>
      <c r="C656" s="5" t="s">
        <v>362</v>
      </c>
      <c r="D656" s="35">
        <v>45323</v>
      </c>
      <c r="E656" s="36">
        <v>11872</v>
      </c>
      <c r="F656" s="5" t="s">
        <v>379</v>
      </c>
    </row>
    <row r="657" spans="1:6">
      <c r="A657" s="4">
        <f t="shared" si="10"/>
        <v>656</v>
      </c>
      <c r="B657" s="4" t="s">
        <v>382</v>
      </c>
      <c r="C657" s="5" t="s">
        <v>357</v>
      </c>
      <c r="D657" s="35">
        <v>45323</v>
      </c>
      <c r="E657" s="36">
        <v>6692.5</v>
      </c>
      <c r="F657" s="5" t="s">
        <v>379</v>
      </c>
    </row>
    <row r="658" spans="1:6">
      <c r="A658" s="4">
        <f t="shared" si="10"/>
        <v>657</v>
      </c>
      <c r="B658" s="4" t="s">
        <v>382</v>
      </c>
      <c r="C658" s="5" t="s">
        <v>356</v>
      </c>
      <c r="D658" s="35">
        <v>45323</v>
      </c>
      <c r="E658" s="36">
        <v>10630.18</v>
      </c>
      <c r="F658" s="5" t="s">
        <v>379</v>
      </c>
    </row>
    <row r="659" spans="1:6">
      <c r="A659" s="4">
        <f t="shared" si="10"/>
        <v>658</v>
      </c>
      <c r="B659" s="4" t="s">
        <v>382</v>
      </c>
      <c r="C659" s="5" t="s">
        <v>353</v>
      </c>
      <c r="D659" s="35">
        <v>45323</v>
      </c>
      <c r="E659" s="36">
        <v>17486.5</v>
      </c>
      <c r="F659" s="5" t="s">
        <v>379</v>
      </c>
    </row>
    <row r="660" spans="1:6">
      <c r="A660" s="4">
        <f t="shared" si="10"/>
        <v>659</v>
      </c>
      <c r="B660" s="4" t="s">
        <v>382</v>
      </c>
      <c r="C660" s="5" t="s">
        <v>354</v>
      </c>
      <c r="D660" s="35">
        <v>45323</v>
      </c>
      <c r="E660" s="36">
        <v>1727.4</v>
      </c>
      <c r="F660" s="5" t="s">
        <v>379</v>
      </c>
    </row>
    <row r="661" spans="1:6">
      <c r="A661" s="4">
        <f t="shared" si="10"/>
        <v>660</v>
      </c>
      <c r="B661" s="4" t="s">
        <v>382</v>
      </c>
      <c r="C661" s="5" t="s">
        <v>366</v>
      </c>
      <c r="D661" s="35">
        <v>45323</v>
      </c>
      <c r="E661" s="36">
        <v>25263.599999999999</v>
      </c>
      <c r="F661" s="5" t="s">
        <v>379</v>
      </c>
    </row>
    <row r="662" spans="1:6">
      <c r="A662" s="4">
        <f t="shared" si="10"/>
        <v>661</v>
      </c>
      <c r="B662" s="4" t="s">
        <v>382</v>
      </c>
      <c r="C662" s="5" t="s">
        <v>358</v>
      </c>
      <c r="D662" s="35">
        <v>45323</v>
      </c>
      <c r="E662" s="36">
        <v>101737.59</v>
      </c>
      <c r="F662" s="5" t="s">
        <v>379</v>
      </c>
    </row>
    <row r="663" spans="1:6">
      <c r="A663" s="4">
        <f t="shared" si="10"/>
        <v>662</v>
      </c>
      <c r="B663" s="4" t="s">
        <v>382</v>
      </c>
      <c r="C663" s="5" t="s">
        <v>365</v>
      </c>
      <c r="D663" s="35">
        <v>45323</v>
      </c>
      <c r="E663" s="36">
        <v>39676</v>
      </c>
      <c r="F663" s="5" t="s">
        <v>379</v>
      </c>
    </row>
    <row r="664" spans="1:6">
      <c r="A664" s="4">
        <f t="shared" si="10"/>
        <v>663</v>
      </c>
      <c r="B664" s="4" t="s">
        <v>382</v>
      </c>
      <c r="C664" s="5" t="s">
        <v>368</v>
      </c>
      <c r="D664" s="35">
        <v>45323</v>
      </c>
      <c r="E664" s="36">
        <v>14198.88</v>
      </c>
      <c r="F664" s="5" t="s">
        <v>379</v>
      </c>
    </row>
    <row r="665" spans="1:6">
      <c r="A665" s="4">
        <f t="shared" si="10"/>
        <v>664</v>
      </c>
      <c r="B665" s="4" t="s">
        <v>382</v>
      </c>
      <c r="C665" s="5" t="s">
        <v>370</v>
      </c>
      <c r="D665" s="35">
        <v>45323</v>
      </c>
      <c r="E665" s="36">
        <v>11426.4</v>
      </c>
      <c r="F665" s="5" t="s">
        <v>379</v>
      </c>
    </row>
    <row r="666" spans="1:6">
      <c r="A666" s="4">
        <f t="shared" si="10"/>
        <v>665</v>
      </c>
      <c r="B666" s="4" t="s">
        <v>382</v>
      </c>
      <c r="C666" s="5" t="s">
        <v>367</v>
      </c>
      <c r="D666" s="35">
        <v>45323</v>
      </c>
      <c r="E666" s="36">
        <v>33560.71</v>
      </c>
      <c r="F666" s="5" t="s">
        <v>379</v>
      </c>
    </row>
    <row r="667" spans="1:6">
      <c r="A667" s="4">
        <f t="shared" si="10"/>
        <v>666</v>
      </c>
      <c r="B667" s="4" t="s">
        <v>384</v>
      </c>
      <c r="C667" s="5" t="s">
        <v>360</v>
      </c>
      <c r="D667" s="35">
        <v>45323</v>
      </c>
      <c r="E667" s="36">
        <v>23813.200000000001</v>
      </c>
      <c r="F667" s="5" t="s">
        <v>379</v>
      </c>
    </row>
    <row r="668" spans="1:6">
      <c r="A668" s="4">
        <f t="shared" si="10"/>
        <v>667</v>
      </c>
      <c r="B668" s="4" t="s">
        <v>385</v>
      </c>
      <c r="C668" s="5" t="s">
        <v>361</v>
      </c>
      <c r="D668" s="35">
        <v>45323</v>
      </c>
      <c r="E668" s="5">
        <v>24121830</v>
      </c>
      <c r="F668" s="5" t="s">
        <v>386</v>
      </c>
    </row>
    <row r="669" spans="1:6">
      <c r="A669" s="4">
        <f t="shared" si="10"/>
        <v>668</v>
      </c>
      <c r="B669" s="4" t="s">
        <v>385</v>
      </c>
      <c r="C669" s="5" t="s">
        <v>351</v>
      </c>
      <c r="D669" s="35">
        <v>45323</v>
      </c>
      <c r="E669" s="5">
        <v>5139333</v>
      </c>
      <c r="F669" s="5" t="s">
        <v>386</v>
      </c>
    </row>
    <row r="670" spans="1:6">
      <c r="A670" s="4">
        <f t="shared" si="10"/>
        <v>669</v>
      </c>
      <c r="B670" s="4" t="s">
        <v>385</v>
      </c>
      <c r="C670" s="5" t="s">
        <v>357</v>
      </c>
      <c r="D670" s="35">
        <v>45323</v>
      </c>
      <c r="E670" s="5">
        <v>939120</v>
      </c>
      <c r="F670" s="5" t="s">
        <v>386</v>
      </c>
    </row>
    <row r="671" spans="1:6">
      <c r="A671" s="4">
        <f t="shared" si="10"/>
        <v>670</v>
      </c>
      <c r="B671" s="4" t="s">
        <v>385</v>
      </c>
      <c r="C671" s="5" t="s">
        <v>363</v>
      </c>
      <c r="D671" s="35">
        <v>45323</v>
      </c>
      <c r="E671" s="5">
        <v>9308790</v>
      </c>
      <c r="F671" s="5" t="s">
        <v>386</v>
      </c>
    </row>
    <row r="672" spans="1:6">
      <c r="A672" s="4">
        <f t="shared" si="10"/>
        <v>671</v>
      </c>
      <c r="B672" s="4" t="s">
        <v>380</v>
      </c>
      <c r="C672" s="5" t="s">
        <v>357</v>
      </c>
      <c r="D672" s="35">
        <v>45323</v>
      </c>
      <c r="E672" s="36">
        <v>1600</v>
      </c>
      <c r="F672" s="5" t="s">
        <v>379</v>
      </c>
    </row>
    <row r="673" spans="1:6">
      <c r="A673" s="4">
        <f t="shared" si="10"/>
        <v>672</v>
      </c>
      <c r="B673" s="4" t="s">
        <v>387</v>
      </c>
      <c r="C673" s="5" t="s">
        <v>354</v>
      </c>
      <c r="D673" s="38">
        <v>45292</v>
      </c>
      <c r="E673" s="36">
        <v>13439</v>
      </c>
      <c r="F673" s="5" t="s">
        <v>379</v>
      </c>
    </row>
    <row r="674" spans="1:6">
      <c r="A674" s="4">
        <f t="shared" si="10"/>
        <v>673</v>
      </c>
      <c r="B674" s="4" t="s">
        <v>381</v>
      </c>
      <c r="C674" s="5" t="s">
        <v>362</v>
      </c>
      <c r="D674" s="35">
        <v>45292</v>
      </c>
      <c r="E674" s="36">
        <v>6027.68</v>
      </c>
      <c r="F674" s="5" t="s">
        <v>379</v>
      </c>
    </row>
    <row r="675" spans="1:6">
      <c r="A675" s="4">
        <f t="shared" si="10"/>
        <v>674</v>
      </c>
      <c r="B675" s="4" t="s">
        <v>381</v>
      </c>
      <c r="C675" s="5" t="s">
        <v>357</v>
      </c>
      <c r="D675" s="35">
        <v>45292</v>
      </c>
      <c r="E675" s="36">
        <v>46354.35</v>
      </c>
      <c r="F675" s="5" t="s">
        <v>379</v>
      </c>
    </row>
    <row r="676" spans="1:6">
      <c r="A676" s="4">
        <f t="shared" si="10"/>
        <v>675</v>
      </c>
      <c r="B676" s="4" t="s">
        <v>381</v>
      </c>
      <c r="C676" s="5" t="s">
        <v>353</v>
      </c>
      <c r="D676" s="35">
        <v>45292</v>
      </c>
      <c r="E676" s="36">
        <v>8195.2799999999988</v>
      </c>
      <c r="F676" s="5" t="s">
        <v>379</v>
      </c>
    </row>
    <row r="677" spans="1:6">
      <c r="A677" s="4">
        <f t="shared" si="10"/>
        <v>676</v>
      </c>
      <c r="B677" s="4" t="s">
        <v>381</v>
      </c>
      <c r="C677" s="5" t="s">
        <v>366</v>
      </c>
      <c r="D677" s="35">
        <v>45292</v>
      </c>
      <c r="E677" s="36">
        <v>9279.4</v>
      </c>
      <c r="F677" s="5" t="s">
        <v>379</v>
      </c>
    </row>
    <row r="678" spans="1:6">
      <c r="A678" s="4">
        <f t="shared" si="10"/>
        <v>677</v>
      </c>
      <c r="B678" s="4" t="s">
        <v>381</v>
      </c>
      <c r="C678" s="5" t="s">
        <v>358</v>
      </c>
      <c r="D678" s="35">
        <v>45292</v>
      </c>
      <c r="E678" s="36">
        <v>53344.490000000005</v>
      </c>
      <c r="F678" s="5" t="s">
        <v>379</v>
      </c>
    </row>
    <row r="679" spans="1:6">
      <c r="A679" s="4">
        <f t="shared" si="10"/>
        <v>678</v>
      </c>
      <c r="B679" s="4" t="s">
        <v>381</v>
      </c>
      <c r="C679" s="5" t="s">
        <v>365</v>
      </c>
      <c r="D679" s="35">
        <v>45292</v>
      </c>
      <c r="E679" s="36">
        <v>30532</v>
      </c>
      <c r="F679" s="5" t="s">
        <v>379</v>
      </c>
    </row>
    <row r="680" spans="1:6">
      <c r="A680" s="4">
        <f t="shared" si="10"/>
        <v>679</v>
      </c>
      <c r="B680" s="4" t="s">
        <v>381</v>
      </c>
      <c r="C680" s="5" t="s">
        <v>368</v>
      </c>
      <c r="D680" s="35">
        <v>45292</v>
      </c>
      <c r="E680" s="36">
        <v>15175.240000000002</v>
      </c>
      <c r="F680" s="5" t="s">
        <v>379</v>
      </c>
    </row>
    <row r="681" spans="1:6">
      <c r="A681" s="4">
        <f t="shared" si="10"/>
        <v>680</v>
      </c>
      <c r="B681" s="4" t="s">
        <v>381</v>
      </c>
      <c r="C681" s="5" t="s">
        <v>369</v>
      </c>
      <c r="D681" s="35">
        <v>45292</v>
      </c>
      <c r="E681" s="36">
        <v>4248</v>
      </c>
      <c r="F681" s="5" t="s">
        <v>379</v>
      </c>
    </row>
    <row r="682" spans="1:6">
      <c r="A682" s="4">
        <f t="shared" si="10"/>
        <v>681</v>
      </c>
      <c r="B682" s="4" t="s">
        <v>381</v>
      </c>
      <c r="C682" s="5" t="s">
        <v>370</v>
      </c>
      <c r="D682" s="35">
        <v>45292</v>
      </c>
      <c r="E682" s="36">
        <v>37191</v>
      </c>
      <c r="F682" s="5" t="s">
        <v>379</v>
      </c>
    </row>
    <row r="683" spans="1:6">
      <c r="A683" s="4">
        <f t="shared" si="10"/>
        <v>682</v>
      </c>
      <c r="B683" s="4" t="s">
        <v>382</v>
      </c>
      <c r="C683" s="5" t="s">
        <v>362</v>
      </c>
      <c r="D683" s="35">
        <v>45292</v>
      </c>
      <c r="E683" s="36">
        <v>6916.94</v>
      </c>
      <c r="F683" s="5" t="s">
        <v>379</v>
      </c>
    </row>
    <row r="684" spans="1:6">
      <c r="A684" s="4">
        <f t="shared" si="10"/>
        <v>683</v>
      </c>
      <c r="B684" s="4" t="s">
        <v>382</v>
      </c>
      <c r="C684" s="5" t="s">
        <v>357</v>
      </c>
      <c r="D684" s="35">
        <v>45292</v>
      </c>
      <c r="E684" s="36">
        <v>3485</v>
      </c>
      <c r="F684" s="5" t="s">
        <v>379</v>
      </c>
    </row>
    <row r="685" spans="1:6">
      <c r="A685" s="4">
        <f t="shared" si="10"/>
        <v>684</v>
      </c>
      <c r="B685" s="4" t="s">
        <v>382</v>
      </c>
      <c r="C685" s="5" t="s">
        <v>356</v>
      </c>
      <c r="D685" s="35">
        <v>45292</v>
      </c>
      <c r="E685" s="36">
        <v>3657</v>
      </c>
      <c r="F685" s="5" t="s">
        <v>379</v>
      </c>
    </row>
    <row r="686" spans="1:6">
      <c r="A686" s="4">
        <f t="shared" si="10"/>
        <v>685</v>
      </c>
      <c r="B686" s="4" t="s">
        <v>382</v>
      </c>
      <c r="C686" s="5" t="s">
        <v>353</v>
      </c>
      <c r="D686" s="35">
        <v>45292</v>
      </c>
      <c r="E686" s="36">
        <v>11699.5</v>
      </c>
      <c r="F686" s="5" t="s">
        <v>379</v>
      </c>
    </row>
    <row r="687" spans="1:6">
      <c r="A687" s="4">
        <f t="shared" si="10"/>
        <v>686</v>
      </c>
      <c r="B687" s="4" t="s">
        <v>382</v>
      </c>
      <c r="C687" s="5" t="s">
        <v>354</v>
      </c>
      <c r="D687" s="35">
        <v>45292</v>
      </c>
      <c r="E687" s="36">
        <v>2669.6</v>
      </c>
      <c r="F687" s="5" t="s">
        <v>379</v>
      </c>
    </row>
    <row r="688" spans="1:6">
      <c r="A688" s="4">
        <f t="shared" si="10"/>
        <v>687</v>
      </c>
      <c r="B688" s="4" t="s">
        <v>382</v>
      </c>
      <c r="C688" s="5" t="s">
        <v>366</v>
      </c>
      <c r="D688" s="35">
        <v>45292</v>
      </c>
      <c r="E688" s="36">
        <v>30459</v>
      </c>
      <c r="F688" s="5" t="s">
        <v>379</v>
      </c>
    </row>
    <row r="689" spans="1:6">
      <c r="A689" s="4">
        <f t="shared" si="10"/>
        <v>688</v>
      </c>
      <c r="B689" s="4" t="s">
        <v>382</v>
      </c>
      <c r="C689" s="5" t="s">
        <v>358</v>
      </c>
      <c r="D689" s="35">
        <v>45292</v>
      </c>
      <c r="E689" s="36">
        <v>94788.94</v>
      </c>
      <c r="F689" s="5" t="s">
        <v>379</v>
      </c>
    </row>
    <row r="690" spans="1:6">
      <c r="A690" s="4">
        <f t="shared" si="10"/>
        <v>689</v>
      </c>
      <c r="B690" s="4" t="s">
        <v>382</v>
      </c>
      <c r="C690" s="5" t="s">
        <v>365</v>
      </c>
      <c r="D690" s="35">
        <v>45292</v>
      </c>
      <c r="E690" s="36">
        <v>54912</v>
      </c>
      <c r="F690" s="5" t="s">
        <v>379</v>
      </c>
    </row>
    <row r="691" spans="1:6">
      <c r="A691" s="4">
        <f t="shared" si="10"/>
        <v>690</v>
      </c>
      <c r="B691" s="4" t="s">
        <v>382</v>
      </c>
      <c r="C691" s="5" t="s">
        <v>368</v>
      </c>
      <c r="D691" s="35">
        <v>45292</v>
      </c>
      <c r="E691" s="36">
        <v>4543.8500000000004</v>
      </c>
      <c r="F691" s="5" t="s">
        <v>379</v>
      </c>
    </row>
    <row r="692" spans="1:6">
      <c r="A692" s="4">
        <f t="shared" si="10"/>
        <v>691</v>
      </c>
      <c r="B692" s="4" t="s">
        <v>382</v>
      </c>
      <c r="C692" s="5" t="s">
        <v>370</v>
      </c>
      <c r="D692" s="35">
        <v>45292</v>
      </c>
      <c r="E692" s="36">
        <v>13662</v>
      </c>
      <c r="F692" s="5" t="s">
        <v>379</v>
      </c>
    </row>
    <row r="693" spans="1:6">
      <c r="A693" s="4">
        <f t="shared" si="10"/>
        <v>692</v>
      </c>
      <c r="B693" s="4" t="s">
        <v>382</v>
      </c>
      <c r="C693" s="5" t="s">
        <v>367</v>
      </c>
      <c r="D693" s="35">
        <v>45292</v>
      </c>
      <c r="E693" s="36">
        <v>41272.97</v>
      </c>
      <c r="F693" s="5" t="s">
        <v>379</v>
      </c>
    </row>
    <row r="694" spans="1:6">
      <c r="A694" s="4">
        <f t="shared" si="10"/>
        <v>693</v>
      </c>
      <c r="B694" s="4" t="s">
        <v>384</v>
      </c>
      <c r="C694" s="5" t="s">
        <v>360</v>
      </c>
      <c r="D694" s="35">
        <v>45292</v>
      </c>
      <c r="E694" s="36">
        <v>32845.199999999997</v>
      </c>
      <c r="F694" s="5" t="s">
        <v>379</v>
      </c>
    </row>
    <row r="695" spans="1:6">
      <c r="A695" s="4">
        <f t="shared" si="10"/>
        <v>694</v>
      </c>
      <c r="B695" s="4" t="s">
        <v>385</v>
      </c>
      <c r="C695" s="5" t="s">
        <v>361</v>
      </c>
      <c r="D695" s="35">
        <v>45292</v>
      </c>
      <c r="E695" s="5">
        <v>23024242</v>
      </c>
      <c r="F695" s="5" t="s">
        <v>386</v>
      </c>
    </row>
    <row r="696" spans="1:6">
      <c r="A696" s="4">
        <f t="shared" si="10"/>
        <v>695</v>
      </c>
      <c r="B696" s="4" t="s">
        <v>385</v>
      </c>
      <c r="C696" s="5" t="s">
        <v>351</v>
      </c>
      <c r="D696" s="35">
        <v>45292</v>
      </c>
      <c r="E696" s="5">
        <v>5139333</v>
      </c>
      <c r="F696" s="5" t="s">
        <v>386</v>
      </c>
    </row>
    <row r="697" spans="1:6">
      <c r="A697" s="4">
        <f t="shared" si="10"/>
        <v>696</v>
      </c>
      <c r="B697" s="4" t="s">
        <v>385</v>
      </c>
      <c r="C697" s="5" t="s">
        <v>357</v>
      </c>
      <c r="D697" s="35">
        <v>45292</v>
      </c>
      <c r="E697" s="5">
        <v>939120</v>
      </c>
      <c r="F697" s="5" t="s">
        <v>386</v>
      </c>
    </row>
    <row r="698" spans="1:6">
      <c r="A698" s="4">
        <f t="shared" si="10"/>
        <v>697</v>
      </c>
      <c r="B698" s="4" t="s">
        <v>385</v>
      </c>
      <c r="C698" s="5" t="s">
        <v>363</v>
      </c>
      <c r="D698" s="35">
        <v>45292</v>
      </c>
      <c r="E698" s="5">
        <v>3878662</v>
      </c>
      <c r="F698" s="5" t="s">
        <v>386</v>
      </c>
    </row>
    <row r="699" spans="1:6">
      <c r="A699" s="4">
        <f t="shared" si="10"/>
        <v>698</v>
      </c>
      <c r="B699" s="4" t="s">
        <v>380</v>
      </c>
      <c r="C699" s="5" t="s">
        <v>357</v>
      </c>
      <c r="D699" s="35">
        <v>45292</v>
      </c>
      <c r="E699" s="36">
        <v>1400</v>
      </c>
      <c r="F699" s="5" t="s">
        <v>379</v>
      </c>
    </row>
    <row r="700" spans="1:6">
      <c r="A700" s="4">
        <f t="shared" si="10"/>
        <v>699</v>
      </c>
      <c r="B700" s="4" t="s">
        <v>387</v>
      </c>
      <c r="C700" s="5" t="s">
        <v>354</v>
      </c>
      <c r="D700" s="38">
        <v>45261</v>
      </c>
      <c r="E700" s="36">
        <v>10254</v>
      </c>
      <c r="F700" s="5" t="s">
        <v>379</v>
      </c>
    </row>
    <row r="701" spans="1:6">
      <c r="A701" s="4">
        <f t="shared" si="10"/>
        <v>700</v>
      </c>
      <c r="B701" s="4" t="s">
        <v>381</v>
      </c>
      <c r="C701" s="5" t="s">
        <v>362</v>
      </c>
      <c r="D701" s="35">
        <v>45261</v>
      </c>
      <c r="E701" s="36">
        <v>17789.830000000002</v>
      </c>
      <c r="F701" s="5" t="s">
        <v>379</v>
      </c>
    </row>
    <row r="702" spans="1:6">
      <c r="A702" s="4">
        <f t="shared" si="10"/>
        <v>701</v>
      </c>
      <c r="B702" s="4" t="s">
        <v>381</v>
      </c>
      <c r="C702" s="5" t="s">
        <v>357</v>
      </c>
      <c r="D702" s="35">
        <v>45261</v>
      </c>
      <c r="E702" s="36">
        <v>198655.5</v>
      </c>
      <c r="F702" s="5" t="s">
        <v>379</v>
      </c>
    </row>
    <row r="703" spans="1:6">
      <c r="A703" s="4">
        <f t="shared" si="10"/>
        <v>702</v>
      </c>
      <c r="B703" s="4" t="s">
        <v>381</v>
      </c>
      <c r="C703" s="5" t="s">
        <v>356</v>
      </c>
      <c r="D703" s="35">
        <v>45261</v>
      </c>
      <c r="E703" s="36">
        <v>3840</v>
      </c>
      <c r="F703" s="5" t="s">
        <v>379</v>
      </c>
    </row>
    <row r="704" spans="1:6">
      <c r="A704" s="4">
        <f t="shared" si="10"/>
        <v>703</v>
      </c>
      <c r="B704" s="4" t="s">
        <v>381</v>
      </c>
      <c r="C704" s="5" t="s">
        <v>353</v>
      </c>
      <c r="D704" s="35">
        <v>45261</v>
      </c>
      <c r="E704" s="36">
        <v>1560</v>
      </c>
      <c r="F704" s="5" t="s">
        <v>379</v>
      </c>
    </row>
    <row r="705" spans="1:6">
      <c r="A705" s="4">
        <f t="shared" si="10"/>
        <v>704</v>
      </c>
      <c r="B705" s="4" t="s">
        <v>381</v>
      </c>
      <c r="C705" s="5" t="s">
        <v>366</v>
      </c>
      <c r="D705" s="35">
        <v>45261</v>
      </c>
      <c r="E705" s="36">
        <v>11767.98</v>
      </c>
      <c r="F705" s="5" t="s">
        <v>379</v>
      </c>
    </row>
    <row r="706" spans="1:6">
      <c r="A706" s="4">
        <f t="shared" si="10"/>
        <v>705</v>
      </c>
      <c r="B706" s="4" t="s">
        <v>381</v>
      </c>
      <c r="C706" s="5" t="s">
        <v>358</v>
      </c>
      <c r="D706" s="35">
        <v>45261</v>
      </c>
      <c r="E706" s="36">
        <v>64454.890000000014</v>
      </c>
      <c r="F706" s="5" t="s">
        <v>379</v>
      </c>
    </row>
    <row r="707" spans="1:6">
      <c r="A707" s="4">
        <f t="shared" si="10"/>
        <v>706</v>
      </c>
      <c r="B707" s="4" t="s">
        <v>381</v>
      </c>
      <c r="C707" s="5" t="s">
        <v>365</v>
      </c>
      <c r="D707" s="35">
        <v>45261</v>
      </c>
      <c r="E707" s="36">
        <v>65648</v>
      </c>
      <c r="F707" s="5" t="s">
        <v>379</v>
      </c>
    </row>
    <row r="708" spans="1:6">
      <c r="A708" s="4">
        <f t="shared" si="10"/>
        <v>707</v>
      </c>
      <c r="B708" s="4" t="s">
        <v>381</v>
      </c>
      <c r="C708" s="5" t="s">
        <v>368</v>
      </c>
      <c r="D708" s="35">
        <v>45261</v>
      </c>
      <c r="E708" s="36">
        <v>4597</v>
      </c>
      <c r="F708" s="5" t="s">
        <v>379</v>
      </c>
    </row>
    <row r="709" spans="1:6">
      <c r="A709" s="4">
        <f t="shared" si="10"/>
        <v>708</v>
      </c>
      <c r="B709" s="4" t="s">
        <v>381</v>
      </c>
      <c r="C709" s="5" t="s">
        <v>369</v>
      </c>
      <c r="D709" s="35">
        <v>45261</v>
      </c>
      <c r="E709" s="36">
        <v>5802</v>
      </c>
      <c r="F709" s="5" t="s">
        <v>379</v>
      </c>
    </row>
    <row r="710" spans="1:6">
      <c r="A710" s="4">
        <f t="shared" si="10"/>
        <v>709</v>
      </c>
      <c r="B710" s="4" t="s">
        <v>381</v>
      </c>
      <c r="C710" s="5" t="s">
        <v>370</v>
      </c>
      <c r="D710" s="35">
        <v>45261</v>
      </c>
      <c r="E710" s="36">
        <v>53383</v>
      </c>
      <c r="F710" s="5" t="s">
        <v>379</v>
      </c>
    </row>
    <row r="711" spans="1:6">
      <c r="A711" s="4">
        <f t="shared" si="10"/>
        <v>710</v>
      </c>
      <c r="B711" s="4" t="s">
        <v>382</v>
      </c>
      <c r="C711" s="5" t="s">
        <v>362</v>
      </c>
      <c r="D711" s="35">
        <v>45261</v>
      </c>
      <c r="E711" s="36">
        <v>11640.6</v>
      </c>
      <c r="F711" s="5" t="s">
        <v>379</v>
      </c>
    </row>
    <row r="712" spans="1:6">
      <c r="A712" s="4">
        <f t="shared" si="10"/>
        <v>711</v>
      </c>
      <c r="B712" s="4" t="s">
        <v>382</v>
      </c>
      <c r="C712" s="5" t="s">
        <v>357</v>
      </c>
      <c r="D712" s="35">
        <v>45261</v>
      </c>
      <c r="E712" s="36">
        <v>12135.5</v>
      </c>
      <c r="F712" s="5" t="s">
        <v>379</v>
      </c>
    </row>
    <row r="713" spans="1:6">
      <c r="A713" s="4">
        <f t="shared" si="10"/>
        <v>712</v>
      </c>
      <c r="B713" s="4" t="s">
        <v>382</v>
      </c>
      <c r="C713" s="5" t="s">
        <v>356</v>
      </c>
      <c r="D713" s="35">
        <v>45261</v>
      </c>
      <c r="E713" s="36">
        <v>1219</v>
      </c>
      <c r="F713" s="5" t="s">
        <v>379</v>
      </c>
    </row>
    <row r="714" spans="1:6">
      <c r="A714" s="4">
        <f t="shared" si="10"/>
        <v>713</v>
      </c>
      <c r="B714" s="4" t="s">
        <v>382</v>
      </c>
      <c r="C714" s="5" t="s">
        <v>353</v>
      </c>
      <c r="D714" s="35">
        <v>45261</v>
      </c>
      <c r="E714" s="36">
        <v>14189</v>
      </c>
      <c r="F714" s="5" t="s">
        <v>379</v>
      </c>
    </row>
    <row r="715" spans="1:6">
      <c r="A715" s="4">
        <f t="shared" ref="A715:A778" si="11">ROW()-1</f>
        <v>714</v>
      </c>
      <c r="B715" s="4" t="s">
        <v>382</v>
      </c>
      <c r="C715" s="5" t="s">
        <v>354</v>
      </c>
      <c r="D715" s="35">
        <v>45261</v>
      </c>
      <c r="E715" s="36">
        <v>13269.75</v>
      </c>
      <c r="F715" s="5" t="s">
        <v>379</v>
      </c>
    </row>
    <row r="716" spans="1:6">
      <c r="A716" s="4">
        <f t="shared" si="11"/>
        <v>715</v>
      </c>
      <c r="B716" s="4" t="s">
        <v>382</v>
      </c>
      <c r="C716" s="5" t="s">
        <v>366</v>
      </c>
      <c r="D716" s="35">
        <v>45261</v>
      </c>
      <c r="E716" s="36">
        <v>42002.14</v>
      </c>
      <c r="F716" s="5" t="s">
        <v>379</v>
      </c>
    </row>
    <row r="717" spans="1:6">
      <c r="A717" s="4">
        <f t="shared" si="11"/>
        <v>716</v>
      </c>
      <c r="B717" s="4" t="s">
        <v>382</v>
      </c>
      <c r="C717" s="5" t="s">
        <v>358</v>
      </c>
      <c r="D717" s="35">
        <v>45261</v>
      </c>
      <c r="E717" s="36">
        <v>101915.91</v>
      </c>
      <c r="F717" s="5" t="s">
        <v>379</v>
      </c>
    </row>
    <row r="718" spans="1:6">
      <c r="A718" s="4">
        <f t="shared" si="11"/>
        <v>717</v>
      </c>
      <c r="B718" s="4" t="s">
        <v>382</v>
      </c>
      <c r="C718" s="5" t="s">
        <v>365</v>
      </c>
      <c r="D718" s="35">
        <v>45261</v>
      </c>
      <c r="E718" s="36">
        <v>31648</v>
      </c>
      <c r="F718" s="5" t="s">
        <v>379</v>
      </c>
    </row>
    <row r="719" spans="1:6">
      <c r="A719" s="4">
        <f t="shared" si="11"/>
        <v>718</v>
      </c>
      <c r="B719" s="4" t="s">
        <v>382</v>
      </c>
      <c r="C719" s="5" t="s">
        <v>368</v>
      </c>
      <c r="D719" s="35">
        <v>45261</v>
      </c>
      <c r="E719" s="36">
        <v>1372.57</v>
      </c>
      <c r="F719" s="5" t="s">
        <v>379</v>
      </c>
    </row>
    <row r="720" spans="1:6">
      <c r="A720" s="4">
        <f t="shared" si="11"/>
        <v>719</v>
      </c>
      <c r="B720" s="4" t="s">
        <v>382</v>
      </c>
      <c r="C720" s="5" t="s">
        <v>369</v>
      </c>
      <c r="D720" s="35">
        <v>45261</v>
      </c>
      <c r="E720" s="36">
        <v>1695.4</v>
      </c>
      <c r="F720" s="5" t="s">
        <v>379</v>
      </c>
    </row>
    <row r="721" spans="1:6">
      <c r="A721" s="4">
        <f t="shared" si="11"/>
        <v>720</v>
      </c>
      <c r="B721" s="4" t="s">
        <v>382</v>
      </c>
      <c r="C721" s="5" t="s">
        <v>370</v>
      </c>
      <c r="D721" s="35">
        <v>45261</v>
      </c>
      <c r="E721" s="36">
        <v>736</v>
      </c>
      <c r="F721" s="5" t="s">
        <v>379</v>
      </c>
    </row>
    <row r="722" spans="1:6">
      <c r="A722" s="4">
        <f t="shared" si="11"/>
        <v>721</v>
      </c>
      <c r="B722" s="4" t="s">
        <v>382</v>
      </c>
      <c r="C722" s="5" t="s">
        <v>367</v>
      </c>
      <c r="D722" s="35">
        <v>45261</v>
      </c>
      <c r="E722" s="36">
        <v>23979.78</v>
      </c>
      <c r="F722" s="5" t="s">
        <v>379</v>
      </c>
    </row>
    <row r="723" spans="1:6">
      <c r="A723" s="4">
        <f t="shared" si="11"/>
        <v>722</v>
      </c>
      <c r="B723" s="4" t="s">
        <v>384</v>
      </c>
      <c r="C723" s="5" t="s">
        <v>360</v>
      </c>
      <c r="D723" s="35">
        <v>45261</v>
      </c>
      <c r="E723" s="36">
        <v>42441.4</v>
      </c>
      <c r="F723" s="5" t="s">
        <v>379</v>
      </c>
    </row>
    <row r="724" spans="1:6">
      <c r="A724" s="4">
        <f t="shared" si="11"/>
        <v>723</v>
      </c>
      <c r="B724" s="4" t="s">
        <v>385</v>
      </c>
      <c r="C724" s="5" t="s">
        <v>361</v>
      </c>
      <c r="D724" s="35">
        <v>45261</v>
      </c>
      <c r="E724" s="5">
        <v>45829153</v>
      </c>
      <c r="F724" s="5" t="s">
        <v>386</v>
      </c>
    </row>
    <row r="725" spans="1:6">
      <c r="A725" s="4">
        <f t="shared" si="11"/>
        <v>724</v>
      </c>
      <c r="B725" s="4" t="s">
        <v>385</v>
      </c>
      <c r="C725" s="5" t="s">
        <v>351</v>
      </c>
      <c r="D725" s="35">
        <v>45261</v>
      </c>
      <c r="E725" s="5">
        <v>16604405</v>
      </c>
      <c r="F725" s="5" t="s">
        <v>386</v>
      </c>
    </row>
    <row r="726" spans="1:6">
      <c r="A726" s="4">
        <f t="shared" si="11"/>
        <v>725</v>
      </c>
      <c r="B726" s="4" t="s">
        <v>385</v>
      </c>
      <c r="C726" s="5" t="s">
        <v>357</v>
      </c>
      <c r="D726" s="35">
        <v>45261</v>
      </c>
      <c r="E726" s="5">
        <v>1565200</v>
      </c>
      <c r="F726" s="5" t="s">
        <v>386</v>
      </c>
    </row>
    <row r="727" spans="1:6">
      <c r="A727" s="4">
        <f t="shared" si="11"/>
        <v>726</v>
      </c>
      <c r="B727" s="4" t="s">
        <v>385</v>
      </c>
      <c r="C727" s="5" t="s">
        <v>363</v>
      </c>
      <c r="D727" s="35">
        <v>45261</v>
      </c>
      <c r="E727" s="5">
        <v>12411720</v>
      </c>
      <c r="F727" s="5" t="s">
        <v>386</v>
      </c>
    </row>
    <row r="728" spans="1:6">
      <c r="A728" s="4">
        <f t="shared" si="11"/>
        <v>727</v>
      </c>
      <c r="B728" s="4" t="s">
        <v>380</v>
      </c>
      <c r="C728" s="5" t="s">
        <v>357</v>
      </c>
      <c r="D728" s="35">
        <v>45261</v>
      </c>
      <c r="E728" s="36">
        <v>2400</v>
      </c>
      <c r="F728" s="5" t="s">
        <v>379</v>
      </c>
    </row>
    <row r="729" spans="1:6">
      <c r="A729" s="4">
        <f t="shared" si="11"/>
        <v>728</v>
      </c>
      <c r="B729" s="4" t="s">
        <v>381</v>
      </c>
      <c r="C729" s="5" t="s">
        <v>362</v>
      </c>
      <c r="D729" s="35">
        <v>45231</v>
      </c>
      <c r="E729" s="36">
        <v>10729.46</v>
      </c>
      <c r="F729" s="5" t="s">
        <v>379</v>
      </c>
    </row>
    <row r="730" spans="1:6">
      <c r="A730" s="4">
        <f t="shared" si="11"/>
        <v>729</v>
      </c>
      <c r="B730" s="4" t="s">
        <v>381</v>
      </c>
      <c r="C730" s="5" t="s">
        <v>357</v>
      </c>
      <c r="D730" s="35">
        <v>45231</v>
      </c>
      <c r="E730" s="36">
        <v>138452</v>
      </c>
      <c r="F730" s="5" t="s">
        <v>379</v>
      </c>
    </row>
    <row r="731" spans="1:6">
      <c r="A731" s="4">
        <f t="shared" si="11"/>
        <v>730</v>
      </c>
      <c r="B731" s="4" t="s">
        <v>381</v>
      </c>
      <c r="C731" s="5" t="s">
        <v>356</v>
      </c>
      <c r="D731" s="35">
        <v>45231</v>
      </c>
      <c r="E731" s="36">
        <v>6790.8</v>
      </c>
      <c r="F731" s="5" t="s">
        <v>379</v>
      </c>
    </row>
    <row r="732" spans="1:6">
      <c r="A732" s="4">
        <f t="shared" si="11"/>
        <v>731</v>
      </c>
      <c r="B732" s="4" t="s">
        <v>381</v>
      </c>
      <c r="C732" s="5" t="s">
        <v>353</v>
      </c>
      <c r="D732" s="35">
        <v>45231</v>
      </c>
      <c r="E732" s="36">
        <v>9177.66</v>
      </c>
      <c r="F732" s="5" t="s">
        <v>379</v>
      </c>
    </row>
    <row r="733" spans="1:6">
      <c r="A733" s="4">
        <f t="shared" si="11"/>
        <v>732</v>
      </c>
      <c r="B733" s="4" t="s">
        <v>381</v>
      </c>
      <c r="C733" s="5" t="s">
        <v>366</v>
      </c>
      <c r="D733" s="35">
        <v>45231</v>
      </c>
      <c r="E733" s="36">
        <v>22090.42</v>
      </c>
      <c r="F733" s="5" t="s">
        <v>379</v>
      </c>
    </row>
    <row r="734" spans="1:6">
      <c r="A734" s="4">
        <f t="shared" si="11"/>
        <v>733</v>
      </c>
      <c r="B734" s="4" t="s">
        <v>381</v>
      </c>
      <c r="C734" s="5" t="s">
        <v>358</v>
      </c>
      <c r="D734" s="35">
        <v>45231</v>
      </c>
      <c r="E734" s="36">
        <v>68170.670000000013</v>
      </c>
      <c r="F734" s="5" t="s">
        <v>379</v>
      </c>
    </row>
    <row r="735" spans="1:6">
      <c r="A735" s="4">
        <f t="shared" si="11"/>
        <v>734</v>
      </c>
      <c r="B735" s="4" t="s">
        <v>381</v>
      </c>
      <c r="C735" s="5" t="s">
        <v>365</v>
      </c>
      <c r="D735" s="35">
        <v>45231</v>
      </c>
      <c r="E735" s="36">
        <v>77072</v>
      </c>
      <c r="F735" s="5" t="s">
        <v>379</v>
      </c>
    </row>
    <row r="736" spans="1:6">
      <c r="A736" s="4">
        <f t="shared" si="11"/>
        <v>735</v>
      </c>
      <c r="B736" s="4" t="s">
        <v>381</v>
      </c>
      <c r="C736" s="5" t="s">
        <v>368</v>
      </c>
      <c r="D736" s="35">
        <v>45231</v>
      </c>
      <c r="E736" s="36">
        <v>11417.400000000001</v>
      </c>
      <c r="F736" s="5" t="s">
        <v>379</v>
      </c>
    </row>
    <row r="737" spans="1:6">
      <c r="A737" s="4">
        <f t="shared" si="11"/>
        <v>736</v>
      </c>
      <c r="B737" s="4" t="s">
        <v>381</v>
      </c>
      <c r="C737" s="5" t="s">
        <v>369</v>
      </c>
      <c r="D737" s="35">
        <v>45231</v>
      </c>
      <c r="E737" s="36">
        <v>1728</v>
      </c>
      <c r="F737" s="5" t="s">
        <v>379</v>
      </c>
    </row>
    <row r="738" spans="1:6">
      <c r="A738" s="4">
        <f t="shared" si="11"/>
        <v>737</v>
      </c>
      <c r="B738" s="4" t="s">
        <v>381</v>
      </c>
      <c r="C738" s="5" t="s">
        <v>370</v>
      </c>
      <c r="D738" s="35">
        <v>45231</v>
      </c>
      <c r="E738" s="36">
        <v>43539</v>
      </c>
      <c r="F738" s="5" t="s">
        <v>379</v>
      </c>
    </row>
    <row r="739" spans="1:6">
      <c r="A739" s="4">
        <f t="shared" si="11"/>
        <v>738</v>
      </c>
      <c r="B739" s="4" t="s">
        <v>382</v>
      </c>
      <c r="C739" s="5" t="s">
        <v>362</v>
      </c>
      <c r="D739" s="35">
        <v>45231</v>
      </c>
      <c r="E739" s="36">
        <v>17793.57</v>
      </c>
      <c r="F739" s="5" t="s">
        <v>379</v>
      </c>
    </row>
    <row r="740" spans="1:6">
      <c r="A740" s="4">
        <f t="shared" si="11"/>
        <v>739</v>
      </c>
      <c r="B740" s="4" t="s">
        <v>382</v>
      </c>
      <c r="C740" s="5" t="s">
        <v>357</v>
      </c>
      <c r="D740" s="35">
        <v>45231</v>
      </c>
      <c r="E740" s="36">
        <v>3880</v>
      </c>
      <c r="F740" s="5" t="s">
        <v>379</v>
      </c>
    </row>
    <row r="741" spans="1:6">
      <c r="A741" s="4">
        <f t="shared" si="11"/>
        <v>740</v>
      </c>
      <c r="B741" s="4" t="s">
        <v>382</v>
      </c>
      <c r="C741" s="5" t="s">
        <v>356</v>
      </c>
      <c r="D741" s="35">
        <v>45231</v>
      </c>
      <c r="E741" s="36">
        <v>8987.36</v>
      </c>
      <c r="F741" s="5" t="s">
        <v>379</v>
      </c>
    </row>
    <row r="742" spans="1:6">
      <c r="A742" s="4">
        <f t="shared" si="11"/>
        <v>741</v>
      </c>
      <c r="B742" s="4" t="s">
        <v>382</v>
      </c>
      <c r="C742" s="5" t="s">
        <v>353</v>
      </c>
      <c r="D742" s="35">
        <v>45231</v>
      </c>
      <c r="E742" s="36">
        <v>28555.24</v>
      </c>
      <c r="F742" s="5" t="s">
        <v>379</v>
      </c>
    </row>
    <row r="743" spans="1:6">
      <c r="A743" s="4">
        <f t="shared" si="11"/>
        <v>742</v>
      </c>
      <c r="B743" s="4" t="s">
        <v>382</v>
      </c>
      <c r="C743" s="5" t="s">
        <v>354</v>
      </c>
      <c r="D743" s="35">
        <v>45231</v>
      </c>
      <c r="E743" s="36">
        <v>4187.6000000000004</v>
      </c>
      <c r="F743" s="5" t="s">
        <v>379</v>
      </c>
    </row>
    <row r="744" spans="1:6">
      <c r="A744" s="4">
        <f t="shared" si="11"/>
        <v>743</v>
      </c>
      <c r="B744" s="4" t="s">
        <v>382</v>
      </c>
      <c r="C744" s="5" t="s">
        <v>366</v>
      </c>
      <c r="D744" s="35">
        <v>45231</v>
      </c>
      <c r="E744" s="36">
        <v>23987.63</v>
      </c>
      <c r="F744" s="5" t="s">
        <v>379</v>
      </c>
    </row>
    <row r="745" spans="1:6">
      <c r="A745" s="4">
        <f t="shared" si="11"/>
        <v>744</v>
      </c>
      <c r="B745" s="4" t="s">
        <v>382</v>
      </c>
      <c r="C745" s="5" t="s">
        <v>358</v>
      </c>
      <c r="D745" s="35">
        <v>45231</v>
      </c>
      <c r="E745" s="36">
        <v>105468.19</v>
      </c>
      <c r="F745" s="5" t="s">
        <v>379</v>
      </c>
    </row>
    <row r="746" spans="1:6">
      <c r="A746" s="4">
        <f t="shared" si="11"/>
        <v>745</v>
      </c>
      <c r="B746" s="4" t="s">
        <v>382</v>
      </c>
      <c r="C746" s="5" t="s">
        <v>365</v>
      </c>
      <c r="D746" s="35">
        <v>45231</v>
      </c>
      <c r="E746" s="36">
        <v>45460</v>
      </c>
      <c r="F746" s="5" t="s">
        <v>379</v>
      </c>
    </row>
    <row r="747" spans="1:6">
      <c r="A747" s="4">
        <f t="shared" si="11"/>
        <v>746</v>
      </c>
      <c r="B747" s="4" t="s">
        <v>382</v>
      </c>
      <c r="C747" s="5" t="s">
        <v>368</v>
      </c>
      <c r="D747" s="35">
        <v>45231</v>
      </c>
      <c r="E747" s="36">
        <v>19641.379999999997</v>
      </c>
      <c r="F747" s="5" t="s">
        <v>379</v>
      </c>
    </row>
    <row r="748" spans="1:6">
      <c r="A748" s="4">
        <f t="shared" si="11"/>
        <v>747</v>
      </c>
      <c r="B748" s="4" t="s">
        <v>382</v>
      </c>
      <c r="C748" s="5" t="s">
        <v>367</v>
      </c>
      <c r="D748" s="35">
        <v>45231</v>
      </c>
      <c r="E748" s="36">
        <v>27714.07</v>
      </c>
      <c r="F748" s="5" t="s">
        <v>379</v>
      </c>
    </row>
    <row r="749" spans="1:6">
      <c r="A749" s="4">
        <f t="shared" si="11"/>
        <v>748</v>
      </c>
      <c r="B749" s="4" t="s">
        <v>384</v>
      </c>
      <c r="C749" s="5" t="s">
        <v>360</v>
      </c>
      <c r="D749" s="35">
        <v>45231</v>
      </c>
      <c r="E749" s="36">
        <v>60971.08</v>
      </c>
      <c r="F749" s="5" t="s">
        <v>379</v>
      </c>
    </row>
    <row r="750" spans="1:6">
      <c r="A750" s="4">
        <f t="shared" si="11"/>
        <v>749</v>
      </c>
      <c r="B750" s="4" t="s">
        <v>380</v>
      </c>
      <c r="C750" s="5" t="s">
        <v>357</v>
      </c>
      <c r="D750" s="35">
        <v>45231</v>
      </c>
      <c r="E750" s="36">
        <v>2000</v>
      </c>
      <c r="F750" s="5" t="s">
        <v>379</v>
      </c>
    </row>
    <row r="751" spans="1:6">
      <c r="A751" s="4">
        <f t="shared" si="11"/>
        <v>750</v>
      </c>
      <c r="B751" s="4" t="s">
        <v>381</v>
      </c>
      <c r="C751" s="5" t="s">
        <v>362</v>
      </c>
      <c r="D751" s="35">
        <v>45200</v>
      </c>
      <c r="E751" s="36">
        <v>15189.54</v>
      </c>
      <c r="F751" s="5" t="s">
        <v>379</v>
      </c>
    </row>
    <row r="752" spans="1:6">
      <c r="A752" s="4">
        <f t="shared" si="11"/>
        <v>751</v>
      </c>
      <c r="B752" s="4" t="s">
        <v>381</v>
      </c>
      <c r="C752" s="5" t="s">
        <v>357</v>
      </c>
      <c r="D752" s="35">
        <v>45200</v>
      </c>
      <c r="E752" s="36">
        <v>288227.02</v>
      </c>
      <c r="F752" s="5" t="s">
        <v>379</v>
      </c>
    </row>
    <row r="753" spans="1:6">
      <c r="A753" s="4">
        <f t="shared" si="11"/>
        <v>752</v>
      </c>
      <c r="B753" s="4" t="s">
        <v>381</v>
      </c>
      <c r="C753" s="5" t="s">
        <v>356</v>
      </c>
      <c r="D753" s="35">
        <v>45200</v>
      </c>
      <c r="E753" s="36">
        <v>2142</v>
      </c>
      <c r="F753" s="5" t="s">
        <v>379</v>
      </c>
    </row>
    <row r="754" spans="1:6">
      <c r="A754" s="4">
        <f t="shared" si="11"/>
        <v>753</v>
      </c>
      <c r="B754" s="4" t="s">
        <v>381</v>
      </c>
      <c r="C754" s="5" t="s">
        <v>353</v>
      </c>
      <c r="D754" s="35">
        <v>45200</v>
      </c>
      <c r="E754" s="36">
        <v>5701.5</v>
      </c>
      <c r="F754" s="5" t="s">
        <v>379</v>
      </c>
    </row>
    <row r="755" spans="1:6">
      <c r="A755" s="4">
        <f t="shared" si="11"/>
        <v>754</v>
      </c>
      <c r="B755" s="4" t="s">
        <v>381</v>
      </c>
      <c r="C755" s="5" t="s">
        <v>354</v>
      </c>
      <c r="D755" s="35">
        <v>45200</v>
      </c>
      <c r="E755" s="36">
        <v>845.16</v>
      </c>
      <c r="F755" s="5" t="s">
        <v>379</v>
      </c>
    </row>
    <row r="756" spans="1:6">
      <c r="A756" s="4">
        <f t="shared" si="11"/>
        <v>755</v>
      </c>
      <c r="B756" s="4" t="s">
        <v>381</v>
      </c>
      <c r="C756" s="5" t="s">
        <v>366</v>
      </c>
      <c r="D756" s="35">
        <v>45200</v>
      </c>
      <c r="E756" s="36">
        <v>9168.34</v>
      </c>
      <c r="F756" s="5" t="s">
        <v>379</v>
      </c>
    </row>
    <row r="757" spans="1:6">
      <c r="A757" s="4">
        <f t="shared" si="11"/>
        <v>756</v>
      </c>
      <c r="B757" s="4" t="s">
        <v>381</v>
      </c>
      <c r="C757" s="5" t="s">
        <v>358</v>
      </c>
      <c r="D757" s="35">
        <v>45200</v>
      </c>
      <c r="E757" s="36">
        <v>29000.110000000004</v>
      </c>
      <c r="F757" s="5" t="s">
        <v>379</v>
      </c>
    </row>
    <row r="758" spans="1:6">
      <c r="A758" s="4">
        <f t="shared" si="11"/>
        <v>757</v>
      </c>
      <c r="B758" s="4" t="s">
        <v>381</v>
      </c>
      <c r="C758" s="5" t="s">
        <v>365</v>
      </c>
      <c r="D758" s="35">
        <v>45200</v>
      </c>
      <c r="E758" s="36">
        <v>50256</v>
      </c>
      <c r="F758" s="5" t="s">
        <v>379</v>
      </c>
    </row>
    <row r="759" spans="1:6">
      <c r="A759" s="4">
        <f t="shared" si="11"/>
        <v>758</v>
      </c>
      <c r="B759" s="4" t="s">
        <v>381</v>
      </c>
      <c r="C759" s="5" t="s">
        <v>368</v>
      </c>
      <c r="D759" s="35">
        <v>45200</v>
      </c>
      <c r="E759" s="36">
        <v>1550</v>
      </c>
      <c r="F759" s="5" t="s">
        <v>379</v>
      </c>
    </row>
    <row r="760" spans="1:6">
      <c r="A760" s="4">
        <f t="shared" si="11"/>
        <v>759</v>
      </c>
      <c r="B760" s="4" t="s">
        <v>381</v>
      </c>
      <c r="C760" s="5" t="s">
        <v>369</v>
      </c>
      <c r="D760" s="35">
        <v>45200</v>
      </c>
      <c r="E760" s="36">
        <v>1272</v>
      </c>
      <c r="F760" s="5" t="s">
        <v>379</v>
      </c>
    </row>
    <row r="761" spans="1:6">
      <c r="A761" s="4">
        <f t="shared" si="11"/>
        <v>760</v>
      </c>
      <c r="B761" s="4" t="s">
        <v>381</v>
      </c>
      <c r="C761" s="5" t="s">
        <v>370</v>
      </c>
      <c r="D761" s="35">
        <v>45200</v>
      </c>
      <c r="E761" s="36">
        <v>43286</v>
      </c>
      <c r="F761" s="5" t="s">
        <v>379</v>
      </c>
    </row>
    <row r="762" spans="1:6">
      <c r="A762" s="4">
        <f t="shared" si="11"/>
        <v>761</v>
      </c>
      <c r="B762" s="4" t="s">
        <v>382</v>
      </c>
      <c r="C762" s="5" t="s">
        <v>362</v>
      </c>
      <c r="D762" s="35">
        <v>45200</v>
      </c>
      <c r="E762" s="36">
        <v>27705.11</v>
      </c>
      <c r="F762" s="5" t="s">
        <v>379</v>
      </c>
    </row>
    <row r="763" spans="1:6">
      <c r="A763" s="4">
        <f t="shared" si="11"/>
        <v>762</v>
      </c>
      <c r="B763" s="4" t="s">
        <v>382</v>
      </c>
      <c r="C763" s="5" t="s">
        <v>357</v>
      </c>
      <c r="D763" s="35">
        <v>45200</v>
      </c>
      <c r="E763" s="36">
        <v>23487.53</v>
      </c>
      <c r="F763" s="5" t="s">
        <v>379</v>
      </c>
    </row>
    <row r="764" spans="1:6">
      <c r="A764" s="4">
        <f t="shared" si="11"/>
        <v>763</v>
      </c>
      <c r="B764" s="4" t="s">
        <v>382</v>
      </c>
      <c r="C764" s="5" t="s">
        <v>356</v>
      </c>
      <c r="D764" s="35">
        <v>45200</v>
      </c>
      <c r="E764" s="36">
        <v>10554.68</v>
      </c>
      <c r="F764" s="5" t="s">
        <v>379</v>
      </c>
    </row>
    <row r="765" spans="1:6">
      <c r="A765" s="4">
        <f t="shared" si="11"/>
        <v>764</v>
      </c>
      <c r="B765" s="4" t="s">
        <v>382</v>
      </c>
      <c r="C765" s="5" t="s">
        <v>353</v>
      </c>
      <c r="D765" s="35">
        <v>45200</v>
      </c>
      <c r="E765" s="36">
        <v>23117.5</v>
      </c>
      <c r="F765" s="5" t="s">
        <v>379</v>
      </c>
    </row>
    <row r="766" spans="1:6">
      <c r="A766" s="4">
        <f t="shared" si="11"/>
        <v>765</v>
      </c>
      <c r="B766" s="4" t="s">
        <v>382</v>
      </c>
      <c r="C766" s="5" t="s">
        <v>354</v>
      </c>
      <c r="D766" s="35">
        <v>45200</v>
      </c>
      <c r="E766" s="36">
        <v>5409</v>
      </c>
      <c r="F766" s="5" t="s">
        <v>379</v>
      </c>
    </row>
    <row r="767" spans="1:6">
      <c r="A767" s="4">
        <f t="shared" si="11"/>
        <v>766</v>
      </c>
      <c r="B767" s="4" t="s">
        <v>382</v>
      </c>
      <c r="C767" s="5" t="s">
        <v>366</v>
      </c>
      <c r="D767" s="35">
        <v>45200</v>
      </c>
      <c r="E767" s="36">
        <v>78328.56</v>
      </c>
      <c r="F767" s="5" t="s">
        <v>379</v>
      </c>
    </row>
    <row r="768" spans="1:6">
      <c r="A768" s="4">
        <f t="shared" si="11"/>
        <v>767</v>
      </c>
      <c r="B768" s="4" t="s">
        <v>382</v>
      </c>
      <c r="C768" s="5" t="s">
        <v>358</v>
      </c>
      <c r="D768" s="35">
        <v>45200</v>
      </c>
      <c r="E768" s="36">
        <v>79390.67</v>
      </c>
      <c r="F768" s="5" t="s">
        <v>379</v>
      </c>
    </row>
    <row r="769" spans="1:6">
      <c r="A769" s="4">
        <f t="shared" si="11"/>
        <v>768</v>
      </c>
      <c r="B769" s="4" t="s">
        <v>382</v>
      </c>
      <c r="C769" s="5" t="s">
        <v>365</v>
      </c>
      <c r="D769" s="35">
        <v>45200</v>
      </c>
      <c r="E769" s="36">
        <v>49856</v>
      </c>
      <c r="F769" s="5" t="s">
        <v>379</v>
      </c>
    </row>
    <row r="770" spans="1:6">
      <c r="A770" s="4">
        <f t="shared" si="11"/>
        <v>769</v>
      </c>
      <c r="B770" s="4" t="s">
        <v>382</v>
      </c>
      <c r="C770" s="5" t="s">
        <v>368</v>
      </c>
      <c r="D770" s="35">
        <v>45200</v>
      </c>
      <c r="E770" s="36">
        <v>3575.95</v>
      </c>
      <c r="F770" s="5" t="s">
        <v>379</v>
      </c>
    </row>
    <row r="771" spans="1:6">
      <c r="A771" s="4">
        <f t="shared" si="11"/>
        <v>770</v>
      </c>
      <c r="B771" s="4" t="s">
        <v>382</v>
      </c>
      <c r="C771" s="5" t="s">
        <v>370</v>
      </c>
      <c r="D771" s="35">
        <v>45200</v>
      </c>
      <c r="E771" s="36">
        <v>10626</v>
      </c>
      <c r="F771" s="5" t="s">
        <v>379</v>
      </c>
    </row>
    <row r="772" spans="1:6">
      <c r="A772" s="4">
        <f t="shared" si="11"/>
        <v>771</v>
      </c>
      <c r="B772" s="4" t="s">
        <v>382</v>
      </c>
      <c r="C772" s="5" t="s">
        <v>367</v>
      </c>
      <c r="D772" s="35">
        <v>45200</v>
      </c>
      <c r="E772" s="36">
        <v>36768.800000000003</v>
      </c>
      <c r="F772" s="5" t="s">
        <v>379</v>
      </c>
    </row>
    <row r="773" spans="1:6">
      <c r="A773" s="4">
        <f t="shared" si="11"/>
        <v>772</v>
      </c>
      <c r="B773" s="4" t="s">
        <v>384</v>
      </c>
      <c r="C773" s="5" t="s">
        <v>360</v>
      </c>
      <c r="D773" s="35">
        <v>45200</v>
      </c>
      <c r="E773" s="36">
        <v>48233.440000000002</v>
      </c>
      <c r="F773" s="5" t="s">
        <v>379</v>
      </c>
    </row>
    <row r="774" spans="1:6">
      <c r="A774" s="4">
        <f t="shared" si="11"/>
        <v>773</v>
      </c>
      <c r="B774" s="4" t="s">
        <v>380</v>
      </c>
      <c r="C774" s="5" t="s">
        <v>357</v>
      </c>
      <c r="D774" s="35">
        <v>45200</v>
      </c>
      <c r="E774" s="36">
        <v>3250</v>
      </c>
      <c r="F774" s="5" t="s">
        <v>379</v>
      </c>
    </row>
    <row r="775" spans="1:6">
      <c r="A775" s="4">
        <f t="shared" si="11"/>
        <v>774</v>
      </c>
      <c r="B775" s="4" t="s">
        <v>387</v>
      </c>
      <c r="C775" s="5" t="s">
        <v>354</v>
      </c>
      <c r="D775" s="38">
        <v>45170</v>
      </c>
      <c r="E775" s="36">
        <v>11804</v>
      </c>
      <c r="F775" s="5" t="s">
        <v>379</v>
      </c>
    </row>
    <row r="776" spans="1:6">
      <c r="A776" s="4">
        <f t="shared" si="11"/>
        <v>775</v>
      </c>
      <c r="B776" s="4" t="s">
        <v>381</v>
      </c>
      <c r="C776" s="5" t="s">
        <v>362</v>
      </c>
      <c r="D776" s="35">
        <v>45170</v>
      </c>
      <c r="E776" s="36">
        <v>24114.280000000002</v>
      </c>
      <c r="F776" s="5" t="s">
        <v>379</v>
      </c>
    </row>
    <row r="777" spans="1:6">
      <c r="A777" s="4">
        <f t="shared" si="11"/>
        <v>776</v>
      </c>
      <c r="B777" s="4" t="s">
        <v>381</v>
      </c>
      <c r="C777" s="5" t="s">
        <v>356</v>
      </c>
      <c r="D777" s="35">
        <v>45170</v>
      </c>
      <c r="E777" s="36">
        <v>13283.8</v>
      </c>
      <c r="F777" s="5" t="s">
        <v>379</v>
      </c>
    </row>
    <row r="778" spans="1:6">
      <c r="A778" s="4">
        <f t="shared" si="11"/>
        <v>777</v>
      </c>
      <c r="B778" s="4" t="s">
        <v>381</v>
      </c>
      <c r="C778" s="5" t="s">
        <v>353</v>
      </c>
      <c r="D778" s="35">
        <v>45170</v>
      </c>
      <c r="E778" s="36">
        <v>8193.2099999999991</v>
      </c>
      <c r="F778" s="5" t="s">
        <v>379</v>
      </c>
    </row>
    <row r="779" spans="1:6">
      <c r="A779" s="4">
        <f t="shared" ref="A779:A842" si="12">ROW()-1</f>
        <v>778</v>
      </c>
      <c r="B779" s="4" t="s">
        <v>381</v>
      </c>
      <c r="C779" s="5" t="s">
        <v>366</v>
      </c>
      <c r="D779" s="35">
        <v>45170</v>
      </c>
      <c r="E779" s="36">
        <v>32324.400000000001</v>
      </c>
      <c r="F779" s="5" t="s">
        <v>379</v>
      </c>
    </row>
    <row r="780" spans="1:6">
      <c r="A780" s="4">
        <f t="shared" si="12"/>
        <v>779</v>
      </c>
      <c r="B780" s="4" t="s">
        <v>381</v>
      </c>
      <c r="C780" s="5" t="s">
        <v>358</v>
      </c>
      <c r="D780" s="35">
        <v>45170</v>
      </c>
      <c r="E780" s="36">
        <v>89857.52999999997</v>
      </c>
      <c r="F780" s="5" t="s">
        <v>379</v>
      </c>
    </row>
    <row r="781" spans="1:6">
      <c r="A781" s="4">
        <f t="shared" si="12"/>
        <v>780</v>
      </c>
      <c r="B781" s="4" t="s">
        <v>381</v>
      </c>
      <c r="C781" s="5" t="s">
        <v>365</v>
      </c>
      <c r="D781" s="35">
        <v>45170</v>
      </c>
      <c r="E781" s="36">
        <v>96412</v>
      </c>
      <c r="F781" s="5" t="s">
        <v>379</v>
      </c>
    </row>
    <row r="782" spans="1:6">
      <c r="A782" s="4">
        <f t="shared" si="12"/>
        <v>781</v>
      </c>
      <c r="B782" s="4" t="s">
        <v>381</v>
      </c>
      <c r="C782" s="5" t="s">
        <v>368</v>
      </c>
      <c r="D782" s="35">
        <v>45170</v>
      </c>
      <c r="E782" s="36">
        <v>26118.52</v>
      </c>
      <c r="F782" s="5" t="s">
        <v>379</v>
      </c>
    </row>
    <row r="783" spans="1:6">
      <c r="A783" s="4">
        <f t="shared" si="12"/>
        <v>782</v>
      </c>
      <c r="B783" s="4" t="s">
        <v>381</v>
      </c>
      <c r="C783" s="5" t="s">
        <v>369</v>
      </c>
      <c r="D783" s="35">
        <v>45170</v>
      </c>
      <c r="E783" s="36">
        <v>11576</v>
      </c>
      <c r="F783" s="5" t="s">
        <v>379</v>
      </c>
    </row>
    <row r="784" spans="1:6">
      <c r="A784" s="4">
        <f t="shared" si="12"/>
        <v>783</v>
      </c>
      <c r="B784" s="4" t="s">
        <v>381</v>
      </c>
      <c r="C784" s="5" t="s">
        <v>370</v>
      </c>
      <c r="D784" s="35">
        <v>45170</v>
      </c>
      <c r="E784" s="36">
        <v>82708</v>
      </c>
      <c r="F784" s="5" t="s">
        <v>379</v>
      </c>
    </row>
    <row r="785" spans="1:6">
      <c r="A785" s="4">
        <f t="shared" si="12"/>
        <v>784</v>
      </c>
      <c r="B785" s="4" t="s">
        <v>382</v>
      </c>
      <c r="C785" s="5" t="s">
        <v>362</v>
      </c>
      <c r="D785" s="35">
        <v>45170</v>
      </c>
      <c r="E785" s="36">
        <v>16853.93</v>
      </c>
      <c r="F785" s="5" t="s">
        <v>379</v>
      </c>
    </row>
    <row r="786" spans="1:6">
      <c r="A786" s="4">
        <f t="shared" si="12"/>
        <v>785</v>
      </c>
      <c r="B786" s="4" t="s">
        <v>382</v>
      </c>
      <c r="C786" s="5" t="s">
        <v>356</v>
      </c>
      <c r="D786" s="35">
        <v>45170</v>
      </c>
      <c r="E786" s="36">
        <v>12176.68</v>
      </c>
      <c r="F786" s="5" t="s">
        <v>379</v>
      </c>
    </row>
    <row r="787" spans="1:6">
      <c r="A787" s="4">
        <f t="shared" si="12"/>
        <v>786</v>
      </c>
      <c r="B787" s="4" t="s">
        <v>382</v>
      </c>
      <c r="C787" s="5" t="s">
        <v>353</v>
      </c>
      <c r="D787" s="35">
        <v>45170</v>
      </c>
      <c r="E787" s="36">
        <v>3302.5</v>
      </c>
      <c r="F787" s="5" t="s">
        <v>379</v>
      </c>
    </row>
    <row r="788" spans="1:6">
      <c r="A788" s="4">
        <f t="shared" si="12"/>
        <v>787</v>
      </c>
      <c r="B788" s="4" t="s">
        <v>382</v>
      </c>
      <c r="C788" s="5" t="s">
        <v>354</v>
      </c>
      <c r="D788" s="35">
        <v>45170</v>
      </c>
      <c r="E788" s="36">
        <v>5478.8</v>
      </c>
      <c r="F788" s="5" t="s">
        <v>379</v>
      </c>
    </row>
    <row r="789" spans="1:6">
      <c r="A789" s="4">
        <f t="shared" si="12"/>
        <v>788</v>
      </c>
      <c r="B789" s="4" t="s">
        <v>382</v>
      </c>
      <c r="C789" s="5" t="s">
        <v>366</v>
      </c>
      <c r="D789" s="35">
        <v>45170</v>
      </c>
      <c r="E789" s="36">
        <v>100547.07</v>
      </c>
      <c r="F789" s="5" t="s">
        <v>379</v>
      </c>
    </row>
    <row r="790" spans="1:6">
      <c r="A790" s="4">
        <f t="shared" si="12"/>
        <v>789</v>
      </c>
      <c r="B790" s="4" t="s">
        <v>382</v>
      </c>
      <c r="C790" s="5" t="s">
        <v>358</v>
      </c>
      <c r="D790" s="35">
        <v>45170</v>
      </c>
      <c r="E790" s="36">
        <v>114736.42</v>
      </c>
      <c r="F790" s="5" t="s">
        <v>379</v>
      </c>
    </row>
    <row r="791" spans="1:6">
      <c r="A791" s="4">
        <f t="shared" si="12"/>
        <v>790</v>
      </c>
      <c r="B791" s="4" t="s">
        <v>382</v>
      </c>
      <c r="C791" s="5" t="s">
        <v>365</v>
      </c>
      <c r="D791" s="35">
        <v>45170</v>
      </c>
      <c r="E791" s="36">
        <v>60428</v>
      </c>
      <c r="F791" s="5" t="s">
        <v>379</v>
      </c>
    </row>
    <row r="792" spans="1:6">
      <c r="A792" s="4">
        <f t="shared" si="12"/>
        <v>791</v>
      </c>
      <c r="B792" s="4" t="s">
        <v>382</v>
      </c>
      <c r="C792" s="5" t="s">
        <v>368</v>
      </c>
      <c r="D792" s="35">
        <v>45170</v>
      </c>
      <c r="E792" s="36">
        <v>11527.35</v>
      </c>
      <c r="F792" s="5" t="s">
        <v>379</v>
      </c>
    </row>
    <row r="793" spans="1:6">
      <c r="A793" s="4">
        <f t="shared" si="12"/>
        <v>792</v>
      </c>
      <c r="B793" s="4" t="s">
        <v>382</v>
      </c>
      <c r="C793" s="5" t="s">
        <v>367</v>
      </c>
      <c r="D793" s="35">
        <v>45170</v>
      </c>
      <c r="E793" s="36">
        <v>30131.85</v>
      </c>
      <c r="F793" s="5" t="s">
        <v>379</v>
      </c>
    </row>
    <row r="794" spans="1:6">
      <c r="A794" s="4">
        <f t="shared" si="12"/>
        <v>793</v>
      </c>
      <c r="B794" s="4" t="s">
        <v>384</v>
      </c>
      <c r="C794" s="5" t="s">
        <v>360</v>
      </c>
      <c r="D794" s="35">
        <v>45170</v>
      </c>
      <c r="E794" s="36">
        <v>53202.080000000002</v>
      </c>
      <c r="F794" s="5" t="s">
        <v>379</v>
      </c>
    </row>
    <row r="795" spans="1:6">
      <c r="A795" s="4">
        <f t="shared" si="12"/>
        <v>794</v>
      </c>
      <c r="B795" s="4" t="s">
        <v>380</v>
      </c>
      <c r="C795" s="5" t="s">
        <v>357</v>
      </c>
      <c r="D795" s="35">
        <v>45170</v>
      </c>
      <c r="E795" s="36">
        <v>6360</v>
      </c>
      <c r="F795" s="5" t="s">
        <v>379</v>
      </c>
    </row>
    <row r="796" spans="1:6">
      <c r="A796" s="4">
        <f t="shared" si="12"/>
        <v>795</v>
      </c>
      <c r="B796" s="4" t="s">
        <v>381</v>
      </c>
      <c r="C796" s="5" t="s">
        <v>362</v>
      </c>
      <c r="D796" s="35">
        <v>45139</v>
      </c>
      <c r="E796" s="36">
        <v>34220.44</v>
      </c>
      <c r="F796" s="5" t="s">
        <v>379</v>
      </c>
    </row>
    <row r="797" spans="1:6">
      <c r="A797" s="4">
        <f t="shared" si="12"/>
        <v>796</v>
      </c>
      <c r="B797" s="4" t="s">
        <v>381</v>
      </c>
      <c r="C797" s="5" t="s">
        <v>356</v>
      </c>
      <c r="D797" s="35">
        <v>45139</v>
      </c>
      <c r="E797" s="36">
        <v>16060.8</v>
      </c>
      <c r="F797" s="5" t="s">
        <v>379</v>
      </c>
    </row>
    <row r="798" spans="1:6">
      <c r="A798" s="4">
        <f t="shared" si="12"/>
        <v>797</v>
      </c>
      <c r="B798" s="4" t="s">
        <v>381</v>
      </c>
      <c r="C798" s="5" t="s">
        <v>353</v>
      </c>
      <c r="D798" s="35">
        <v>45139</v>
      </c>
      <c r="E798" s="36">
        <v>15586.37</v>
      </c>
      <c r="F798" s="5" t="s">
        <v>379</v>
      </c>
    </row>
    <row r="799" spans="1:6">
      <c r="A799" s="4">
        <f t="shared" si="12"/>
        <v>798</v>
      </c>
      <c r="B799" s="4" t="s">
        <v>381</v>
      </c>
      <c r="C799" s="5" t="s">
        <v>354</v>
      </c>
      <c r="D799" s="35">
        <v>45139</v>
      </c>
      <c r="E799" s="36">
        <v>2069.87</v>
      </c>
      <c r="F799" s="5" t="s">
        <v>379</v>
      </c>
    </row>
    <row r="800" spans="1:6">
      <c r="A800" s="4">
        <f t="shared" si="12"/>
        <v>799</v>
      </c>
      <c r="B800" s="4" t="s">
        <v>381</v>
      </c>
      <c r="C800" s="5" t="s">
        <v>366</v>
      </c>
      <c r="D800" s="35">
        <v>45139</v>
      </c>
      <c r="E800" s="36">
        <v>25838.429999999997</v>
      </c>
      <c r="F800" s="5" t="s">
        <v>379</v>
      </c>
    </row>
    <row r="801" spans="1:6">
      <c r="A801" s="4">
        <f t="shared" si="12"/>
        <v>800</v>
      </c>
      <c r="B801" s="4" t="s">
        <v>381</v>
      </c>
      <c r="C801" s="5" t="s">
        <v>358</v>
      </c>
      <c r="D801" s="35">
        <v>45139</v>
      </c>
      <c r="E801" s="36">
        <v>101189.91999999994</v>
      </c>
      <c r="F801" s="5" t="s">
        <v>379</v>
      </c>
    </row>
    <row r="802" spans="1:6">
      <c r="A802" s="4">
        <f t="shared" si="12"/>
        <v>801</v>
      </c>
      <c r="B802" s="4" t="s">
        <v>381</v>
      </c>
      <c r="C802" s="5" t="s">
        <v>365</v>
      </c>
      <c r="D802" s="35">
        <v>45139</v>
      </c>
      <c r="E802" s="36">
        <v>66840</v>
      </c>
      <c r="F802" s="5" t="s">
        <v>379</v>
      </c>
    </row>
    <row r="803" spans="1:6">
      <c r="A803" s="4">
        <f t="shared" si="12"/>
        <v>802</v>
      </c>
      <c r="B803" s="4" t="s">
        <v>381</v>
      </c>
      <c r="C803" s="5" t="s">
        <v>368</v>
      </c>
      <c r="D803" s="35">
        <v>45139</v>
      </c>
      <c r="E803" s="36">
        <v>24086.25</v>
      </c>
      <c r="F803" s="5" t="s">
        <v>379</v>
      </c>
    </row>
    <row r="804" spans="1:6">
      <c r="A804" s="4">
        <f t="shared" si="12"/>
        <v>803</v>
      </c>
      <c r="B804" s="4" t="s">
        <v>381</v>
      </c>
      <c r="C804" s="5" t="s">
        <v>369</v>
      </c>
      <c r="D804" s="35">
        <v>45139</v>
      </c>
      <c r="E804" s="36">
        <v>9193.44</v>
      </c>
      <c r="F804" s="5" t="s">
        <v>379</v>
      </c>
    </row>
    <row r="805" spans="1:6">
      <c r="A805" s="4">
        <f t="shared" si="12"/>
        <v>804</v>
      </c>
      <c r="B805" s="4" t="s">
        <v>381</v>
      </c>
      <c r="C805" s="5" t="s">
        <v>370</v>
      </c>
      <c r="D805" s="35">
        <v>45139</v>
      </c>
      <c r="E805" s="36">
        <v>25185</v>
      </c>
      <c r="F805" s="5" t="s">
        <v>379</v>
      </c>
    </row>
    <row r="806" spans="1:6">
      <c r="A806" s="4">
        <f t="shared" si="12"/>
        <v>805</v>
      </c>
      <c r="B806" s="4" t="s">
        <v>382</v>
      </c>
      <c r="C806" s="5" t="s">
        <v>362</v>
      </c>
      <c r="D806" s="35">
        <v>45139</v>
      </c>
      <c r="E806" s="36">
        <v>17518.900000000001</v>
      </c>
      <c r="F806" s="5" t="s">
        <v>379</v>
      </c>
    </row>
    <row r="807" spans="1:6">
      <c r="A807" s="4">
        <f t="shared" si="12"/>
        <v>806</v>
      </c>
      <c r="B807" s="4" t="s">
        <v>382</v>
      </c>
      <c r="C807" s="5" t="s">
        <v>356</v>
      </c>
      <c r="D807" s="35">
        <v>45139</v>
      </c>
      <c r="E807" s="36">
        <v>31127.66</v>
      </c>
      <c r="F807" s="5" t="s">
        <v>379</v>
      </c>
    </row>
    <row r="808" spans="1:6">
      <c r="A808" s="4">
        <f t="shared" si="12"/>
        <v>807</v>
      </c>
      <c r="B808" s="4" t="s">
        <v>382</v>
      </c>
      <c r="C808" s="5" t="s">
        <v>353</v>
      </c>
      <c r="D808" s="35">
        <v>45139</v>
      </c>
      <c r="E808" s="36">
        <v>32668.5</v>
      </c>
      <c r="F808" s="5" t="s">
        <v>379</v>
      </c>
    </row>
    <row r="809" spans="1:6">
      <c r="A809" s="4">
        <f t="shared" si="12"/>
        <v>808</v>
      </c>
      <c r="B809" s="4" t="s">
        <v>382</v>
      </c>
      <c r="C809" s="5" t="s">
        <v>354</v>
      </c>
      <c r="D809" s="35">
        <v>45139</v>
      </c>
      <c r="E809" s="36">
        <v>6560.6</v>
      </c>
      <c r="F809" s="5" t="s">
        <v>379</v>
      </c>
    </row>
    <row r="810" spans="1:6">
      <c r="A810" s="4">
        <f t="shared" si="12"/>
        <v>809</v>
      </c>
      <c r="B810" s="4" t="s">
        <v>382</v>
      </c>
      <c r="C810" s="5" t="s">
        <v>366</v>
      </c>
      <c r="D810" s="35">
        <v>45139</v>
      </c>
      <c r="E810" s="36">
        <v>108504.82</v>
      </c>
      <c r="F810" s="5" t="s">
        <v>379</v>
      </c>
    </row>
    <row r="811" spans="1:6">
      <c r="A811" s="4">
        <f t="shared" si="12"/>
        <v>810</v>
      </c>
      <c r="B811" s="4" t="s">
        <v>382</v>
      </c>
      <c r="C811" s="5" t="s">
        <v>358</v>
      </c>
      <c r="D811" s="35">
        <v>45139</v>
      </c>
      <c r="E811" s="36">
        <v>84167.76999999999</v>
      </c>
      <c r="F811" s="5" t="s">
        <v>379</v>
      </c>
    </row>
    <row r="812" spans="1:6">
      <c r="A812" s="4">
        <f t="shared" si="12"/>
        <v>811</v>
      </c>
      <c r="B812" s="4" t="s">
        <v>382</v>
      </c>
      <c r="C812" s="5" t="s">
        <v>365</v>
      </c>
      <c r="D812" s="35">
        <v>45139</v>
      </c>
      <c r="E812" s="36">
        <v>24644</v>
      </c>
      <c r="F812" s="5" t="s">
        <v>379</v>
      </c>
    </row>
    <row r="813" spans="1:6">
      <c r="A813" s="4">
        <f t="shared" si="12"/>
        <v>812</v>
      </c>
      <c r="B813" s="4" t="s">
        <v>382</v>
      </c>
      <c r="C813" s="5" t="s">
        <v>368</v>
      </c>
      <c r="D813" s="35">
        <v>45139</v>
      </c>
      <c r="E813" s="36">
        <v>1237.1400000000001</v>
      </c>
      <c r="F813" s="5" t="s">
        <v>379</v>
      </c>
    </row>
    <row r="814" spans="1:6">
      <c r="A814" s="4">
        <f t="shared" si="12"/>
        <v>813</v>
      </c>
      <c r="B814" s="4" t="s">
        <v>382</v>
      </c>
      <c r="C814" s="5" t="s">
        <v>369</v>
      </c>
      <c r="D814" s="35">
        <v>45139</v>
      </c>
      <c r="E814" s="36">
        <v>1093.68</v>
      </c>
      <c r="F814" s="5" t="s">
        <v>379</v>
      </c>
    </row>
    <row r="815" spans="1:6">
      <c r="A815" s="4">
        <f t="shared" si="12"/>
        <v>814</v>
      </c>
      <c r="B815" s="4" t="s">
        <v>382</v>
      </c>
      <c r="C815" s="5" t="s">
        <v>370</v>
      </c>
      <c r="D815" s="35">
        <v>45139</v>
      </c>
      <c r="E815" s="36">
        <v>4485</v>
      </c>
      <c r="F815" s="5" t="s">
        <v>379</v>
      </c>
    </row>
    <row r="816" spans="1:6">
      <c r="A816" s="4">
        <f t="shared" si="12"/>
        <v>815</v>
      </c>
      <c r="B816" s="4" t="s">
        <v>382</v>
      </c>
      <c r="C816" s="5" t="s">
        <v>367</v>
      </c>
      <c r="D816" s="35">
        <v>45139</v>
      </c>
      <c r="E816" s="36">
        <v>37786.29</v>
      </c>
      <c r="F816" s="5" t="s">
        <v>379</v>
      </c>
    </row>
    <row r="817" spans="1:6">
      <c r="A817" s="4">
        <f t="shared" si="12"/>
        <v>816</v>
      </c>
      <c r="B817" s="4" t="s">
        <v>384</v>
      </c>
      <c r="C817" s="5" t="s">
        <v>360</v>
      </c>
      <c r="D817" s="35">
        <v>45139</v>
      </c>
      <c r="E817" s="36">
        <v>52824.959999999999</v>
      </c>
      <c r="F817" s="5" t="s">
        <v>379</v>
      </c>
    </row>
    <row r="818" spans="1:6">
      <c r="A818" s="4">
        <f t="shared" si="12"/>
        <v>817</v>
      </c>
      <c r="B818" s="4" t="s">
        <v>380</v>
      </c>
      <c r="C818" s="5" t="s">
        <v>357</v>
      </c>
      <c r="D818" s="35">
        <v>45139</v>
      </c>
      <c r="E818" s="36">
        <v>10200</v>
      </c>
      <c r="F818" s="5" t="s">
        <v>379</v>
      </c>
    </row>
    <row r="819" spans="1:6">
      <c r="A819" s="4">
        <f t="shared" si="12"/>
        <v>818</v>
      </c>
      <c r="B819" s="4" t="s">
        <v>381</v>
      </c>
      <c r="C819" s="5" t="s">
        <v>362</v>
      </c>
      <c r="D819" s="35">
        <v>45108</v>
      </c>
      <c r="E819" s="36">
        <v>30183.379999999994</v>
      </c>
      <c r="F819" s="5" t="s">
        <v>379</v>
      </c>
    </row>
    <row r="820" spans="1:6">
      <c r="A820" s="4">
        <f t="shared" si="12"/>
        <v>819</v>
      </c>
      <c r="B820" s="4" t="s">
        <v>381</v>
      </c>
      <c r="C820" s="5" t="s">
        <v>357</v>
      </c>
      <c r="D820" s="35">
        <v>45108</v>
      </c>
      <c r="E820" s="36">
        <v>179329.19</v>
      </c>
      <c r="F820" s="5" t="s">
        <v>379</v>
      </c>
    </row>
    <row r="821" spans="1:6">
      <c r="A821" s="4">
        <f t="shared" si="12"/>
        <v>820</v>
      </c>
      <c r="B821" s="4" t="s">
        <v>381</v>
      </c>
      <c r="C821" s="5" t="s">
        <v>356</v>
      </c>
      <c r="D821" s="35">
        <v>45108</v>
      </c>
      <c r="E821" s="36">
        <v>25116.480000000003</v>
      </c>
      <c r="F821" s="5" t="s">
        <v>379</v>
      </c>
    </row>
    <row r="822" spans="1:6">
      <c r="A822" s="4">
        <f t="shared" si="12"/>
        <v>821</v>
      </c>
      <c r="B822" s="4" t="s">
        <v>381</v>
      </c>
      <c r="C822" s="5" t="s">
        <v>353</v>
      </c>
      <c r="D822" s="35">
        <v>45108</v>
      </c>
      <c r="E822" s="36">
        <v>6086.6</v>
      </c>
      <c r="F822" s="5" t="s">
        <v>379</v>
      </c>
    </row>
    <row r="823" spans="1:6">
      <c r="A823" s="4">
        <f t="shared" si="12"/>
        <v>822</v>
      </c>
      <c r="B823" s="4" t="s">
        <v>381</v>
      </c>
      <c r="C823" s="5" t="s">
        <v>366</v>
      </c>
      <c r="D823" s="35">
        <v>45108</v>
      </c>
      <c r="E823" s="36">
        <v>17003.830000000002</v>
      </c>
      <c r="F823" s="5" t="s">
        <v>379</v>
      </c>
    </row>
    <row r="824" spans="1:6">
      <c r="A824" s="4">
        <f t="shared" si="12"/>
        <v>823</v>
      </c>
      <c r="B824" s="4" t="s">
        <v>381</v>
      </c>
      <c r="C824" s="5" t="s">
        <v>358</v>
      </c>
      <c r="D824" s="35">
        <v>45108</v>
      </c>
      <c r="E824" s="36">
        <v>161169.7699999999</v>
      </c>
      <c r="F824" s="5" t="s">
        <v>379</v>
      </c>
    </row>
    <row r="825" spans="1:6">
      <c r="A825" s="4">
        <f t="shared" si="12"/>
        <v>824</v>
      </c>
      <c r="B825" s="4" t="s">
        <v>381</v>
      </c>
      <c r="C825" s="5" t="s">
        <v>365</v>
      </c>
      <c r="D825" s="35">
        <v>45108</v>
      </c>
      <c r="E825" s="36">
        <v>64364</v>
      </c>
      <c r="F825" s="5" t="s">
        <v>379</v>
      </c>
    </row>
    <row r="826" spans="1:6">
      <c r="A826" s="4">
        <f t="shared" si="12"/>
        <v>825</v>
      </c>
      <c r="B826" s="4" t="s">
        <v>381</v>
      </c>
      <c r="C826" s="5" t="s">
        <v>368</v>
      </c>
      <c r="D826" s="35">
        <v>45108</v>
      </c>
      <c r="E826" s="36">
        <v>9344.2000000000007</v>
      </c>
      <c r="F826" s="5" t="s">
        <v>379</v>
      </c>
    </row>
    <row r="827" spans="1:6">
      <c r="A827" s="4">
        <f t="shared" si="12"/>
        <v>826</v>
      </c>
      <c r="B827" s="4" t="s">
        <v>381</v>
      </c>
      <c r="C827" s="5" t="s">
        <v>369</v>
      </c>
      <c r="D827" s="35">
        <v>45108</v>
      </c>
      <c r="E827" s="36">
        <v>5869.73</v>
      </c>
      <c r="F827" s="5" t="s">
        <v>379</v>
      </c>
    </row>
    <row r="828" spans="1:6">
      <c r="A828" s="4">
        <f t="shared" si="12"/>
        <v>827</v>
      </c>
      <c r="B828" s="4" t="s">
        <v>381</v>
      </c>
      <c r="C828" s="5" t="s">
        <v>370</v>
      </c>
      <c r="D828" s="35">
        <v>45108</v>
      </c>
      <c r="E828" s="36">
        <v>17319</v>
      </c>
      <c r="F828" s="5" t="s">
        <v>379</v>
      </c>
    </row>
    <row r="829" spans="1:6">
      <c r="A829" s="4">
        <f t="shared" si="12"/>
        <v>828</v>
      </c>
      <c r="B829" s="4" t="s">
        <v>382</v>
      </c>
      <c r="C829" s="5" t="s">
        <v>362</v>
      </c>
      <c r="D829" s="35">
        <v>45108</v>
      </c>
      <c r="E829" s="36">
        <v>35376.5</v>
      </c>
      <c r="F829" s="5" t="s">
        <v>379</v>
      </c>
    </row>
    <row r="830" spans="1:6">
      <c r="A830" s="4">
        <f t="shared" si="12"/>
        <v>829</v>
      </c>
      <c r="B830" s="4" t="s">
        <v>382</v>
      </c>
      <c r="C830" s="5" t="s">
        <v>357</v>
      </c>
      <c r="D830" s="35">
        <v>45108</v>
      </c>
      <c r="E830" s="36">
        <v>7529.54</v>
      </c>
      <c r="F830" s="5" t="s">
        <v>379</v>
      </c>
    </row>
    <row r="831" spans="1:6">
      <c r="A831" s="4">
        <f t="shared" si="12"/>
        <v>830</v>
      </c>
      <c r="B831" s="4" t="s">
        <v>382</v>
      </c>
      <c r="C831" s="5" t="s">
        <v>356</v>
      </c>
      <c r="D831" s="35">
        <v>45108</v>
      </c>
      <c r="E831" s="36">
        <v>29787.9</v>
      </c>
      <c r="F831" s="5" t="s">
        <v>379</v>
      </c>
    </row>
    <row r="832" spans="1:6">
      <c r="A832" s="4">
        <f t="shared" si="12"/>
        <v>831</v>
      </c>
      <c r="B832" s="4" t="s">
        <v>382</v>
      </c>
      <c r="C832" s="5" t="s">
        <v>353</v>
      </c>
      <c r="D832" s="35">
        <v>45108</v>
      </c>
      <c r="E832" s="36">
        <v>6605</v>
      </c>
      <c r="F832" s="5" t="s">
        <v>379</v>
      </c>
    </row>
    <row r="833" spans="1:6">
      <c r="A833" s="4">
        <f t="shared" si="12"/>
        <v>832</v>
      </c>
      <c r="B833" s="4" t="s">
        <v>382</v>
      </c>
      <c r="C833" s="5" t="s">
        <v>354</v>
      </c>
      <c r="D833" s="35">
        <v>45108</v>
      </c>
      <c r="E833" s="36">
        <v>10868.62</v>
      </c>
      <c r="F833" s="5" t="s">
        <v>379</v>
      </c>
    </row>
    <row r="834" spans="1:6">
      <c r="A834" s="4">
        <f t="shared" si="12"/>
        <v>833</v>
      </c>
      <c r="B834" s="4" t="s">
        <v>382</v>
      </c>
      <c r="C834" s="5" t="s">
        <v>366</v>
      </c>
      <c r="D834" s="35">
        <v>45108</v>
      </c>
      <c r="E834" s="36">
        <v>85989.11</v>
      </c>
      <c r="F834" s="5" t="s">
        <v>379</v>
      </c>
    </row>
    <row r="835" spans="1:6">
      <c r="A835" s="4">
        <f t="shared" si="12"/>
        <v>834</v>
      </c>
      <c r="B835" s="4" t="s">
        <v>382</v>
      </c>
      <c r="C835" s="5" t="s">
        <v>358</v>
      </c>
      <c r="D835" s="35">
        <v>45108</v>
      </c>
      <c r="E835" s="36">
        <v>95787.67</v>
      </c>
      <c r="F835" s="5" t="s">
        <v>379</v>
      </c>
    </row>
    <row r="836" spans="1:6">
      <c r="A836" s="4">
        <f t="shared" si="12"/>
        <v>835</v>
      </c>
      <c r="B836" s="4" t="s">
        <v>382</v>
      </c>
      <c r="C836" s="5" t="s">
        <v>365</v>
      </c>
      <c r="D836" s="35">
        <v>45108</v>
      </c>
      <c r="E836" s="36">
        <v>42720</v>
      </c>
      <c r="F836" s="5" t="s">
        <v>379</v>
      </c>
    </row>
    <row r="837" spans="1:6">
      <c r="A837" s="4">
        <f t="shared" si="12"/>
        <v>836</v>
      </c>
      <c r="B837" s="4" t="s">
        <v>382</v>
      </c>
      <c r="C837" s="5" t="s">
        <v>368</v>
      </c>
      <c r="D837" s="35">
        <v>45108</v>
      </c>
      <c r="E837" s="36">
        <v>9634.6200000000008</v>
      </c>
      <c r="F837" s="5" t="s">
        <v>379</v>
      </c>
    </row>
    <row r="838" spans="1:6">
      <c r="A838" s="4">
        <f t="shared" si="12"/>
        <v>837</v>
      </c>
      <c r="B838" s="4" t="s">
        <v>384</v>
      </c>
      <c r="C838" s="5" t="s">
        <v>360</v>
      </c>
      <c r="D838" s="35">
        <v>45108</v>
      </c>
      <c r="E838" s="36">
        <v>70732</v>
      </c>
      <c r="F838" s="5" t="s">
        <v>379</v>
      </c>
    </row>
    <row r="839" spans="1:6">
      <c r="A839" s="4">
        <f t="shared" si="12"/>
        <v>838</v>
      </c>
      <c r="B839" s="4" t="s">
        <v>380</v>
      </c>
      <c r="C839" s="5" t="s">
        <v>357</v>
      </c>
      <c r="D839" s="35">
        <v>45108</v>
      </c>
      <c r="E839" s="36">
        <v>5876</v>
      </c>
      <c r="F839" s="5" t="s">
        <v>379</v>
      </c>
    </row>
    <row r="840" spans="1:6">
      <c r="A840" s="4">
        <f t="shared" si="12"/>
        <v>839</v>
      </c>
      <c r="B840" s="4" t="s">
        <v>387</v>
      </c>
      <c r="C840" s="5" t="s">
        <v>354</v>
      </c>
      <c r="D840" s="38">
        <v>45078</v>
      </c>
      <c r="E840" s="36">
        <v>11022</v>
      </c>
      <c r="F840" s="5" t="s">
        <v>379</v>
      </c>
    </row>
    <row r="841" spans="1:6">
      <c r="A841" s="4">
        <f t="shared" si="12"/>
        <v>840</v>
      </c>
      <c r="B841" s="4" t="s">
        <v>381</v>
      </c>
      <c r="C841" s="5" t="s">
        <v>362</v>
      </c>
      <c r="D841" s="35">
        <v>45078</v>
      </c>
      <c r="E841" s="36">
        <v>18527.13</v>
      </c>
      <c r="F841" s="5" t="s">
        <v>379</v>
      </c>
    </row>
    <row r="842" spans="1:6">
      <c r="A842" s="4">
        <f t="shared" si="12"/>
        <v>841</v>
      </c>
      <c r="B842" s="4" t="s">
        <v>381</v>
      </c>
      <c r="C842" s="5" t="s">
        <v>356</v>
      </c>
      <c r="D842" s="35">
        <v>45078</v>
      </c>
      <c r="E842" s="36">
        <v>3570</v>
      </c>
      <c r="F842" s="5" t="s">
        <v>379</v>
      </c>
    </row>
    <row r="843" spans="1:6">
      <c r="A843" s="4">
        <f t="shared" ref="A843:A906" si="13">ROW()-1</f>
        <v>842</v>
      </c>
      <c r="B843" s="4" t="s">
        <v>381</v>
      </c>
      <c r="C843" s="5" t="s">
        <v>353</v>
      </c>
      <c r="D843" s="35">
        <v>45078</v>
      </c>
      <c r="E843" s="36">
        <v>4608</v>
      </c>
      <c r="F843" s="5" t="s">
        <v>379</v>
      </c>
    </row>
    <row r="844" spans="1:6">
      <c r="A844" s="4">
        <f t="shared" si="13"/>
        <v>843</v>
      </c>
      <c r="B844" s="4" t="s">
        <v>381</v>
      </c>
      <c r="C844" s="5" t="s">
        <v>366</v>
      </c>
      <c r="D844" s="35">
        <v>45078</v>
      </c>
      <c r="E844" s="36">
        <v>6740</v>
      </c>
      <c r="F844" s="5" t="s">
        <v>379</v>
      </c>
    </row>
    <row r="845" spans="1:6">
      <c r="A845" s="4">
        <f t="shared" si="13"/>
        <v>844</v>
      </c>
      <c r="B845" s="4" t="s">
        <v>381</v>
      </c>
      <c r="C845" s="5" t="s">
        <v>358</v>
      </c>
      <c r="D845" s="35">
        <v>45078</v>
      </c>
      <c r="E845" s="36">
        <v>120989.42999999996</v>
      </c>
      <c r="F845" s="5" t="s">
        <v>379</v>
      </c>
    </row>
    <row r="846" spans="1:6">
      <c r="A846" s="4">
        <f t="shared" si="13"/>
        <v>845</v>
      </c>
      <c r="B846" s="4" t="s">
        <v>381</v>
      </c>
      <c r="C846" s="5" t="s">
        <v>365</v>
      </c>
      <c r="D846" s="35">
        <v>45078</v>
      </c>
      <c r="E846" s="36">
        <v>47772</v>
      </c>
      <c r="F846" s="5" t="s">
        <v>379</v>
      </c>
    </row>
    <row r="847" spans="1:6">
      <c r="A847" s="4">
        <f t="shared" si="13"/>
        <v>846</v>
      </c>
      <c r="B847" s="4" t="s">
        <v>381</v>
      </c>
      <c r="C847" s="5" t="s">
        <v>368</v>
      </c>
      <c r="D847" s="35">
        <v>45078</v>
      </c>
      <c r="E847" s="36">
        <v>54525.829999999987</v>
      </c>
      <c r="F847" s="5" t="s">
        <v>379</v>
      </c>
    </row>
    <row r="848" spans="1:6">
      <c r="A848" s="4">
        <f t="shared" si="13"/>
        <v>847</v>
      </c>
      <c r="B848" s="4" t="s">
        <v>381</v>
      </c>
      <c r="C848" s="5" t="s">
        <v>370</v>
      </c>
      <c r="D848" s="35">
        <v>45078</v>
      </c>
      <c r="E848" s="36">
        <v>34592</v>
      </c>
      <c r="F848" s="5" t="s">
        <v>379</v>
      </c>
    </row>
    <row r="849" spans="1:6">
      <c r="A849" s="4">
        <f t="shared" si="13"/>
        <v>848</v>
      </c>
      <c r="B849" s="4" t="s">
        <v>382</v>
      </c>
      <c r="C849" s="5" t="s">
        <v>362</v>
      </c>
      <c r="D849" s="35">
        <v>45078</v>
      </c>
      <c r="E849" s="36">
        <v>6143.76</v>
      </c>
      <c r="F849" s="5" t="s">
        <v>379</v>
      </c>
    </row>
    <row r="850" spans="1:6">
      <c r="A850" s="4">
        <f t="shared" si="13"/>
        <v>849</v>
      </c>
      <c r="B850" s="4" t="s">
        <v>382</v>
      </c>
      <c r="C850" s="5" t="s">
        <v>356</v>
      </c>
      <c r="D850" s="35">
        <v>45078</v>
      </c>
      <c r="E850" s="36">
        <v>20940.48</v>
      </c>
      <c r="F850" s="5" t="s">
        <v>379</v>
      </c>
    </row>
    <row r="851" spans="1:6">
      <c r="A851" s="4">
        <f t="shared" si="13"/>
        <v>850</v>
      </c>
      <c r="B851" s="4" t="s">
        <v>382</v>
      </c>
      <c r="C851" s="5" t="s">
        <v>353</v>
      </c>
      <c r="D851" s="35">
        <v>45078</v>
      </c>
      <c r="E851" s="36">
        <v>8055</v>
      </c>
      <c r="F851" s="5" t="s">
        <v>379</v>
      </c>
    </row>
    <row r="852" spans="1:6">
      <c r="A852" s="4">
        <f t="shared" si="13"/>
        <v>851</v>
      </c>
      <c r="B852" s="4" t="s">
        <v>382</v>
      </c>
      <c r="C852" s="5" t="s">
        <v>354</v>
      </c>
      <c r="D852" s="35">
        <v>45078</v>
      </c>
      <c r="E852" s="36">
        <v>8724.2000000000007</v>
      </c>
      <c r="F852" s="5" t="s">
        <v>379</v>
      </c>
    </row>
    <row r="853" spans="1:6">
      <c r="A853" s="4">
        <f t="shared" si="13"/>
        <v>852</v>
      </c>
      <c r="B853" s="4" t="s">
        <v>382</v>
      </c>
      <c r="C853" s="5" t="s">
        <v>366</v>
      </c>
      <c r="D853" s="35">
        <v>45078</v>
      </c>
      <c r="E853" s="36">
        <v>45793.23</v>
      </c>
      <c r="F853" s="5" t="s">
        <v>379</v>
      </c>
    </row>
    <row r="854" spans="1:6">
      <c r="A854" s="4">
        <f t="shared" si="13"/>
        <v>853</v>
      </c>
      <c r="B854" s="4" t="s">
        <v>382</v>
      </c>
      <c r="C854" s="5" t="s">
        <v>358</v>
      </c>
      <c r="D854" s="35">
        <v>45078</v>
      </c>
      <c r="E854" s="36">
        <v>103797.15999999999</v>
      </c>
      <c r="F854" s="5" t="s">
        <v>379</v>
      </c>
    </row>
    <row r="855" spans="1:6">
      <c r="A855" s="4">
        <f t="shared" si="13"/>
        <v>854</v>
      </c>
      <c r="B855" s="4" t="s">
        <v>382</v>
      </c>
      <c r="C855" s="5" t="s">
        <v>365</v>
      </c>
      <c r="D855" s="35">
        <v>45078</v>
      </c>
      <c r="E855" s="36">
        <v>9616</v>
      </c>
      <c r="F855" s="5" t="s">
        <v>379</v>
      </c>
    </row>
    <row r="856" spans="1:6">
      <c r="A856" s="4">
        <f t="shared" si="13"/>
        <v>855</v>
      </c>
      <c r="B856" s="4" t="s">
        <v>382</v>
      </c>
      <c r="C856" s="5" t="s">
        <v>368</v>
      </c>
      <c r="D856" s="35">
        <v>45078</v>
      </c>
      <c r="E856" s="36">
        <v>9210.89</v>
      </c>
      <c r="F856" s="5" t="s">
        <v>379</v>
      </c>
    </row>
    <row r="857" spans="1:6">
      <c r="A857" s="4">
        <f t="shared" si="13"/>
        <v>856</v>
      </c>
      <c r="B857" s="4" t="s">
        <v>382</v>
      </c>
      <c r="C857" s="5" t="s">
        <v>367</v>
      </c>
      <c r="D857" s="35">
        <v>45078</v>
      </c>
      <c r="E857" s="36">
        <v>14679.48</v>
      </c>
      <c r="F857" s="5" t="s">
        <v>379</v>
      </c>
    </row>
    <row r="858" spans="1:6">
      <c r="A858" s="4">
        <f t="shared" si="13"/>
        <v>857</v>
      </c>
      <c r="B858" s="4" t="s">
        <v>384</v>
      </c>
      <c r="C858" s="5" t="s">
        <v>360</v>
      </c>
      <c r="D858" s="35">
        <v>45078</v>
      </c>
      <c r="E858" s="36">
        <v>69414</v>
      </c>
      <c r="F858" s="5" t="s">
        <v>379</v>
      </c>
    </row>
    <row r="859" spans="1:6">
      <c r="A859" s="4">
        <f t="shared" si="13"/>
        <v>858</v>
      </c>
      <c r="B859" s="4" t="s">
        <v>380</v>
      </c>
      <c r="C859" s="5" t="s">
        <v>357</v>
      </c>
      <c r="D859" s="35">
        <v>45078</v>
      </c>
      <c r="E859" s="36">
        <v>13566</v>
      </c>
      <c r="F859" s="5" t="s">
        <v>379</v>
      </c>
    </row>
    <row r="860" spans="1:6">
      <c r="A860" s="4">
        <f t="shared" si="13"/>
        <v>859</v>
      </c>
      <c r="B860" s="4" t="s">
        <v>381</v>
      </c>
      <c r="C860" s="5" t="s">
        <v>362</v>
      </c>
      <c r="D860" s="35">
        <v>45047</v>
      </c>
      <c r="E860" s="36">
        <v>24254.620000000003</v>
      </c>
      <c r="F860" s="5" t="s">
        <v>379</v>
      </c>
    </row>
    <row r="861" spans="1:6">
      <c r="A861" s="4">
        <f t="shared" si="13"/>
        <v>860</v>
      </c>
      <c r="B861" s="4" t="s">
        <v>381</v>
      </c>
      <c r="C861" s="5" t="s">
        <v>357</v>
      </c>
      <c r="D861" s="35">
        <v>45047</v>
      </c>
      <c r="E861" s="36">
        <v>85893.36</v>
      </c>
      <c r="F861" s="5" t="s">
        <v>379</v>
      </c>
    </row>
    <row r="862" spans="1:6">
      <c r="A862" s="4">
        <f t="shared" si="13"/>
        <v>861</v>
      </c>
      <c r="B862" s="4" t="s">
        <v>381</v>
      </c>
      <c r="C862" s="5" t="s">
        <v>356</v>
      </c>
      <c r="D862" s="35">
        <v>45047</v>
      </c>
      <c r="E862" s="36">
        <v>14229.76</v>
      </c>
      <c r="F862" s="5" t="s">
        <v>379</v>
      </c>
    </row>
    <row r="863" spans="1:6">
      <c r="A863" s="4">
        <f t="shared" si="13"/>
        <v>862</v>
      </c>
      <c r="B863" s="4" t="s">
        <v>381</v>
      </c>
      <c r="C863" s="5" t="s">
        <v>366</v>
      </c>
      <c r="D863" s="35">
        <v>45047</v>
      </c>
      <c r="E863" s="36">
        <v>12488.59</v>
      </c>
      <c r="F863" s="5" t="s">
        <v>379</v>
      </c>
    </row>
    <row r="864" spans="1:6">
      <c r="A864" s="4">
        <f t="shared" si="13"/>
        <v>863</v>
      </c>
      <c r="B864" s="4" t="s">
        <v>381</v>
      </c>
      <c r="C864" s="5" t="s">
        <v>358</v>
      </c>
      <c r="D864" s="35">
        <v>45047</v>
      </c>
      <c r="E864" s="36">
        <v>88783.38</v>
      </c>
      <c r="F864" s="5" t="s">
        <v>379</v>
      </c>
    </row>
    <row r="865" spans="1:6">
      <c r="A865" s="4">
        <f t="shared" si="13"/>
        <v>864</v>
      </c>
      <c r="B865" s="4" t="s">
        <v>381</v>
      </c>
      <c r="C865" s="5" t="s">
        <v>365</v>
      </c>
      <c r="D865" s="35">
        <v>45047</v>
      </c>
      <c r="E865" s="36">
        <v>28984</v>
      </c>
      <c r="F865" s="5" t="s">
        <v>379</v>
      </c>
    </row>
    <row r="866" spans="1:6">
      <c r="A866" s="4">
        <f t="shared" si="13"/>
        <v>865</v>
      </c>
      <c r="B866" s="4" t="s">
        <v>381</v>
      </c>
      <c r="C866" s="5" t="s">
        <v>368</v>
      </c>
      <c r="D866" s="35">
        <v>45047</v>
      </c>
      <c r="E866" s="36">
        <v>1422</v>
      </c>
      <c r="F866" s="5" t="s">
        <v>379</v>
      </c>
    </row>
    <row r="867" spans="1:6">
      <c r="A867" s="4">
        <f t="shared" si="13"/>
        <v>866</v>
      </c>
      <c r="B867" s="4" t="s">
        <v>381</v>
      </c>
      <c r="C867" s="5" t="s">
        <v>369</v>
      </c>
      <c r="D867" s="35">
        <v>45047</v>
      </c>
      <c r="E867" s="36">
        <v>4080</v>
      </c>
      <c r="F867" s="5" t="s">
        <v>379</v>
      </c>
    </row>
    <row r="868" spans="1:6">
      <c r="A868" s="4">
        <f t="shared" si="13"/>
        <v>867</v>
      </c>
      <c r="B868" s="4" t="s">
        <v>381</v>
      </c>
      <c r="C868" s="5" t="s">
        <v>370</v>
      </c>
      <c r="D868" s="35">
        <v>45047</v>
      </c>
      <c r="E868" s="36">
        <v>86829.6</v>
      </c>
      <c r="F868" s="5" t="s">
        <v>379</v>
      </c>
    </row>
    <row r="869" spans="1:6">
      <c r="A869" s="4">
        <f t="shared" si="13"/>
        <v>868</v>
      </c>
      <c r="B869" s="4" t="s">
        <v>382</v>
      </c>
      <c r="C869" s="5" t="s">
        <v>362</v>
      </c>
      <c r="D869" s="35">
        <v>45047</v>
      </c>
      <c r="E869" s="36">
        <v>42687.13</v>
      </c>
      <c r="F869" s="5" t="s">
        <v>379</v>
      </c>
    </row>
    <row r="870" spans="1:6">
      <c r="A870" s="4">
        <f t="shared" si="13"/>
        <v>869</v>
      </c>
      <c r="B870" s="4" t="s">
        <v>382</v>
      </c>
      <c r="C870" s="5" t="s">
        <v>357</v>
      </c>
      <c r="D870" s="35">
        <v>45047</v>
      </c>
      <c r="E870" s="36">
        <v>10900.01</v>
      </c>
      <c r="F870" s="5" t="s">
        <v>379</v>
      </c>
    </row>
    <row r="871" spans="1:6">
      <c r="A871" s="4">
        <f t="shared" si="13"/>
        <v>870</v>
      </c>
      <c r="B871" s="4" t="s">
        <v>382</v>
      </c>
      <c r="C871" s="5" t="s">
        <v>356</v>
      </c>
      <c r="D871" s="35">
        <v>45047</v>
      </c>
      <c r="E871" s="36">
        <v>19774</v>
      </c>
      <c r="F871" s="5" t="s">
        <v>379</v>
      </c>
    </row>
    <row r="872" spans="1:6">
      <c r="A872" s="4">
        <f t="shared" si="13"/>
        <v>871</v>
      </c>
      <c r="B872" s="4" t="s">
        <v>382</v>
      </c>
      <c r="C872" s="5" t="s">
        <v>353</v>
      </c>
      <c r="D872" s="35">
        <v>45047</v>
      </c>
      <c r="E872" s="36">
        <v>22041.279999999999</v>
      </c>
      <c r="F872" s="5" t="s">
        <v>379</v>
      </c>
    </row>
    <row r="873" spans="1:6">
      <c r="A873" s="4">
        <f t="shared" si="13"/>
        <v>872</v>
      </c>
      <c r="B873" s="4" t="s">
        <v>382</v>
      </c>
      <c r="C873" s="5" t="s">
        <v>354</v>
      </c>
      <c r="D873" s="35">
        <v>45047</v>
      </c>
      <c r="E873" s="36">
        <v>7502.8</v>
      </c>
      <c r="F873" s="5" t="s">
        <v>379</v>
      </c>
    </row>
    <row r="874" spans="1:6">
      <c r="A874" s="4">
        <f t="shared" si="13"/>
        <v>873</v>
      </c>
      <c r="B874" s="4" t="s">
        <v>382</v>
      </c>
      <c r="C874" s="5" t="s">
        <v>366</v>
      </c>
      <c r="D874" s="35">
        <v>45047</v>
      </c>
      <c r="E874" s="36">
        <v>55524.9</v>
      </c>
      <c r="F874" s="5" t="s">
        <v>379</v>
      </c>
    </row>
    <row r="875" spans="1:6">
      <c r="A875" s="4">
        <f t="shared" si="13"/>
        <v>874</v>
      </c>
      <c r="B875" s="4" t="s">
        <v>382</v>
      </c>
      <c r="C875" s="5" t="s">
        <v>358</v>
      </c>
      <c r="D875" s="35">
        <v>45047</v>
      </c>
      <c r="E875" s="36">
        <v>118137.23</v>
      </c>
      <c r="F875" s="5" t="s">
        <v>379</v>
      </c>
    </row>
    <row r="876" spans="1:6">
      <c r="A876" s="4">
        <f t="shared" si="13"/>
        <v>875</v>
      </c>
      <c r="B876" s="4" t="s">
        <v>382</v>
      </c>
      <c r="C876" s="5" t="s">
        <v>365</v>
      </c>
      <c r="D876" s="35">
        <v>45047</v>
      </c>
      <c r="E876" s="36">
        <v>27808</v>
      </c>
      <c r="F876" s="5" t="s">
        <v>379</v>
      </c>
    </row>
    <row r="877" spans="1:6">
      <c r="A877" s="4">
        <f t="shared" si="13"/>
        <v>876</v>
      </c>
      <c r="B877" s="4" t="s">
        <v>382</v>
      </c>
      <c r="C877" s="5" t="s">
        <v>367</v>
      </c>
      <c r="D877" s="35">
        <v>45047</v>
      </c>
      <c r="E877" s="36">
        <v>29989.45</v>
      </c>
      <c r="F877" s="5" t="s">
        <v>379</v>
      </c>
    </row>
    <row r="878" spans="1:6">
      <c r="A878" s="4">
        <f t="shared" si="13"/>
        <v>877</v>
      </c>
      <c r="B878" s="4" t="s">
        <v>382</v>
      </c>
      <c r="C878" s="5" t="s">
        <v>355</v>
      </c>
      <c r="D878" s="35">
        <v>45047</v>
      </c>
      <c r="E878" s="36">
        <v>4156.4399999999996</v>
      </c>
      <c r="F878" s="5" t="s">
        <v>379</v>
      </c>
    </row>
    <row r="879" spans="1:6">
      <c r="A879" s="4">
        <f t="shared" si="13"/>
        <v>878</v>
      </c>
      <c r="B879" s="4" t="s">
        <v>384</v>
      </c>
      <c r="C879" s="5" t="s">
        <v>360</v>
      </c>
      <c r="D879" s="35">
        <v>45047</v>
      </c>
      <c r="E879" s="36">
        <v>68400</v>
      </c>
      <c r="F879" s="5" t="s">
        <v>379</v>
      </c>
    </row>
    <row r="880" spans="1:6">
      <c r="A880" s="4">
        <f t="shared" si="13"/>
        <v>879</v>
      </c>
      <c r="B880" s="4" t="s">
        <v>384</v>
      </c>
      <c r="C880" s="5" t="s">
        <v>356</v>
      </c>
      <c r="D880" s="35">
        <v>45047</v>
      </c>
      <c r="E880" s="36">
        <v>51805.15</v>
      </c>
      <c r="F880" s="5" t="s">
        <v>379</v>
      </c>
    </row>
    <row r="881" spans="1:6">
      <c r="A881" s="4">
        <f t="shared" si="13"/>
        <v>880</v>
      </c>
      <c r="B881" s="4" t="s">
        <v>380</v>
      </c>
      <c r="C881" s="5" t="s">
        <v>357</v>
      </c>
      <c r="D881" s="35">
        <v>45047</v>
      </c>
      <c r="E881" s="36">
        <v>7930</v>
      </c>
      <c r="F881" s="5" t="s">
        <v>379</v>
      </c>
    </row>
    <row r="882" spans="1:6">
      <c r="A882" s="4">
        <f t="shared" si="13"/>
        <v>881</v>
      </c>
      <c r="B882" s="4" t="s">
        <v>381</v>
      </c>
      <c r="C882" s="5" t="s">
        <v>362</v>
      </c>
      <c r="D882" s="35">
        <v>45017</v>
      </c>
      <c r="E882" s="36">
        <v>45559.539999999994</v>
      </c>
      <c r="F882" s="5" t="s">
        <v>379</v>
      </c>
    </row>
    <row r="883" spans="1:6">
      <c r="A883" s="4">
        <f t="shared" si="13"/>
        <v>882</v>
      </c>
      <c r="B883" s="4" t="s">
        <v>381</v>
      </c>
      <c r="C883" s="5" t="s">
        <v>357</v>
      </c>
      <c r="D883" s="35">
        <v>45017</v>
      </c>
      <c r="E883" s="36">
        <v>130908.8</v>
      </c>
      <c r="F883" s="5" t="s">
        <v>379</v>
      </c>
    </row>
    <row r="884" spans="1:6">
      <c r="A884" s="4">
        <f t="shared" si="13"/>
        <v>883</v>
      </c>
      <c r="B884" s="4" t="s">
        <v>381</v>
      </c>
      <c r="C884" s="5" t="s">
        <v>356</v>
      </c>
      <c r="D884" s="35">
        <v>45017</v>
      </c>
      <c r="E884" s="36">
        <v>21641</v>
      </c>
      <c r="F884" s="5" t="s">
        <v>379</v>
      </c>
    </row>
    <row r="885" spans="1:6">
      <c r="A885" s="4">
        <f t="shared" si="13"/>
        <v>884</v>
      </c>
      <c r="B885" s="4" t="s">
        <v>381</v>
      </c>
      <c r="C885" s="5" t="s">
        <v>353</v>
      </c>
      <c r="D885" s="35">
        <v>45017</v>
      </c>
      <c r="E885" s="36">
        <v>4520</v>
      </c>
      <c r="F885" s="5" t="s">
        <v>379</v>
      </c>
    </row>
    <row r="886" spans="1:6">
      <c r="A886" s="4">
        <f t="shared" si="13"/>
        <v>885</v>
      </c>
      <c r="B886" s="4" t="s">
        <v>381</v>
      </c>
      <c r="C886" s="5" t="s">
        <v>358</v>
      </c>
      <c r="D886" s="35">
        <v>45017</v>
      </c>
      <c r="E886" s="36">
        <v>138854.09999999995</v>
      </c>
      <c r="F886" s="5" t="s">
        <v>379</v>
      </c>
    </row>
    <row r="887" spans="1:6">
      <c r="A887" s="4">
        <f t="shared" si="13"/>
        <v>886</v>
      </c>
      <c r="B887" s="4" t="s">
        <v>381</v>
      </c>
      <c r="C887" s="5" t="s">
        <v>365</v>
      </c>
      <c r="D887" s="35">
        <v>45017</v>
      </c>
      <c r="E887" s="36">
        <v>110412</v>
      </c>
      <c r="F887" s="5" t="s">
        <v>379</v>
      </c>
    </row>
    <row r="888" spans="1:6">
      <c r="A888" s="4">
        <f t="shared" si="13"/>
        <v>887</v>
      </c>
      <c r="B888" s="4" t="s">
        <v>381</v>
      </c>
      <c r="C888" s="5" t="s">
        <v>368</v>
      </c>
      <c r="D888" s="35">
        <v>45017</v>
      </c>
      <c r="E888" s="36">
        <v>42015.31</v>
      </c>
      <c r="F888" s="5" t="s">
        <v>379</v>
      </c>
    </row>
    <row r="889" spans="1:6">
      <c r="A889" s="4">
        <f t="shared" si="13"/>
        <v>888</v>
      </c>
      <c r="B889" s="4" t="s">
        <v>381</v>
      </c>
      <c r="C889" s="5" t="s">
        <v>349</v>
      </c>
      <c r="D889" s="35">
        <v>45017</v>
      </c>
      <c r="E889" s="36">
        <v>5249.0300000000007</v>
      </c>
      <c r="F889" s="5" t="s">
        <v>379</v>
      </c>
    </row>
    <row r="890" spans="1:6">
      <c r="A890" s="4">
        <f t="shared" si="13"/>
        <v>889</v>
      </c>
      <c r="B890" s="4" t="s">
        <v>381</v>
      </c>
      <c r="C890" s="5" t="s">
        <v>369</v>
      </c>
      <c r="D890" s="35">
        <v>45017</v>
      </c>
      <c r="E890" s="36">
        <v>1351.93</v>
      </c>
      <c r="F890" s="5" t="s">
        <v>379</v>
      </c>
    </row>
    <row r="891" spans="1:6">
      <c r="A891" s="4">
        <f t="shared" si="13"/>
        <v>890</v>
      </c>
      <c r="B891" s="4" t="s">
        <v>381</v>
      </c>
      <c r="C891" s="5" t="s">
        <v>370</v>
      </c>
      <c r="D891" s="35">
        <v>45017</v>
      </c>
      <c r="E891" s="36">
        <v>31970.000000000004</v>
      </c>
      <c r="F891" s="5" t="s">
        <v>379</v>
      </c>
    </row>
    <row r="892" spans="1:6">
      <c r="A892" s="4">
        <f t="shared" si="13"/>
        <v>891</v>
      </c>
      <c r="B892" s="4" t="s">
        <v>382</v>
      </c>
      <c r="C892" s="5" t="s">
        <v>362</v>
      </c>
      <c r="D892" s="35">
        <v>45017</v>
      </c>
      <c r="E892" s="36">
        <v>14476.97</v>
      </c>
      <c r="F892" s="5" t="s">
        <v>379</v>
      </c>
    </row>
    <row r="893" spans="1:6">
      <c r="A893" s="4">
        <f t="shared" si="13"/>
        <v>892</v>
      </c>
      <c r="B893" s="4" t="s">
        <v>382</v>
      </c>
      <c r="C893" s="5" t="s">
        <v>357</v>
      </c>
      <c r="D893" s="35">
        <v>45017</v>
      </c>
      <c r="E893" s="36">
        <v>2797.5</v>
      </c>
      <c r="F893" s="5" t="s">
        <v>379</v>
      </c>
    </row>
    <row r="894" spans="1:6">
      <c r="A894" s="4">
        <f t="shared" si="13"/>
        <v>893</v>
      </c>
      <c r="B894" s="4" t="s">
        <v>382</v>
      </c>
      <c r="C894" s="5" t="s">
        <v>356</v>
      </c>
      <c r="D894" s="35">
        <v>45017</v>
      </c>
      <c r="E894" s="36">
        <v>11710.48</v>
      </c>
      <c r="F894" s="5" t="s">
        <v>379</v>
      </c>
    </row>
    <row r="895" spans="1:6">
      <c r="A895" s="4">
        <f t="shared" si="13"/>
        <v>894</v>
      </c>
      <c r="B895" s="4" t="s">
        <v>382</v>
      </c>
      <c r="C895" s="5" t="s">
        <v>353</v>
      </c>
      <c r="D895" s="35">
        <v>45017</v>
      </c>
      <c r="E895" s="36">
        <v>26293.759999999998</v>
      </c>
      <c r="F895" s="5" t="s">
        <v>379</v>
      </c>
    </row>
    <row r="896" spans="1:6">
      <c r="A896" s="4">
        <f t="shared" si="13"/>
        <v>895</v>
      </c>
      <c r="B896" s="4" t="s">
        <v>382</v>
      </c>
      <c r="C896" s="5" t="s">
        <v>354</v>
      </c>
      <c r="D896" s="35">
        <v>45017</v>
      </c>
      <c r="E896" s="36">
        <v>4288.84</v>
      </c>
      <c r="F896" s="5" t="s">
        <v>379</v>
      </c>
    </row>
    <row r="897" spans="1:6">
      <c r="A897" s="4">
        <f t="shared" si="13"/>
        <v>896</v>
      </c>
      <c r="B897" s="4" t="s">
        <v>382</v>
      </c>
      <c r="C897" s="5" t="s">
        <v>366</v>
      </c>
      <c r="D897" s="35">
        <v>45017</v>
      </c>
      <c r="E897" s="36">
        <v>70580.820000000007</v>
      </c>
      <c r="F897" s="5" t="s">
        <v>379</v>
      </c>
    </row>
    <row r="898" spans="1:6">
      <c r="A898" s="4">
        <f t="shared" si="13"/>
        <v>897</v>
      </c>
      <c r="B898" s="4" t="s">
        <v>382</v>
      </c>
      <c r="C898" s="5" t="s">
        <v>358</v>
      </c>
      <c r="D898" s="35">
        <v>45017</v>
      </c>
      <c r="E898" s="36">
        <v>42748.32</v>
      </c>
      <c r="F898" s="5" t="s">
        <v>379</v>
      </c>
    </row>
    <row r="899" spans="1:6">
      <c r="A899" s="4">
        <f t="shared" si="13"/>
        <v>898</v>
      </c>
      <c r="B899" s="4" t="s">
        <v>382</v>
      </c>
      <c r="C899" s="5" t="s">
        <v>365</v>
      </c>
      <c r="D899" s="35">
        <v>45017</v>
      </c>
      <c r="E899" s="36">
        <v>31476</v>
      </c>
      <c r="F899" s="5" t="s">
        <v>379</v>
      </c>
    </row>
    <row r="900" spans="1:6">
      <c r="A900" s="4">
        <f t="shared" si="13"/>
        <v>899</v>
      </c>
      <c r="B900" s="4" t="s">
        <v>382</v>
      </c>
      <c r="C900" s="5" t="s">
        <v>349</v>
      </c>
      <c r="D900" s="35">
        <v>45017</v>
      </c>
      <c r="E900" s="36">
        <v>1929.45</v>
      </c>
      <c r="F900" s="5" t="s">
        <v>379</v>
      </c>
    </row>
    <row r="901" spans="1:6">
      <c r="A901" s="4">
        <f t="shared" si="13"/>
        <v>900</v>
      </c>
      <c r="B901" s="4" t="s">
        <v>382</v>
      </c>
      <c r="C901" s="5" t="s">
        <v>367</v>
      </c>
      <c r="D901" s="35">
        <v>45017</v>
      </c>
      <c r="E901" s="36">
        <v>38974.230000000003</v>
      </c>
      <c r="F901" s="5" t="s">
        <v>379</v>
      </c>
    </row>
    <row r="902" spans="1:6">
      <c r="A902" s="4">
        <f t="shared" si="13"/>
        <v>901</v>
      </c>
      <c r="B902" s="4" t="s">
        <v>382</v>
      </c>
      <c r="C902" s="5" t="s">
        <v>355</v>
      </c>
      <c r="D902" s="35">
        <v>45017</v>
      </c>
      <c r="E902" s="36">
        <v>5167.8</v>
      </c>
      <c r="F902" s="5" t="s">
        <v>379</v>
      </c>
    </row>
    <row r="903" spans="1:6">
      <c r="A903" s="4">
        <f t="shared" si="13"/>
        <v>902</v>
      </c>
      <c r="B903" s="4" t="s">
        <v>384</v>
      </c>
      <c r="C903" s="5" t="s">
        <v>360</v>
      </c>
      <c r="D903" s="35">
        <v>45017</v>
      </c>
      <c r="E903" s="36">
        <v>95004.2</v>
      </c>
      <c r="F903" s="5" t="s">
        <v>379</v>
      </c>
    </row>
    <row r="904" spans="1:6">
      <c r="A904" s="4">
        <f t="shared" si="13"/>
        <v>903</v>
      </c>
      <c r="B904" s="4" t="s">
        <v>380</v>
      </c>
      <c r="C904" s="5" t="s">
        <v>357</v>
      </c>
      <c r="D904" s="35">
        <v>45017</v>
      </c>
      <c r="E904" s="36">
        <v>12120</v>
      </c>
      <c r="F904" s="5" t="s">
        <v>379</v>
      </c>
    </row>
    <row r="905" spans="1:6">
      <c r="A905" s="4">
        <f t="shared" si="13"/>
        <v>904</v>
      </c>
      <c r="B905" s="4" t="s">
        <v>381</v>
      </c>
      <c r="C905" s="5" t="s">
        <v>362</v>
      </c>
      <c r="D905" s="35">
        <v>44986</v>
      </c>
      <c r="E905" s="36">
        <v>33746.839999999997</v>
      </c>
      <c r="F905" s="5" t="s">
        <v>379</v>
      </c>
    </row>
    <row r="906" spans="1:6">
      <c r="A906" s="4">
        <f t="shared" si="13"/>
        <v>905</v>
      </c>
      <c r="B906" s="4" t="s">
        <v>381</v>
      </c>
      <c r="C906" s="5" t="s">
        <v>357</v>
      </c>
      <c r="D906" s="35">
        <v>44986</v>
      </c>
      <c r="E906" s="36">
        <v>73253.959999999992</v>
      </c>
      <c r="F906" s="5" t="s">
        <v>379</v>
      </c>
    </row>
    <row r="907" spans="1:6">
      <c r="A907" s="4">
        <f t="shared" ref="A907:A970" si="14">ROW()-1</f>
        <v>906</v>
      </c>
      <c r="B907" s="4" t="s">
        <v>381</v>
      </c>
      <c r="C907" s="5" t="s">
        <v>356</v>
      </c>
      <c r="D907" s="35">
        <v>44986</v>
      </c>
      <c r="E907" s="36">
        <v>24556.110000000004</v>
      </c>
      <c r="F907" s="5" t="s">
        <v>379</v>
      </c>
    </row>
    <row r="908" spans="1:6">
      <c r="A908" s="4">
        <f t="shared" si="14"/>
        <v>907</v>
      </c>
      <c r="B908" s="4" t="s">
        <v>381</v>
      </c>
      <c r="C908" s="5" t="s">
        <v>353</v>
      </c>
      <c r="D908" s="35">
        <v>44986</v>
      </c>
      <c r="E908" s="36">
        <v>3192</v>
      </c>
      <c r="F908" s="5" t="s">
        <v>379</v>
      </c>
    </row>
    <row r="909" spans="1:6">
      <c r="A909" s="4">
        <f t="shared" si="14"/>
        <v>908</v>
      </c>
      <c r="B909" s="4" t="s">
        <v>381</v>
      </c>
      <c r="C909" s="5" t="s">
        <v>354</v>
      </c>
      <c r="D909" s="35">
        <v>44986</v>
      </c>
      <c r="E909" s="36">
        <v>8712.9</v>
      </c>
      <c r="F909" s="5" t="s">
        <v>379</v>
      </c>
    </row>
    <row r="910" spans="1:6">
      <c r="A910" s="4">
        <f t="shared" si="14"/>
        <v>909</v>
      </c>
      <c r="B910" s="4" t="s">
        <v>381</v>
      </c>
      <c r="C910" s="5" t="s">
        <v>366</v>
      </c>
      <c r="D910" s="35">
        <v>44986</v>
      </c>
      <c r="E910" s="36">
        <v>19734.14</v>
      </c>
      <c r="F910" s="5" t="s">
        <v>379</v>
      </c>
    </row>
    <row r="911" spans="1:6">
      <c r="A911" s="4">
        <f t="shared" si="14"/>
        <v>910</v>
      </c>
      <c r="B911" s="4" t="s">
        <v>381</v>
      </c>
      <c r="C911" s="5" t="s">
        <v>358</v>
      </c>
      <c r="D911" s="35">
        <v>44986</v>
      </c>
      <c r="E911" s="36">
        <v>171312.14</v>
      </c>
      <c r="F911" s="5" t="s">
        <v>379</v>
      </c>
    </row>
    <row r="912" spans="1:6">
      <c r="A912" s="4">
        <f t="shared" si="14"/>
        <v>911</v>
      </c>
      <c r="B912" s="4" t="s">
        <v>381</v>
      </c>
      <c r="C912" s="5" t="s">
        <v>365</v>
      </c>
      <c r="D912" s="35">
        <v>44986</v>
      </c>
      <c r="E912" s="36">
        <v>125852</v>
      </c>
      <c r="F912" s="5" t="s">
        <v>379</v>
      </c>
    </row>
    <row r="913" spans="1:6">
      <c r="A913" s="4">
        <f t="shared" si="14"/>
        <v>912</v>
      </c>
      <c r="B913" s="4" t="s">
        <v>381</v>
      </c>
      <c r="C913" s="5" t="s">
        <v>368</v>
      </c>
      <c r="D913" s="35">
        <v>44986</v>
      </c>
      <c r="E913" s="36">
        <v>10398.200000000001</v>
      </c>
      <c r="F913" s="5" t="s">
        <v>379</v>
      </c>
    </row>
    <row r="914" spans="1:6">
      <c r="A914" s="4">
        <f t="shared" si="14"/>
        <v>913</v>
      </c>
      <c r="B914" s="4" t="s">
        <v>382</v>
      </c>
      <c r="C914" s="5" t="s">
        <v>362</v>
      </c>
      <c r="D914" s="35">
        <v>44986</v>
      </c>
      <c r="E914" s="36">
        <v>28409.45</v>
      </c>
      <c r="F914" s="5" t="s">
        <v>379</v>
      </c>
    </row>
    <row r="915" spans="1:6">
      <c r="A915" s="4">
        <f t="shared" si="14"/>
        <v>914</v>
      </c>
      <c r="B915" s="4" t="s">
        <v>382</v>
      </c>
      <c r="C915" s="5" t="s">
        <v>357</v>
      </c>
      <c r="D915" s="35">
        <v>44986</v>
      </c>
      <c r="E915" s="36">
        <v>8458.5</v>
      </c>
      <c r="F915" s="5" t="s">
        <v>379</v>
      </c>
    </row>
    <row r="916" spans="1:6">
      <c r="A916" s="4">
        <f t="shared" si="14"/>
        <v>915</v>
      </c>
      <c r="B916" s="4" t="s">
        <v>382</v>
      </c>
      <c r="C916" s="5" t="s">
        <v>356</v>
      </c>
      <c r="D916" s="35">
        <v>44986</v>
      </c>
      <c r="E916" s="36">
        <v>11938.36</v>
      </c>
      <c r="F916" s="5" t="s">
        <v>379</v>
      </c>
    </row>
    <row r="917" spans="1:6">
      <c r="A917" s="4">
        <f t="shared" si="14"/>
        <v>916</v>
      </c>
      <c r="B917" s="4" t="s">
        <v>382</v>
      </c>
      <c r="C917" s="5" t="s">
        <v>353</v>
      </c>
      <c r="D917" s="35">
        <v>44986</v>
      </c>
      <c r="E917" s="36">
        <v>24249.56</v>
      </c>
      <c r="F917" s="5" t="s">
        <v>379</v>
      </c>
    </row>
    <row r="918" spans="1:6">
      <c r="A918" s="4">
        <f t="shared" si="14"/>
        <v>917</v>
      </c>
      <c r="B918" s="4" t="s">
        <v>382</v>
      </c>
      <c r="C918" s="5" t="s">
        <v>354</v>
      </c>
      <c r="D918" s="35">
        <v>44986</v>
      </c>
      <c r="E918" s="36">
        <v>17778.32</v>
      </c>
      <c r="F918" s="5" t="s">
        <v>379</v>
      </c>
    </row>
    <row r="919" spans="1:6">
      <c r="A919" s="4">
        <f t="shared" si="14"/>
        <v>918</v>
      </c>
      <c r="B919" s="4" t="s">
        <v>382</v>
      </c>
      <c r="C919" s="5" t="s">
        <v>366</v>
      </c>
      <c r="D919" s="35">
        <v>44986</v>
      </c>
      <c r="E919" s="36">
        <v>86599.85</v>
      </c>
      <c r="F919" s="5" t="s">
        <v>379</v>
      </c>
    </row>
    <row r="920" spans="1:6">
      <c r="A920" s="4">
        <f t="shared" si="14"/>
        <v>919</v>
      </c>
      <c r="B920" s="4" t="s">
        <v>382</v>
      </c>
      <c r="C920" s="5" t="s">
        <v>358</v>
      </c>
      <c r="D920" s="35">
        <v>44986</v>
      </c>
      <c r="E920" s="36">
        <v>122415.48000000001</v>
      </c>
      <c r="F920" s="5" t="s">
        <v>379</v>
      </c>
    </row>
    <row r="921" spans="1:6">
      <c r="A921" s="4">
        <f t="shared" si="14"/>
        <v>920</v>
      </c>
      <c r="B921" s="4" t="s">
        <v>382</v>
      </c>
      <c r="C921" s="5" t="s">
        <v>365</v>
      </c>
      <c r="D921" s="35">
        <v>44986</v>
      </c>
      <c r="E921" s="36">
        <v>40076</v>
      </c>
      <c r="F921" s="5" t="s">
        <v>379</v>
      </c>
    </row>
    <row r="922" spans="1:6">
      <c r="A922" s="4">
        <f t="shared" si="14"/>
        <v>921</v>
      </c>
      <c r="B922" s="4" t="s">
        <v>382</v>
      </c>
      <c r="C922" s="5" t="s">
        <v>367</v>
      </c>
      <c r="D922" s="35">
        <v>44986</v>
      </c>
      <c r="E922" s="36">
        <v>20529.07</v>
      </c>
      <c r="F922" s="5" t="s">
        <v>379</v>
      </c>
    </row>
    <row r="923" spans="1:6">
      <c r="A923" s="4">
        <f t="shared" si="14"/>
        <v>922</v>
      </c>
      <c r="B923" s="4" t="s">
        <v>384</v>
      </c>
      <c r="C923" s="5" t="s">
        <v>360</v>
      </c>
      <c r="D923" s="35">
        <v>44986</v>
      </c>
      <c r="E923" s="36">
        <v>90652.4</v>
      </c>
      <c r="F923" s="5" t="s">
        <v>379</v>
      </c>
    </row>
    <row r="924" spans="1:6">
      <c r="A924" s="4">
        <f t="shared" si="14"/>
        <v>923</v>
      </c>
      <c r="B924" s="4" t="s">
        <v>380</v>
      </c>
      <c r="C924" s="5" t="s">
        <v>357</v>
      </c>
      <c r="D924" s="35">
        <v>44986</v>
      </c>
      <c r="E924" s="36">
        <v>8290</v>
      </c>
      <c r="F924" s="5" t="s">
        <v>379</v>
      </c>
    </row>
    <row r="925" spans="1:6">
      <c r="A925" s="4">
        <f t="shared" si="14"/>
        <v>924</v>
      </c>
      <c r="B925" s="4" t="s">
        <v>381</v>
      </c>
      <c r="C925" s="5" t="s">
        <v>362</v>
      </c>
      <c r="D925" s="35">
        <v>44958</v>
      </c>
      <c r="E925" s="36">
        <v>21776.42</v>
      </c>
      <c r="F925" s="5" t="s">
        <v>379</v>
      </c>
    </row>
    <row r="926" spans="1:6">
      <c r="A926" s="4">
        <f t="shared" si="14"/>
        <v>925</v>
      </c>
      <c r="B926" s="4" t="s">
        <v>381</v>
      </c>
      <c r="C926" s="5" t="s">
        <v>357</v>
      </c>
      <c r="D926" s="35">
        <v>44958</v>
      </c>
      <c r="E926" s="36">
        <v>72900.33</v>
      </c>
      <c r="F926" s="5" t="s">
        <v>379</v>
      </c>
    </row>
    <row r="927" spans="1:6">
      <c r="A927" s="4">
        <f t="shared" si="14"/>
        <v>926</v>
      </c>
      <c r="B927" s="4" t="s">
        <v>381</v>
      </c>
      <c r="C927" s="5" t="s">
        <v>356</v>
      </c>
      <c r="D927" s="35">
        <v>44958</v>
      </c>
      <c r="E927" s="36">
        <v>25083.56</v>
      </c>
      <c r="F927" s="5" t="s">
        <v>379</v>
      </c>
    </row>
    <row r="928" spans="1:6">
      <c r="A928" s="4">
        <f t="shared" si="14"/>
        <v>927</v>
      </c>
      <c r="B928" s="4" t="s">
        <v>381</v>
      </c>
      <c r="C928" s="5" t="s">
        <v>353</v>
      </c>
      <c r="D928" s="35">
        <v>44958</v>
      </c>
      <c r="E928" s="36">
        <v>10153.6</v>
      </c>
      <c r="F928" s="5" t="s">
        <v>379</v>
      </c>
    </row>
    <row r="929" spans="1:6">
      <c r="A929" s="4">
        <f t="shared" si="14"/>
        <v>928</v>
      </c>
      <c r="B929" s="4" t="s">
        <v>381</v>
      </c>
      <c r="C929" s="5" t="s">
        <v>354</v>
      </c>
      <c r="D929" s="35">
        <v>44958</v>
      </c>
      <c r="E929" s="36">
        <v>4062.3</v>
      </c>
      <c r="F929" s="5" t="s">
        <v>379</v>
      </c>
    </row>
    <row r="930" spans="1:6">
      <c r="A930" s="4">
        <f t="shared" si="14"/>
        <v>929</v>
      </c>
      <c r="B930" s="4" t="s">
        <v>381</v>
      </c>
      <c r="C930" s="5" t="s">
        <v>366</v>
      </c>
      <c r="D930" s="35">
        <v>44958</v>
      </c>
      <c r="E930" s="36">
        <v>9351.26</v>
      </c>
      <c r="F930" s="5" t="s">
        <v>379</v>
      </c>
    </row>
    <row r="931" spans="1:6">
      <c r="A931" s="4">
        <f t="shared" si="14"/>
        <v>930</v>
      </c>
      <c r="B931" s="4" t="s">
        <v>381</v>
      </c>
      <c r="C931" s="5" t="s">
        <v>358</v>
      </c>
      <c r="D931" s="35">
        <v>44958</v>
      </c>
      <c r="E931" s="36">
        <v>133366.54999999996</v>
      </c>
      <c r="F931" s="5" t="s">
        <v>379</v>
      </c>
    </row>
    <row r="932" spans="1:6">
      <c r="A932" s="4">
        <f t="shared" si="14"/>
        <v>931</v>
      </c>
      <c r="B932" s="4" t="s">
        <v>381</v>
      </c>
      <c r="C932" s="5" t="s">
        <v>365</v>
      </c>
      <c r="D932" s="35">
        <v>44958</v>
      </c>
      <c r="E932" s="36">
        <v>65100</v>
      </c>
      <c r="F932" s="5" t="s">
        <v>379</v>
      </c>
    </row>
    <row r="933" spans="1:6">
      <c r="A933" s="4">
        <f t="shared" si="14"/>
        <v>932</v>
      </c>
      <c r="B933" s="4" t="s">
        <v>381</v>
      </c>
      <c r="C933" s="5" t="s">
        <v>368</v>
      </c>
      <c r="D933" s="35">
        <v>44958</v>
      </c>
      <c r="E933" s="36">
        <v>21670.079999999998</v>
      </c>
      <c r="F933" s="5" t="s">
        <v>379</v>
      </c>
    </row>
    <row r="934" spans="1:6">
      <c r="A934" s="4">
        <f t="shared" si="14"/>
        <v>933</v>
      </c>
      <c r="B934" s="4" t="s">
        <v>382</v>
      </c>
      <c r="C934" s="5" t="s">
        <v>362</v>
      </c>
      <c r="D934" s="35">
        <v>44958</v>
      </c>
      <c r="E934" s="36">
        <v>10278.15</v>
      </c>
      <c r="F934" s="5" t="s">
        <v>379</v>
      </c>
    </row>
    <row r="935" spans="1:6">
      <c r="A935" s="4">
        <f t="shared" si="14"/>
        <v>934</v>
      </c>
      <c r="B935" s="4" t="s">
        <v>382</v>
      </c>
      <c r="C935" s="5" t="s">
        <v>357</v>
      </c>
      <c r="D935" s="35">
        <v>44958</v>
      </c>
      <c r="E935" s="36">
        <v>6364</v>
      </c>
      <c r="F935" s="5" t="s">
        <v>379</v>
      </c>
    </row>
    <row r="936" spans="1:6">
      <c r="A936" s="4">
        <f t="shared" si="14"/>
        <v>935</v>
      </c>
      <c r="B936" s="4" t="s">
        <v>382</v>
      </c>
      <c r="C936" s="5" t="s">
        <v>356</v>
      </c>
      <c r="D936" s="35">
        <v>44958</v>
      </c>
      <c r="E936" s="36">
        <v>3668.92</v>
      </c>
      <c r="F936" s="5" t="s">
        <v>379</v>
      </c>
    </row>
    <row r="937" spans="1:6">
      <c r="A937" s="4">
        <f t="shared" si="14"/>
        <v>936</v>
      </c>
      <c r="B937" s="4" t="s">
        <v>382</v>
      </c>
      <c r="C937" s="5" t="s">
        <v>353</v>
      </c>
      <c r="D937" s="35">
        <v>44958</v>
      </c>
      <c r="E937" s="36">
        <v>23809.5</v>
      </c>
      <c r="F937" s="5" t="s">
        <v>379</v>
      </c>
    </row>
    <row r="938" spans="1:6">
      <c r="A938" s="4">
        <f t="shared" si="14"/>
        <v>937</v>
      </c>
      <c r="B938" s="4" t="s">
        <v>382</v>
      </c>
      <c r="C938" s="5" t="s">
        <v>354</v>
      </c>
      <c r="D938" s="35">
        <v>44958</v>
      </c>
      <c r="E938" s="36">
        <v>6146.92</v>
      </c>
      <c r="F938" s="5" t="s">
        <v>379</v>
      </c>
    </row>
    <row r="939" spans="1:6">
      <c r="A939" s="4">
        <f t="shared" si="14"/>
        <v>938</v>
      </c>
      <c r="B939" s="4" t="s">
        <v>382</v>
      </c>
      <c r="C939" s="5" t="s">
        <v>366</v>
      </c>
      <c r="D939" s="35">
        <v>44958</v>
      </c>
      <c r="E939" s="36">
        <v>66431.100000000006</v>
      </c>
      <c r="F939" s="5" t="s">
        <v>379</v>
      </c>
    </row>
    <row r="940" spans="1:6">
      <c r="A940" s="4">
        <f t="shared" si="14"/>
        <v>939</v>
      </c>
      <c r="B940" s="4" t="s">
        <v>382</v>
      </c>
      <c r="C940" s="5" t="s">
        <v>358</v>
      </c>
      <c r="D940" s="35">
        <v>44958</v>
      </c>
      <c r="E940" s="36">
        <v>135712.27000000002</v>
      </c>
      <c r="F940" s="5" t="s">
        <v>379</v>
      </c>
    </row>
    <row r="941" spans="1:6">
      <c r="A941" s="4">
        <f t="shared" si="14"/>
        <v>940</v>
      </c>
      <c r="B941" s="4" t="s">
        <v>382</v>
      </c>
      <c r="C941" s="5" t="s">
        <v>365</v>
      </c>
      <c r="D941" s="35">
        <v>44958</v>
      </c>
      <c r="E941" s="36">
        <v>25036</v>
      </c>
      <c r="F941" s="5" t="s">
        <v>379</v>
      </c>
    </row>
    <row r="942" spans="1:6">
      <c r="A942" s="4">
        <f t="shared" si="14"/>
        <v>941</v>
      </c>
      <c r="B942" s="4" t="s">
        <v>382</v>
      </c>
      <c r="C942" s="5" t="s">
        <v>368</v>
      </c>
      <c r="D942" s="35">
        <v>44958</v>
      </c>
      <c r="E942" s="36">
        <v>5600</v>
      </c>
      <c r="F942" s="5" t="s">
        <v>379</v>
      </c>
    </row>
    <row r="943" spans="1:6">
      <c r="A943" s="4">
        <f t="shared" si="14"/>
        <v>942</v>
      </c>
      <c r="B943" s="4" t="s">
        <v>384</v>
      </c>
      <c r="C943" s="5" t="s">
        <v>360</v>
      </c>
      <c r="D943" s="35">
        <v>44958</v>
      </c>
      <c r="E943" s="36">
        <v>89102.6</v>
      </c>
      <c r="F943" s="5" t="s">
        <v>379</v>
      </c>
    </row>
    <row r="944" spans="1:6">
      <c r="A944" s="4">
        <f t="shared" si="14"/>
        <v>943</v>
      </c>
      <c r="B944" s="4" t="s">
        <v>384</v>
      </c>
      <c r="C944" s="5" t="s">
        <v>356</v>
      </c>
      <c r="D944" s="35">
        <v>44958</v>
      </c>
      <c r="E944" s="36">
        <v>78512.600000000006</v>
      </c>
      <c r="F944" s="5" t="s">
        <v>379</v>
      </c>
    </row>
    <row r="945" spans="1:6">
      <c r="A945" s="4">
        <f t="shared" si="14"/>
        <v>944</v>
      </c>
      <c r="B945" s="4" t="s">
        <v>380</v>
      </c>
      <c r="C945" s="5" t="s">
        <v>357</v>
      </c>
      <c r="D945" s="35">
        <v>44958</v>
      </c>
      <c r="E945" s="36">
        <v>10518</v>
      </c>
      <c r="F945" s="5" t="s">
        <v>379</v>
      </c>
    </row>
    <row r="946" spans="1:6">
      <c r="A946" s="4">
        <f t="shared" si="14"/>
        <v>945</v>
      </c>
      <c r="B946" s="4" t="s">
        <v>381</v>
      </c>
      <c r="C946" s="5" t="s">
        <v>362</v>
      </c>
      <c r="D946" s="35">
        <v>44927</v>
      </c>
      <c r="E946" s="36">
        <v>21909.490000000005</v>
      </c>
      <c r="F946" s="5" t="s">
        <v>379</v>
      </c>
    </row>
    <row r="947" spans="1:6">
      <c r="A947" s="4">
        <f t="shared" si="14"/>
        <v>946</v>
      </c>
      <c r="B947" s="4" t="s">
        <v>381</v>
      </c>
      <c r="C947" s="5" t="s">
        <v>357</v>
      </c>
      <c r="D947" s="35">
        <v>44927</v>
      </c>
      <c r="E947" s="36">
        <v>62819.67</v>
      </c>
      <c r="F947" s="5" t="s">
        <v>379</v>
      </c>
    </row>
    <row r="948" spans="1:6">
      <c r="A948" s="4">
        <f t="shared" si="14"/>
        <v>947</v>
      </c>
      <c r="B948" s="4" t="s">
        <v>381</v>
      </c>
      <c r="C948" s="5" t="s">
        <v>356</v>
      </c>
      <c r="D948" s="35">
        <v>44927</v>
      </c>
      <c r="E948" s="36">
        <v>36540.759999999987</v>
      </c>
      <c r="F948" s="5" t="s">
        <v>379</v>
      </c>
    </row>
    <row r="949" spans="1:6">
      <c r="A949" s="4">
        <f t="shared" si="14"/>
        <v>948</v>
      </c>
      <c r="B949" s="4" t="s">
        <v>381</v>
      </c>
      <c r="C949" s="5" t="s">
        <v>353</v>
      </c>
      <c r="D949" s="35">
        <v>44927</v>
      </c>
      <c r="E949" s="36">
        <v>6079.4</v>
      </c>
      <c r="F949" s="5" t="s">
        <v>379</v>
      </c>
    </row>
    <row r="950" spans="1:6">
      <c r="A950" s="4">
        <f t="shared" si="14"/>
        <v>949</v>
      </c>
      <c r="B950" s="4" t="s">
        <v>381</v>
      </c>
      <c r="C950" s="5" t="s">
        <v>366</v>
      </c>
      <c r="D950" s="35">
        <v>44927</v>
      </c>
      <c r="E950" s="36">
        <v>7590</v>
      </c>
      <c r="F950" s="5" t="s">
        <v>379</v>
      </c>
    </row>
    <row r="951" spans="1:6">
      <c r="A951" s="4">
        <f t="shared" si="14"/>
        <v>950</v>
      </c>
      <c r="B951" s="4" t="s">
        <v>381</v>
      </c>
      <c r="C951" s="5" t="s">
        <v>358</v>
      </c>
      <c r="D951" s="35">
        <v>44927</v>
      </c>
      <c r="E951" s="36">
        <v>120297.47000000006</v>
      </c>
      <c r="F951" s="5" t="s">
        <v>379</v>
      </c>
    </row>
    <row r="952" spans="1:6">
      <c r="A952" s="4">
        <f t="shared" si="14"/>
        <v>951</v>
      </c>
      <c r="B952" s="4" t="s">
        <v>381</v>
      </c>
      <c r="C952" s="5" t="s">
        <v>365</v>
      </c>
      <c r="D952" s="35">
        <v>44927</v>
      </c>
      <c r="E952" s="36">
        <v>44174</v>
      </c>
      <c r="F952" s="5" t="s">
        <v>379</v>
      </c>
    </row>
    <row r="953" spans="1:6">
      <c r="A953" s="4">
        <f t="shared" si="14"/>
        <v>952</v>
      </c>
      <c r="B953" s="4" t="s">
        <v>381</v>
      </c>
      <c r="C953" s="5" t="s">
        <v>368</v>
      </c>
      <c r="D953" s="35">
        <v>44927</v>
      </c>
      <c r="E953" s="36">
        <v>15621.41</v>
      </c>
      <c r="F953" s="5" t="s">
        <v>379</v>
      </c>
    </row>
    <row r="954" spans="1:6">
      <c r="A954" s="4">
        <f t="shared" si="14"/>
        <v>953</v>
      </c>
      <c r="B954" s="4" t="s">
        <v>381</v>
      </c>
      <c r="C954" s="5" t="s">
        <v>369</v>
      </c>
      <c r="D954" s="35">
        <v>44927</v>
      </c>
      <c r="E954" s="36">
        <v>5610</v>
      </c>
      <c r="F954" s="5" t="s">
        <v>379</v>
      </c>
    </row>
    <row r="955" spans="1:6">
      <c r="A955" s="4">
        <f t="shared" si="14"/>
        <v>954</v>
      </c>
      <c r="B955" s="4" t="s">
        <v>382</v>
      </c>
      <c r="C955" s="5" t="s">
        <v>362</v>
      </c>
      <c r="D955" s="35">
        <v>44927</v>
      </c>
      <c r="E955" s="36">
        <v>20725</v>
      </c>
      <c r="F955" s="5" t="s">
        <v>379</v>
      </c>
    </row>
    <row r="956" spans="1:6">
      <c r="A956" s="4">
        <f t="shared" si="14"/>
        <v>955</v>
      </c>
      <c r="B956" s="4" t="s">
        <v>382</v>
      </c>
      <c r="C956" s="5" t="s">
        <v>357</v>
      </c>
      <c r="D956" s="35">
        <v>44927</v>
      </c>
      <c r="E956" s="36">
        <v>7592</v>
      </c>
      <c r="F956" s="5" t="s">
        <v>379</v>
      </c>
    </row>
    <row r="957" spans="1:6">
      <c r="A957" s="4">
        <f t="shared" si="14"/>
        <v>956</v>
      </c>
      <c r="B957" s="4" t="s">
        <v>382</v>
      </c>
      <c r="C957" s="5" t="s">
        <v>356</v>
      </c>
      <c r="D957" s="35">
        <v>44927</v>
      </c>
      <c r="E957" s="36">
        <v>10731.8</v>
      </c>
      <c r="F957" s="5" t="s">
        <v>379</v>
      </c>
    </row>
    <row r="958" spans="1:6">
      <c r="A958" s="4">
        <f t="shared" si="14"/>
        <v>957</v>
      </c>
      <c r="B958" s="4" t="s">
        <v>382</v>
      </c>
      <c r="C958" s="5" t="s">
        <v>353</v>
      </c>
      <c r="D958" s="35">
        <v>44927</v>
      </c>
      <c r="E958" s="36">
        <v>4636</v>
      </c>
      <c r="F958" s="5" t="s">
        <v>379</v>
      </c>
    </row>
    <row r="959" spans="1:6">
      <c r="A959" s="4">
        <f t="shared" si="14"/>
        <v>958</v>
      </c>
      <c r="B959" s="4" t="s">
        <v>382</v>
      </c>
      <c r="C959" s="5" t="s">
        <v>354</v>
      </c>
      <c r="D959" s="35">
        <v>44927</v>
      </c>
      <c r="E959" s="36">
        <v>17832.5</v>
      </c>
      <c r="F959" s="5" t="s">
        <v>379</v>
      </c>
    </row>
    <row r="960" spans="1:6">
      <c r="A960" s="4">
        <f t="shared" si="14"/>
        <v>959</v>
      </c>
      <c r="B960" s="4" t="s">
        <v>382</v>
      </c>
      <c r="C960" s="5" t="s">
        <v>366</v>
      </c>
      <c r="D960" s="35">
        <v>44927</v>
      </c>
      <c r="E960" s="36">
        <v>79557.590000000011</v>
      </c>
      <c r="F960" s="5" t="s">
        <v>379</v>
      </c>
    </row>
    <row r="961" spans="1:6">
      <c r="A961" s="4">
        <f t="shared" si="14"/>
        <v>960</v>
      </c>
      <c r="B961" s="4" t="s">
        <v>382</v>
      </c>
      <c r="C961" s="5" t="s">
        <v>358</v>
      </c>
      <c r="D961" s="35">
        <v>44927</v>
      </c>
      <c r="E961" s="36">
        <v>87024.47</v>
      </c>
      <c r="F961" s="5" t="s">
        <v>379</v>
      </c>
    </row>
    <row r="962" spans="1:6">
      <c r="A962" s="4">
        <f t="shared" si="14"/>
        <v>961</v>
      </c>
      <c r="B962" s="4" t="s">
        <v>382</v>
      </c>
      <c r="C962" s="5" t="s">
        <v>365</v>
      </c>
      <c r="D962" s="35">
        <v>44927</v>
      </c>
      <c r="E962" s="36">
        <v>18136</v>
      </c>
      <c r="F962" s="5" t="s">
        <v>379</v>
      </c>
    </row>
    <row r="963" spans="1:6">
      <c r="A963" s="4">
        <f t="shared" si="14"/>
        <v>962</v>
      </c>
      <c r="B963" s="4" t="s">
        <v>382</v>
      </c>
      <c r="C963" s="5" t="s">
        <v>368</v>
      </c>
      <c r="D963" s="35">
        <v>44927</v>
      </c>
      <c r="E963" s="36">
        <v>1416.09</v>
      </c>
      <c r="F963" s="5" t="s">
        <v>379</v>
      </c>
    </row>
    <row r="964" spans="1:6">
      <c r="A964" s="4">
        <f t="shared" si="14"/>
        <v>963</v>
      </c>
      <c r="B964" s="4" t="s">
        <v>384</v>
      </c>
      <c r="C964" s="5" t="s">
        <v>360</v>
      </c>
      <c r="D964" s="35">
        <v>44927</v>
      </c>
      <c r="E964" s="36">
        <v>139722.20000000001</v>
      </c>
      <c r="F964" s="5" t="s">
        <v>379</v>
      </c>
    </row>
    <row r="965" spans="1:6">
      <c r="A965" s="4">
        <f t="shared" si="14"/>
        <v>964</v>
      </c>
      <c r="B965" s="4" t="s">
        <v>380</v>
      </c>
      <c r="C965" s="5" t="s">
        <v>357</v>
      </c>
      <c r="D965" s="35">
        <v>44927</v>
      </c>
      <c r="E965" s="36">
        <v>12816</v>
      </c>
      <c r="F965" s="5" t="s">
        <v>379</v>
      </c>
    </row>
    <row r="966" spans="1:6">
      <c r="A966" s="4">
        <f t="shared" si="14"/>
        <v>965</v>
      </c>
      <c r="B966" s="4" t="s">
        <v>387</v>
      </c>
      <c r="C966" s="5" t="s">
        <v>354</v>
      </c>
      <c r="D966" s="38">
        <v>44896</v>
      </c>
      <c r="E966" s="36">
        <v>646</v>
      </c>
      <c r="F966" s="5" t="s">
        <v>379</v>
      </c>
    </row>
    <row r="967" spans="1:6">
      <c r="A967" s="4">
        <f t="shared" si="14"/>
        <v>966</v>
      </c>
      <c r="B967" s="4" t="s">
        <v>381</v>
      </c>
      <c r="C967" s="5" t="s">
        <v>362</v>
      </c>
      <c r="D967" s="35">
        <v>44896</v>
      </c>
      <c r="E967" s="36">
        <v>48984.76999999999</v>
      </c>
      <c r="F967" s="5" t="s">
        <v>379</v>
      </c>
    </row>
    <row r="968" spans="1:6">
      <c r="A968" s="4">
        <f t="shared" si="14"/>
        <v>967</v>
      </c>
      <c r="B968" s="4" t="s">
        <v>381</v>
      </c>
      <c r="C968" s="5" t="s">
        <v>357</v>
      </c>
      <c r="D968" s="35">
        <v>44896</v>
      </c>
      <c r="E968" s="36">
        <v>104892.93999999999</v>
      </c>
      <c r="F968" s="5" t="s">
        <v>379</v>
      </c>
    </row>
    <row r="969" spans="1:6">
      <c r="A969" s="4">
        <f t="shared" si="14"/>
        <v>968</v>
      </c>
      <c r="B969" s="4" t="s">
        <v>381</v>
      </c>
      <c r="C969" s="5" t="s">
        <v>356</v>
      </c>
      <c r="D969" s="35">
        <v>44896</v>
      </c>
      <c r="E969" s="36">
        <v>11372.7</v>
      </c>
      <c r="F969" s="5" t="s">
        <v>379</v>
      </c>
    </row>
    <row r="970" spans="1:6">
      <c r="A970" s="4">
        <f t="shared" si="14"/>
        <v>969</v>
      </c>
      <c r="B970" s="4" t="s">
        <v>381</v>
      </c>
      <c r="C970" s="5" t="s">
        <v>353</v>
      </c>
      <c r="D970" s="35">
        <v>44896</v>
      </c>
      <c r="E970" s="36">
        <v>9992.5</v>
      </c>
      <c r="F970" s="5" t="s">
        <v>379</v>
      </c>
    </row>
    <row r="971" spans="1:6">
      <c r="A971" s="4">
        <f t="shared" ref="A971:A1034" si="15">ROW()-1</f>
        <v>970</v>
      </c>
      <c r="B971" s="4" t="s">
        <v>381</v>
      </c>
      <c r="C971" s="5" t="s">
        <v>366</v>
      </c>
      <c r="D971" s="35">
        <v>44896</v>
      </c>
      <c r="E971" s="36">
        <v>13647.76</v>
      </c>
      <c r="F971" s="5" t="s">
        <v>379</v>
      </c>
    </row>
    <row r="972" spans="1:6">
      <c r="A972" s="4">
        <f t="shared" si="15"/>
        <v>971</v>
      </c>
      <c r="B972" s="4" t="s">
        <v>381</v>
      </c>
      <c r="C972" s="5" t="s">
        <v>358</v>
      </c>
      <c r="D972" s="35">
        <v>44896</v>
      </c>
      <c r="E972" s="36">
        <v>177250.34999999998</v>
      </c>
      <c r="F972" s="5" t="s">
        <v>379</v>
      </c>
    </row>
    <row r="973" spans="1:6">
      <c r="A973" s="4">
        <f t="shared" si="15"/>
        <v>972</v>
      </c>
      <c r="B973" s="4" t="s">
        <v>381</v>
      </c>
      <c r="C973" s="5" t="s">
        <v>365</v>
      </c>
      <c r="D973" s="35">
        <v>44896</v>
      </c>
      <c r="E973" s="36">
        <v>54393</v>
      </c>
      <c r="F973" s="5" t="s">
        <v>379</v>
      </c>
    </row>
    <row r="974" spans="1:6">
      <c r="A974" s="4">
        <f t="shared" si="15"/>
        <v>973</v>
      </c>
      <c r="B974" s="4" t="s">
        <v>381</v>
      </c>
      <c r="C974" s="5" t="s">
        <v>368</v>
      </c>
      <c r="D974" s="35">
        <v>44896</v>
      </c>
      <c r="E974" s="36">
        <v>12274.2</v>
      </c>
      <c r="F974" s="5" t="s">
        <v>379</v>
      </c>
    </row>
    <row r="975" spans="1:6">
      <c r="A975" s="4">
        <f t="shared" si="15"/>
        <v>974</v>
      </c>
      <c r="B975" s="4" t="s">
        <v>381</v>
      </c>
      <c r="C975" s="5" t="s">
        <v>369</v>
      </c>
      <c r="D975" s="35">
        <v>44896</v>
      </c>
      <c r="E975" s="36">
        <v>2040</v>
      </c>
      <c r="F975" s="5" t="s">
        <v>379</v>
      </c>
    </row>
    <row r="976" spans="1:6">
      <c r="A976" s="4">
        <f t="shared" si="15"/>
        <v>975</v>
      </c>
      <c r="B976" s="4" t="s">
        <v>382</v>
      </c>
      <c r="C976" s="5" t="s">
        <v>362</v>
      </c>
      <c r="D976" s="35">
        <v>44896</v>
      </c>
      <c r="E976" s="36">
        <v>18760.66</v>
      </c>
      <c r="F976" s="5" t="s">
        <v>379</v>
      </c>
    </row>
    <row r="977" spans="1:6">
      <c r="A977" s="4">
        <f t="shared" si="15"/>
        <v>976</v>
      </c>
      <c r="B977" s="4" t="s">
        <v>382</v>
      </c>
      <c r="C977" s="5" t="s">
        <v>357</v>
      </c>
      <c r="D977" s="35">
        <v>44896</v>
      </c>
      <c r="E977" s="36">
        <v>7685</v>
      </c>
      <c r="F977" s="5" t="s">
        <v>379</v>
      </c>
    </row>
    <row r="978" spans="1:6">
      <c r="A978" s="4">
        <f t="shared" si="15"/>
        <v>977</v>
      </c>
      <c r="B978" s="4" t="s">
        <v>382</v>
      </c>
      <c r="C978" s="5" t="s">
        <v>356</v>
      </c>
      <c r="D978" s="35">
        <v>44896</v>
      </c>
      <c r="E978" s="36">
        <v>357</v>
      </c>
      <c r="F978" s="5" t="s">
        <v>379</v>
      </c>
    </row>
    <row r="979" spans="1:6">
      <c r="A979" s="4">
        <f t="shared" si="15"/>
        <v>978</v>
      </c>
      <c r="B979" s="4" t="s">
        <v>382</v>
      </c>
      <c r="C979" s="5" t="s">
        <v>353</v>
      </c>
      <c r="D979" s="35">
        <v>44896</v>
      </c>
      <c r="E979" s="36">
        <v>13813.12</v>
      </c>
      <c r="F979" s="5" t="s">
        <v>379</v>
      </c>
    </row>
    <row r="980" spans="1:6">
      <c r="A980" s="4">
        <f t="shared" si="15"/>
        <v>979</v>
      </c>
      <c r="B980" s="4" t="s">
        <v>382</v>
      </c>
      <c r="C980" s="5" t="s">
        <v>354</v>
      </c>
      <c r="D980" s="35">
        <v>44896</v>
      </c>
      <c r="E980" s="36">
        <v>9250.24</v>
      </c>
      <c r="F980" s="5" t="s">
        <v>379</v>
      </c>
    </row>
    <row r="981" spans="1:6">
      <c r="A981" s="4">
        <f t="shared" si="15"/>
        <v>980</v>
      </c>
      <c r="B981" s="4" t="s">
        <v>382</v>
      </c>
      <c r="C981" s="5" t="s">
        <v>366</v>
      </c>
      <c r="D981" s="35">
        <v>44896</v>
      </c>
      <c r="E981" s="36">
        <v>79416.160000000003</v>
      </c>
      <c r="F981" s="5" t="s">
        <v>379</v>
      </c>
    </row>
    <row r="982" spans="1:6">
      <c r="A982" s="4">
        <f t="shared" si="15"/>
        <v>981</v>
      </c>
      <c r="B982" s="4" t="s">
        <v>382</v>
      </c>
      <c r="C982" s="5" t="s">
        <v>358</v>
      </c>
      <c r="D982" s="35">
        <v>44896</v>
      </c>
      <c r="E982" s="36">
        <v>105978.43</v>
      </c>
      <c r="F982" s="5" t="s">
        <v>379</v>
      </c>
    </row>
    <row r="983" spans="1:6">
      <c r="A983" s="4">
        <f t="shared" si="15"/>
        <v>982</v>
      </c>
      <c r="B983" s="4" t="s">
        <v>382</v>
      </c>
      <c r="C983" s="5" t="s">
        <v>365</v>
      </c>
      <c r="D983" s="35">
        <v>44896</v>
      </c>
      <c r="E983" s="36">
        <v>33760</v>
      </c>
      <c r="F983" s="5" t="s">
        <v>379</v>
      </c>
    </row>
    <row r="984" spans="1:6">
      <c r="A984" s="4">
        <f t="shared" si="15"/>
        <v>983</v>
      </c>
      <c r="B984" s="4" t="s">
        <v>382</v>
      </c>
      <c r="C984" s="5" t="s">
        <v>368</v>
      </c>
      <c r="D984" s="35">
        <v>44896</v>
      </c>
      <c r="E984" s="36">
        <v>2400</v>
      </c>
      <c r="F984" s="5" t="s">
        <v>379</v>
      </c>
    </row>
    <row r="985" spans="1:6">
      <c r="A985" s="4">
        <f t="shared" si="15"/>
        <v>984</v>
      </c>
      <c r="B985" s="4" t="s">
        <v>384</v>
      </c>
      <c r="C985" s="5" t="s">
        <v>360</v>
      </c>
      <c r="D985" s="35">
        <v>44896</v>
      </c>
      <c r="E985" s="36">
        <v>113999</v>
      </c>
      <c r="F985" s="5" t="s">
        <v>379</v>
      </c>
    </row>
    <row r="986" spans="1:6">
      <c r="A986" s="4">
        <f t="shared" si="15"/>
        <v>985</v>
      </c>
      <c r="B986" s="4" t="s">
        <v>380</v>
      </c>
      <c r="C986" s="5" t="s">
        <v>357</v>
      </c>
      <c r="D986" s="35">
        <v>44896</v>
      </c>
      <c r="E986" s="36">
        <v>10726</v>
      </c>
      <c r="F986" s="5" t="s">
        <v>379</v>
      </c>
    </row>
    <row r="987" spans="1:6">
      <c r="A987" s="4">
        <f t="shared" si="15"/>
        <v>986</v>
      </c>
      <c r="B987" s="4" t="s">
        <v>381</v>
      </c>
      <c r="C987" s="5" t="s">
        <v>362</v>
      </c>
      <c r="D987" s="35">
        <v>44866</v>
      </c>
      <c r="E987" s="36">
        <v>57966.109999999986</v>
      </c>
      <c r="F987" s="5" t="s">
        <v>379</v>
      </c>
    </row>
    <row r="988" spans="1:6">
      <c r="A988" s="4">
        <f t="shared" si="15"/>
        <v>987</v>
      </c>
      <c r="B988" s="4" t="s">
        <v>381</v>
      </c>
      <c r="C988" s="5" t="s">
        <v>357</v>
      </c>
      <c r="D988" s="35">
        <v>44866</v>
      </c>
      <c r="E988" s="36">
        <v>63132.869999999995</v>
      </c>
      <c r="F988" s="5" t="s">
        <v>379</v>
      </c>
    </row>
    <row r="989" spans="1:6">
      <c r="A989" s="4">
        <f t="shared" si="15"/>
        <v>988</v>
      </c>
      <c r="B989" s="4" t="s">
        <v>381</v>
      </c>
      <c r="C989" s="5" t="s">
        <v>356</v>
      </c>
      <c r="D989" s="35">
        <v>44866</v>
      </c>
      <c r="E989" s="36">
        <v>59896.83</v>
      </c>
      <c r="F989" s="5" t="s">
        <v>379</v>
      </c>
    </row>
    <row r="990" spans="1:6">
      <c r="A990" s="4">
        <f t="shared" si="15"/>
        <v>989</v>
      </c>
      <c r="B990" s="4" t="s">
        <v>381</v>
      </c>
      <c r="C990" s="5" t="s">
        <v>353</v>
      </c>
      <c r="D990" s="35">
        <v>44866</v>
      </c>
      <c r="E990" s="36">
        <v>6973.5</v>
      </c>
      <c r="F990" s="5" t="s">
        <v>379</v>
      </c>
    </row>
    <row r="991" spans="1:6">
      <c r="A991" s="4">
        <f t="shared" si="15"/>
        <v>990</v>
      </c>
      <c r="B991" s="4" t="s">
        <v>381</v>
      </c>
      <c r="C991" s="5" t="s">
        <v>366</v>
      </c>
      <c r="D991" s="35">
        <v>44866</v>
      </c>
      <c r="E991" s="36">
        <v>5274</v>
      </c>
      <c r="F991" s="5" t="s">
        <v>379</v>
      </c>
    </row>
    <row r="992" spans="1:6">
      <c r="A992" s="4">
        <f t="shared" si="15"/>
        <v>991</v>
      </c>
      <c r="B992" s="4" t="s">
        <v>381</v>
      </c>
      <c r="C992" s="5" t="s">
        <v>358</v>
      </c>
      <c r="D992" s="35">
        <v>44866</v>
      </c>
      <c r="E992" s="36">
        <v>195072.56999999992</v>
      </c>
      <c r="F992" s="5" t="s">
        <v>379</v>
      </c>
    </row>
    <row r="993" spans="1:6">
      <c r="A993" s="4">
        <f t="shared" si="15"/>
        <v>992</v>
      </c>
      <c r="B993" s="4" t="s">
        <v>381</v>
      </c>
      <c r="C993" s="5" t="s">
        <v>365</v>
      </c>
      <c r="D993" s="35">
        <v>44866</v>
      </c>
      <c r="E993" s="36">
        <v>99631.3</v>
      </c>
      <c r="F993" s="5" t="s">
        <v>379</v>
      </c>
    </row>
    <row r="994" spans="1:6">
      <c r="A994" s="4">
        <f t="shared" si="15"/>
        <v>993</v>
      </c>
      <c r="B994" s="4" t="s">
        <v>381</v>
      </c>
      <c r="C994" s="5" t="s">
        <v>368</v>
      </c>
      <c r="D994" s="35">
        <v>44866</v>
      </c>
      <c r="E994" s="36">
        <v>26828.200000000004</v>
      </c>
      <c r="F994" s="5" t="s">
        <v>379</v>
      </c>
    </row>
    <row r="995" spans="1:6">
      <c r="A995" s="4">
        <f t="shared" si="15"/>
        <v>994</v>
      </c>
      <c r="B995" s="4" t="s">
        <v>382</v>
      </c>
      <c r="C995" s="5" t="s">
        <v>362</v>
      </c>
      <c r="D995" s="35">
        <v>44866</v>
      </c>
      <c r="E995" s="36">
        <v>18812.300000000003</v>
      </c>
      <c r="F995" s="5" t="s">
        <v>379</v>
      </c>
    </row>
    <row r="996" spans="1:6">
      <c r="A996" s="4">
        <f t="shared" si="15"/>
        <v>995</v>
      </c>
      <c r="B996" s="4" t="s">
        <v>382</v>
      </c>
      <c r="C996" s="5" t="s">
        <v>357</v>
      </c>
      <c r="D996" s="35">
        <v>44866</v>
      </c>
      <c r="E996" s="36">
        <v>33614.089999999997</v>
      </c>
      <c r="F996" s="5" t="s">
        <v>379</v>
      </c>
    </row>
    <row r="997" spans="1:6">
      <c r="A997" s="4">
        <f t="shared" si="15"/>
        <v>996</v>
      </c>
      <c r="B997" s="4" t="s">
        <v>382</v>
      </c>
      <c r="C997" s="5" t="s">
        <v>356</v>
      </c>
      <c r="D997" s="35">
        <v>44866</v>
      </c>
      <c r="E997" s="36">
        <v>6148.5</v>
      </c>
      <c r="F997" s="5" t="s">
        <v>379</v>
      </c>
    </row>
    <row r="998" spans="1:6">
      <c r="A998" s="4">
        <f t="shared" si="15"/>
        <v>997</v>
      </c>
      <c r="B998" s="4" t="s">
        <v>382</v>
      </c>
      <c r="C998" s="5" t="s">
        <v>353</v>
      </c>
      <c r="D998" s="35">
        <v>44866</v>
      </c>
      <c r="E998" s="36">
        <v>15760</v>
      </c>
      <c r="F998" s="5" t="s">
        <v>379</v>
      </c>
    </row>
    <row r="999" spans="1:6">
      <c r="A999" s="4">
        <f t="shared" si="15"/>
        <v>998</v>
      </c>
      <c r="B999" s="4" t="s">
        <v>382</v>
      </c>
      <c r="C999" s="5" t="s">
        <v>354</v>
      </c>
      <c r="D999" s="35">
        <v>44866</v>
      </c>
      <c r="E999" s="36">
        <v>3032.12</v>
      </c>
      <c r="F999" s="5" t="s">
        <v>379</v>
      </c>
    </row>
    <row r="1000" spans="1:6">
      <c r="A1000" s="4">
        <f t="shared" si="15"/>
        <v>999</v>
      </c>
      <c r="B1000" s="4" t="s">
        <v>382</v>
      </c>
      <c r="C1000" s="5" t="s">
        <v>366</v>
      </c>
      <c r="D1000" s="35">
        <v>44866</v>
      </c>
      <c r="E1000" s="36">
        <v>33303.74</v>
      </c>
      <c r="F1000" s="5" t="s">
        <v>379</v>
      </c>
    </row>
    <row r="1001" spans="1:6">
      <c r="A1001" s="4">
        <f t="shared" si="15"/>
        <v>1000</v>
      </c>
      <c r="B1001" s="4" t="s">
        <v>382</v>
      </c>
      <c r="C1001" s="5" t="s">
        <v>358</v>
      </c>
      <c r="D1001" s="35">
        <v>44866</v>
      </c>
      <c r="E1001" s="36">
        <v>81538.2</v>
      </c>
      <c r="F1001" s="5" t="s">
        <v>379</v>
      </c>
    </row>
    <row r="1002" spans="1:6">
      <c r="A1002" s="4">
        <f t="shared" si="15"/>
        <v>1001</v>
      </c>
      <c r="B1002" s="4" t="s">
        <v>382</v>
      </c>
      <c r="C1002" s="5" t="s">
        <v>365</v>
      </c>
      <c r="D1002" s="35">
        <v>44866</v>
      </c>
      <c r="E1002" s="36">
        <v>25904</v>
      </c>
      <c r="F1002" s="5" t="s">
        <v>379</v>
      </c>
    </row>
    <row r="1003" spans="1:6">
      <c r="A1003" s="4">
        <f t="shared" si="15"/>
        <v>1002</v>
      </c>
      <c r="B1003" s="4" t="s">
        <v>382</v>
      </c>
      <c r="C1003" s="5" t="s">
        <v>368</v>
      </c>
      <c r="D1003" s="35">
        <v>44866</v>
      </c>
      <c r="E1003" s="36">
        <v>4400</v>
      </c>
      <c r="F1003" s="5" t="s">
        <v>379</v>
      </c>
    </row>
    <row r="1004" spans="1:6">
      <c r="A1004" s="4">
        <f t="shared" si="15"/>
        <v>1003</v>
      </c>
      <c r="B1004" s="4" t="s">
        <v>384</v>
      </c>
      <c r="C1004" s="5" t="s">
        <v>360</v>
      </c>
      <c r="D1004" s="35">
        <v>44866</v>
      </c>
      <c r="E1004" s="36">
        <v>114210</v>
      </c>
      <c r="F1004" s="5" t="s">
        <v>379</v>
      </c>
    </row>
    <row r="1005" spans="1:6">
      <c r="A1005" s="4">
        <f t="shared" si="15"/>
        <v>1004</v>
      </c>
      <c r="B1005" s="4" t="s">
        <v>384</v>
      </c>
      <c r="C1005" s="5" t="s">
        <v>356</v>
      </c>
      <c r="D1005" s="35">
        <v>44866</v>
      </c>
      <c r="E1005" s="36">
        <v>204559.5</v>
      </c>
      <c r="F1005" s="5" t="s">
        <v>379</v>
      </c>
    </row>
    <row r="1006" spans="1:6">
      <c r="A1006" s="4">
        <f t="shared" si="15"/>
        <v>1005</v>
      </c>
      <c r="B1006" s="4" t="s">
        <v>380</v>
      </c>
      <c r="C1006" s="5" t="s">
        <v>357</v>
      </c>
      <c r="D1006" s="35">
        <v>44866</v>
      </c>
      <c r="E1006" s="36">
        <v>10540</v>
      </c>
      <c r="F1006" s="5" t="s">
        <v>379</v>
      </c>
    </row>
    <row r="1007" spans="1:6">
      <c r="A1007" s="4">
        <f t="shared" si="15"/>
        <v>1006</v>
      </c>
      <c r="B1007" s="4" t="s">
        <v>387</v>
      </c>
      <c r="C1007" s="5" t="s">
        <v>354</v>
      </c>
      <c r="D1007" s="38">
        <v>44835</v>
      </c>
      <c r="E1007" s="36">
        <v>376</v>
      </c>
      <c r="F1007" s="5" t="s">
        <v>379</v>
      </c>
    </row>
    <row r="1008" spans="1:6">
      <c r="A1008" s="4">
        <f t="shared" si="15"/>
        <v>1007</v>
      </c>
      <c r="B1008" s="4" t="s">
        <v>381</v>
      </c>
      <c r="C1008" s="5" t="s">
        <v>362</v>
      </c>
      <c r="D1008" s="35">
        <v>44835</v>
      </c>
      <c r="E1008" s="36">
        <v>35494.819999999992</v>
      </c>
      <c r="F1008" s="5" t="s">
        <v>379</v>
      </c>
    </row>
    <row r="1009" spans="1:6">
      <c r="A1009" s="4">
        <f t="shared" si="15"/>
        <v>1008</v>
      </c>
      <c r="B1009" s="4" t="s">
        <v>381</v>
      </c>
      <c r="C1009" s="5" t="s">
        <v>357</v>
      </c>
      <c r="D1009" s="35">
        <v>44835</v>
      </c>
      <c r="E1009" s="36">
        <v>44071.5</v>
      </c>
      <c r="F1009" s="5" t="s">
        <v>379</v>
      </c>
    </row>
    <row r="1010" spans="1:6">
      <c r="A1010" s="4">
        <f t="shared" si="15"/>
        <v>1009</v>
      </c>
      <c r="B1010" s="4" t="s">
        <v>381</v>
      </c>
      <c r="C1010" s="5" t="s">
        <v>356</v>
      </c>
      <c r="D1010" s="35">
        <v>44835</v>
      </c>
      <c r="E1010" s="36">
        <v>3372.6799999999994</v>
      </c>
      <c r="F1010" s="5" t="s">
        <v>379</v>
      </c>
    </row>
    <row r="1011" spans="1:6">
      <c r="A1011" s="4">
        <f t="shared" si="15"/>
        <v>1010</v>
      </c>
      <c r="B1011" s="4" t="s">
        <v>381</v>
      </c>
      <c r="C1011" s="5" t="s">
        <v>353</v>
      </c>
      <c r="D1011" s="35">
        <v>44835</v>
      </c>
      <c r="E1011" s="36">
        <v>2936</v>
      </c>
      <c r="F1011" s="5" t="s">
        <v>379</v>
      </c>
    </row>
    <row r="1012" spans="1:6">
      <c r="A1012" s="4">
        <f t="shared" si="15"/>
        <v>1011</v>
      </c>
      <c r="B1012" s="4" t="s">
        <v>381</v>
      </c>
      <c r="C1012" s="5" t="s">
        <v>366</v>
      </c>
      <c r="D1012" s="35">
        <v>44835</v>
      </c>
      <c r="E1012" s="36">
        <v>6313.5</v>
      </c>
      <c r="F1012" s="5" t="s">
        <v>379</v>
      </c>
    </row>
    <row r="1013" spans="1:6">
      <c r="A1013" s="4">
        <f t="shared" si="15"/>
        <v>1012</v>
      </c>
      <c r="B1013" s="4" t="s">
        <v>381</v>
      </c>
      <c r="C1013" s="5" t="s">
        <v>358</v>
      </c>
      <c r="D1013" s="35">
        <v>44835</v>
      </c>
      <c r="E1013" s="36">
        <v>61391.85</v>
      </c>
      <c r="F1013" s="5" t="s">
        <v>379</v>
      </c>
    </row>
    <row r="1014" spans="1:6">
      <c r="A1014" s="4">
        <f t="shared" si="15"/>
        <v>1013</v>
      </c>
      <c r="B1014" s="4" t="s">
        <v>381</v>
      </c>
      <c r="C1014" s="5" t="s">
        <v>365</v>
      </c>
      <c r="D1014" s="35">
        <v>44835</v>
      </c>
      <c r="E1014" s="36">
        <v>25087.3</v>
      </c>
      <c r="F1014" s="5" t="s">
        <v>379</v>
      </c>
    </row>
    <row r="1015" spans="1:6">
      <c r="A1015" s="4">
        <f t="shared" si="15"/>
        <v>1014</v>
      </c>
      <c r="B1015" s="4" t="s">
        <v>381</v>
      </c>
      <c r="C1015" s="5" t="s">
        <v>368</v>
      </c>
      <c r="D1015" s="35">
        <v>44835</v>
      </c>
      <c r="E1015" s="36">
        <v>18905.400000000001</v>
      </c>
      <c r="F1015" s="5" t="s">
        <v>379</v>
      </c>
    </row>
    <row r="1016" spans="1:6">
      <c r="A1016" s="4">
        <f t="shared" si="15"/>
        <v>1015</v>
      </c>
      <c r="B1016" s="4" t="s">
        <v>382</v>
      </c>
      <c r="C1016" s="5" t="s">
        <v>362</v>
      </c>
      <c r="D1016" s="35">
        <v>44835</v>
      </c>
      <c r="E1016" s="36">
        <v>22101.97</v>
      </c>
      <c r="F1016" s="5" t="s">
        <v>379</v>
      </c>
    </row>
    <row r="1017" spans="1:6">
      <c r="A1017" s="4">
        <f t="shared" si="15"/>
        <v>1016</v>
      </c>
      <c r="B1017" s="4" t="s">
        <v>382</v>
      </c>
      <c r="C1017" s="5" t="s">
        <v>357</v>
      </c>
      <c r="D1017" s="35">
        <v>44835</v>
      </c>
      <c r="E1017" s="36">
        <v>3589</v>
      </c>
      <c r="F1017" s="5" t="s">
        <v>379</v>
      </c>
    </row>
    <row r="1018" spans="1:6">
      <c r="A1018" s="4">
        <f t="shared" si="15"/>
        <v>1017</v>
      </c>
      <c r="B1018" s="4" t="s">
        <v>382</v>
      </c>
      <c r="C1018" s="5" t="s">
        <v>356</v>
      </c>
      <c r="D1018" s="35">
        <v>44835</v>
      </c>
      <c r="E1018" s="36">
        <v>10420.5</v>
      </c>
      <c r="F1018" s="5" t="s">
        <v>379</v>
      </c>
    </row>
    <row r="1019" spans="1:6">
      <c r="A1019" s="4">
        <f t="shared" si="15"/>
        <v>1018</v>
      </c>
      <c r="B1019" s="4" t="s">
        <v>382</v>
      </c>
      <c r="C1019" s="5" t="s">
        <v>353</v>
      </c>
      <c r="D1019" s="35">
        <v>44835</v>
      </c>
      <c r="E1019" s="36">
        <v>6024</v>
      </c>
      <c r="F1019" s="5" t="s">
        <v>379</v>
      </c>
    </row>
    <row r="1020" spans="1:6">
      <c r="A1020" s="4">
        <f t="shared" si="15"/>
        <v>1019</v>
      </c>
      <c r="B1020" s="4" t="s">
        <v>382</v>
      </c>
      <c r="C1020" s="5" t="s">
        <v>366</v>
      </c>
      <c r="D1020" s="35">
        <v>44835</v>
      </c>
      <c r="E1020" s="36">
        <v>23720.5</v>
      </c>
      <c r="F1020" s="5" t="s">
        <v>379</v>
      </c>
    </row>
    <row r="1021" spans="1:6">
      <c r="A1021" s="4">
        <f t="shared" si="15"/>
        <v>1020</v>
      </c>
      <c r="B1021" s="4" t="s">
        <v>382</v>
      </c>
      <c r="C1021" s="5" t="s">
        <v>358</v>
      </c>
      <c r="D1021" s="35">
        <v>44835</v>
      </c>
      <c r="E1021" s="36">
        <v>22410.42</v>
      </c>
      <c r="F1021" s="5" t="s">
        <v>379</v>
      </c>
    </row>
    <row r="1022" spans="1:6">
      <c r="A1022" s="4">
        <f t="shared" si="15"/>
        <v>1021</v>
      </c>
      <c r="B1022" s="4" t="s">
        <v>382</v>
      </c>
      <c r="C1022" s="5" t="s">
        <v>365</v>
      </c>
      <c r="D1022" s="35">
        <v>44835</v>
      </c>
      <c r="E1022" s="36">
        <v>6760</v>
      </c>
      <c r="F1022" s="5" t="s">
        <v>379</v>
      </c>
    </row>
    <row r="1023" spans="1:6">
      <c r="A1023" s="4">
        <f t="shared" si="15"/>
        <v>1022</v>
      </c>
      <c r="B1023" s="4" t="s">
        <v>384</v>
      </c>
      <c r="C1023" s="5" t="s">
        <v>360</v>
      </c>
      <c r="D1023" s="35">
        <v>44835</v>
      </c>
      <c r="E1023" s="36">
        <v>107469.75999999999</v>
      </c>
      <c r="F1023" s="5" t="s">
        <v>379</v>
      </c>
    </row>
    <row r="1024" spans="1:6">
      <c r="A1024" s="4">
        <f t="shared" si="15"/>
        <v>1023</v>
      </c>
      <c r="B1024" s="4" t="s">
        <v>380</v>
      </c>
      <c r="C1024" s="5" t="s">
        <v>357</v>
      </c>
      <c r="D1024" s="35">
        <v>44835</v>
      </c>
      <c r="E1024" s="36">
        <v>7285</v>
      </c>
      <c r="F1024" s="5" t="s">
        <v>379</v>
      </c>
    </row>
    <row r="1025" spans="1:6">
      <c r="A1025" s="4">
        <f t="shared" si="15"/>
        <v>1024</v>
      </c>
      <c r="B1025" s="4" t="s">
        <v>387</v>
      </c>
      <c r="C1025" s="5" t="s">
        <v>354</v>
      </c>
      <c r="D1025" s="38">
        <v>44805</v>
      </c>
      <c r="E1025" s="36">
        <v>1376</v>
      </c>
      <c r="F1025" s="5" t="s">
        <v>379</v>
      </c>
    </row>
    <row r="1026" spans="1:6">
      <c r="A1026" s="4">
        <f t="shared" si="15"/>
        <v>1025</v>
      </c>
      <c r="B1026" s="4" t="s">
        <v>381</v>
      </c>
      <c r="C1026" s="5" t="s">
        <v>362</v>
      </c>
      <c r="D1026" s="35">
        <v>44805</v>
      </c>
      <c r="E1026" s="36">
        <v>43077.149999999987</v>
      </c>
      <c r="F1026" s="5" t="s">
        <v>379</v>
      </c>
    </row>
    <row r="1027" spans="1:6">
      <c r="A1027" s="4">
        <f t="shared" si="15"/>
        <v>1026</v>
      </c>
      <c r="B1027" s="4" t="s">
        <v>381</v>
      </c>
      <c r="C1027" s="5" t="s">
        <v>357</v>
      </c>
      <c r="D1027" s="35">
        <v>44805</v>
      </c>
      <c r="E1027" s="36">
        <v>42518.11</v>
      </c>
      <c r="F1027" s="5" t="s">
        <v>379</v>
      </c>
    </row>
    <row r="1028" spans="1:6">
      <c r="A1028" s="4">
        <f t="shared" si="15"/>
        <v>1027</v>
      </c>
      <c r="B1028" s="4" t="s">
        <v>381</v>
      </c>
      <c r="C1028" s="5" t="s">
        <v>356</v>
      </c>
      <c r="D1028" s="35">
        <v>44805</v>
      </c>
      <c r="E1028" s="36">
        <v>78879.399999999994</v>
      </c>
      <c r="F1028" s="5" t="s">
        <v>379</v>
      </c>
    </row>
    <row r="1029" spans="1:6">
      <c r="A1029" s="4">
        <f t="shared" si="15"/>
        <v>1028</v>
      </c>
      <c r="B1029" s="4" t="s">
        <v>381</v>
      </c>
      <c r="C1029" s="5" t="s">
        <v>353</v>
      </c>
      <c r="D1029" s="35">
        <v>44805</v>
      </c>
      <c r="E1029" s="36">
        <v>4385</v>
      </c>
      <c r="F1029" s="5" t="s">
        <v>379</v>
      </c>
    </row>
    <row r="1030" spans="1:6">
      <c r="A1030" s="4">
        <f t="shared" si="15"/>
        <v>1029</v>
      </c>
      <c r="B1030" s="4" t="s">
        <v>381</v>
      </c>
      <c r="C1030" s="5" t="s">
        <v>366</v>
      </c>
      <c r="D1030" s="35">
        <v>44805</v>
      </c>
      <c r="E1030" s="36">
        <v>22197</v>
      </c>
      <c r="F1030" s="5" t="s">
        <v>379</v>
      </c>
    </row>
    <row r="1031" spans="1:6">
      <c r="A1031" s="4">
        <f t="shared" si="15"/>
        <v>1030</v>
      </c>
      <c r="B1031" s="4" t="s">
        <v>381</v>
      </c>
      <c r="C1031" s="5" t="s">
        <v>358</v>
      </c>
      <c r="D1031" s="35">
        <v>44805</v>
      </c>
      <c r="E1031" s="36">
        <v>90817.699999999968</v>
      </c>
      <c r="F1031" s="5" t="s">
        <v>379</v>
      </c>
    </row>
    <row r="1032" spans="1:6">
      <c r="A1032" s="4">
        <f t="shared" si="15"/>
        <v>1031</v>
      </c>
      <c r="B1032" s="4" t="s">
        <v>381</v>
      </c>
      <c r="C1032" s="5" t="s">
        <v>365</v>
      </c>
      <c r="D1032" s="35">
        <v>44805</v>
      </c>
      <c r="E1032" s="36">
        <v>19496</v>
      </c>
      <c r="F1032" s="5" t="s">
        <v>379</v>
      </c>
    </row>
    <row r="1033" spans="1:6">
      <c r="A1033" s="4">
        <f t="shared" si="15"/>
        <v>1032</v>
      </c>
      <c r="B1033" s="4" t="s">
        <v>381</v>
      </c>
      <c r="C1033" s="5" t="s">
        <v>368</v>
      </c>
      <c r="D1033" s="35">
        <v>44805</v>
      </c>
      <c r="E1033" s="36">
        <v>31246.129999999997</v>
      </c>
      <c r="F1033" s="5" t="s">
        <v>379</v>
      </c>
    </row>
    <row r="1034" spans="1:6">
      <c r="A1034" s="4">
        <f t="shared" si="15"/>
        <v>1033</v>
      </c>
      <c r="B1034" s="4" t="s">
        <v>382</v>
      </c>
      <c r="C1034" s="5" t="s">
        <v>362</v>
      </c>
      <c r="D1034" s="35">
        <v>44805</v>
      </c>
      <c r="E1034" s="36">
        <v>20399.23</v>
      </c>
      <c r="F1034" s="5" t="s">
        <v>379</v>
      </c>
    </row>
    <row r="1035" spans="1:6">
      <c r="A1035" s="4">
        <f t="shared" ref="A1035:A1098" si="16">ROW()-1</f>
        <v>1034</v>
      </c>
      <c r="B1035" s="4" t="s">
        <v>382</v>
      </c>
      <c r="C1035" s="5" t="s">
        <v>357</v>
      </c>
      <c r="D1035" s="35">
        <v>44805</v>
      </c>
      <c r="E1035" s="36">
        <v>31054</v>
      </c>
      <c r="F1035" s="5" t="s">
        <v>379</v>
      </c>
    </row>
    <row r="1036" spans="1:6">
      <c r="A1036" s="4">
        <f t="shared" si="16"/>
        <v>1035</v>
      </c>
      <c r="B1036" s="4" t="s">
        <v>382</v>
      </c>
      <c r="C1036" s="5" t="s">
        <v>356</v>
      </c>
      <c r="D1036" s="35">
        <v>44805</v>
      </c>
      <c r="E1036" s="36">
        <v>1253</v>
      </c>
      <c r="F1036" s="5" t="s">
        <v>379</v>
      </c>
    </row>
    <row r="1037" spans="1:6">
      <c r="A1037" s="4">
        <f t="shared" si="16"/>
        <v>1036</v>
      </c>
      <c r="B1037" s="4" t="s">
        <v>382</v>
      </c>
      <c r="C1037" s="5" t="s">
        <v>353</v>
      </c>
      <c r="D1037" s="35">
        <v>44805</v>
      </c>
      <c r="E1037" s="36">
        <v>7100</v>
      </c>
      <c r="F1037" s="5" t="s">
        <v>379</v>
      </c>
    </row>
    <row r="1038" spans="1:6">
      <c r="A1038" s="4">
        <f t="shared" si="16"/>
        <v>1037</v>
      </c>
      <c r="B1038" s="4" t="s">
        <v>382</v>
      </c>
      <c r="C1038" s="5" t="s">
        <v>366</v>
      </c>
      <c r="D1038" s="35">
        <v>44805</v>
      </c>
      <c r="E1038" s="36">
        <v>39438.050000000003</v>
      </c>
      <c r="F1038" s="5" t="s">
        <v>379</v>
      </c>
    </row>
    <row r="1039" spans="1:6">
      <c r="A1039" s="4">
        <f t="shared" si="16"/>
        <v>1038</v>
      </c>
      <c r="B1039" s="4" t="s">
        <v>382</v>
      </c>
      <c r="C1039" s="5" t="s">
        <v>358</v>
      </c>
      <c r="D1039" s="35">
        <v>44805</v>
      </c>
      <c r="E1039" s="36">
        <v>59435.1</v>
      </c>
      <c r="F1039" s="5" t="s">
        <v>379</v>
      </c>
    </row>
    <row r="1040" spans="1:6">
      <c r="A1040" s="4">
        <f t="shared" si="16"/>
        <v>1039</v>
      </c>
      <c r="B1040" s="4" t="s">
        <v>382</v>
      </c>
      <c r="C1040" s="5" t="s">
        <v>365</v>
      </c>
      <c r="D1040" s="35">
        <v>44805</v>
      </c>
      <c r="E1040" s="36">
        <v>7232</v>
      </c>
      <c r="F1040" s="5" t="s">
        <v>379</v>
      </c>
    </row>
    <row r="1041" spans="1:6">
      <c r="A1041" s="4">
        <f t="shared" si="16"/>
        <v>1040</v>
      </c>
      <c r="B1041" s="4" t="s">
        <v>382</v>
      </c>
      <c r="C1041" s="5" t="s">
        <v>368</v>
      </c>
      <c r="D1041" s="35">
        <v>44805</v>
      </c>
      <c r="E1041" s="36">
        <v>2184.9499999999998</v>
      </c>
      <c r="F1041" s="5" t="s">
        <v>379</v>
      </c>
    </row>
    <row r="1042" spans="1:6">
      <c r="A1042" s="4">
        <f t="shared" si="16"/>
        <v>1041</v>
      </c>
      <c r="B1042" s="4" t="s">
        <v>384</v>
      </c>
      <c r="C1042" s="5" t="s">
        <v>360</v>
      </c>
      <c r="D1042" s="35">
        <v>44805</v>
      </c>
      <c r="E1042" s="36">
        <v>72731.06</v>
      </c>
      <c r="F1042" s="5" t="s">
        <v>379</v>
      </c>
    </row>
    <row r="1043" spans="1:6">
      <c r="A1043" s="4">
        <f t="shared" si="16"/>
        <v>1042</v>
      </c>
      <c r="B1043" s="4" t="s">
        <v>380</v>
      </c>
      <c r="C1043" s="5" t="s">
        <v>357</v>
      </c>
      <c r="D1043" s="35">
        <v>44805</v>
      </c>
      <c r="E1043" s="36">
        <v>9630</v>
      </c>
      <c r="F1043" s="5" t="s">
        <v>379</v>
      </c>
    </row>
    <row r="1044" spans="1:6">
      <c r="A1044" s="4">
        <f t="shared" si="16"/>
        <v>1043</v>
      </c>
      <c r="B1044" s="4" t="s">
        <v>381</v>
      </c>
      <c r="C1044" s="5" t="s">
        <v>362</v>
      </c>
      <c r="D1044" s="35">
        <v>44774</v>
      </c>
      <c r="E1044" s="36">
        <v>39334.239999999998</v>
      </c>
      <c r="F1044" s="5" t="s">
        <v>379</v>
      </c>
    </row>
    <row r="1045" spans="1:6">
      <c r="A1045" s="4">
        <f t="shared" si="16"/>
        <v>1044</v>
      </c>
      <c r="B1045" s="4" t="s">
        <v>381</v>
      </c>
      <c r="C1045" s="5" t="s">
        <v>357</v>
      </c>
      <c r="D1045" s="35">
        <v>44774</v>
      </c>
      <c r="E1045" s="36">
        <v>40570.509999999995</v>
      </c>
      <c r="F1045" s="5" t="s">
        <v>379</v>
      </c>
    </row>
    <row r="1046" spans="1:6">
      <c r="A1046" s="4">
        <f t="shared" si="16"/>
        <v>1045</v>
      </c>
      <c r="B1046" s="4" t="s">
        <v>381</v>
      </c>
      <c r="C1046" s="5" t="s">
        <v>356</v>
      </c>
      <c r="D1046" s="35">
        <v>44774</v>
      </c>
      <c r="E1046" s="36">
        <v>12837.46</v>
      </c>
      <c r="F1046" s="5" t="s">
        <v>379</v>
      </c>
    </row>
    <row r="1047" spans="1:6">
      <c r="A1047" s="4">
        <f t="shared" si="16"/>
        <v>1046</v>
      </c>
      <c r="B1047" s="4" t="s">
        <v>381</v>
      </c>
      <c r="C1047" s="5" t="s">
        <v>366</v>
      </c>
      <c r="D1047" s="35">
        <v>44774</v>
      </c>
      <c r="E1047" s="36">
        <v>11498.71</v>
      </c>
      <c r="F1047" s="5" t="s">
        <v>379</v>
      </c>
    </row>
    <row r="1048" spans="1:6">
      <c r="A1048" s="4">
        <f t="shared" si="16"/>
        <v>1047</v>
      </c>
      <c r="B1048" s="4" t="s">
        <v>381</v>
      </c>
      <c r="C1048" s="5" t="s">
        <v>358</v>
      </c>
      <c r="D1048" s="35">
        <v>44774</v>
      </c>
      <c r="E1048" s="36">
        <v>32726.21</v>
      </c>
      <c r="F1048" s="5" t="s">
        <v>379</v>
      </c>
    </row>
    <row r="1049" spans="1:6">
      <c r="A1049" s="4">
        <f t="shared" si="16"/>
        <v>1048</v>
      </c>
      <c r="B1049" s="4" t="s">
        <v>381</v>
      </c>
      <c r="C1049" s="5" t="s">
        <v>365</v>
      </c>
      <c r="D1049" s="35">
        <v>44774</v>
      </c>
      <c r="E1049" s="36">
        <v>35048</v>
      </c>
      <c r="F1049" s="5" t="s">
        <v>379</v>
      </c>
    </row>
    <row r="1050" spans="1:6">
      <c r="A1050" s="4">
        <f t="shared" si="16"/>
        <v>1049</v>
      </c>
      <c r="B1050" s="4" t="s">
        <v>381</v>
      </c>
      <c r="C1050" s="5" t="s">
        <v>368</v>
      </c>
      <c r="D1050" s="35">
        <v>44774</v>
      </c>
      <c r="E1050" s="36">
        <v>3200</v>
      </c>
      <c r="F1050" s="5" t="s">
        <v>379</v>
      </c>
    </row>
    <row r="1051" spans="1:6">
      <c r="A1051" s="4">
        <f t="shared" si="16"/>
        <v>1050</v>
      </c>
      <c r="B1051" s="4" t="s">
        <v>382</v>
      </c>
      <c r="C1051" s="5" t="s">
        <v>362</v>
      </c>
      <c r="D1051" s="35">
        <v>44774</v>
      </c>
      <c r="E1051" s="36">
        <v>16785.37</v>
      </c>
      <c r="F1051" s="5" t="s">
        <v>379</v>
      </c>
    </row>
    <row r="1052" spans="1:6">
      <c r="A1052" s="4">
        <f t="shared" si="16"/>
        <v>1051</v>
      </c>
      <c r="B1052" s="4" t="s">
        <v>382</v>
      </c>
      <c r="C1052" s="5" t="s">
        <v>357</v>
      </c>
      <c r="D1052" s="35">
        <v>44774</v>
      </c>
      <c r="E1052" s="36">
        <v>10566</v>
      </c>
      <c r="F1052" s="5" t="s">
        <v>379</v>
      </c>
    </row>
    <row r="1053" spans="1:6">
      <c r="A1053" s="4">
        <f t="shared" si="16"/>
        <v>1052</v>
      </c>
      <c r="B1053" s="4" t="s">
        <v>382</v>
      </c>
      <c r="C1053" s="5" t="s">
        <v>356</v>
      </c>
      <c r="D1053" s="35">
        <v>44774</v>
      </c>
      <c r="E1053" s="36">
        <v>7687.32</v>
      </c>
      <c r="F1053" s="5" t="s">
        <v>379</v>
      </c>
    </row>
    <row r="1054" spans="1:6">
      <c r="A1054" s="4">
        <f t="shared" si="16"/>
        <v>1053</v>
      </c>
      <c r="B1054" s="4" t="s">
        <v>382</v>
      </c>
      <c r="C1054" s="5" t="s">
        <v>354</v>
      </c>
      <c r="D1054" s="35">
        <v>44774</v>
      </c>
      <c r="E1054" s="36">
        <v>622.96</v>
      </c>
      <c r="F1054" s="5" t="s">
        <v>379</v>
      </c>
    </row>
    <row r="1055" spans="1:6">
      <c r="A1055" s="4">
        <f t="shared" si="16"/>
        <v>1054</v>
      </c>
      <c r="B1055" s="4" t="s">
        <v>382</v>
      </c>
      <c r="C1055" s="5" t="s">
        <v>366</v>
      </c>
      <c r="D1055" s="35">
        <v>44774</v>
      </c>
      <c r="E1055" s="36">
        <v>16279.53</v>
      </c>
      <c r="F1055" s="5" t="s">
        <v>379</v>
      </c>
    </row>
    <row r="1056" spans="1:6">
      <c r="A1056" s="4">
        <f t="shared" si="16"/>
        <v>1055</v>
      </c>
      <c r="B1056" s="4" t="s">
        <v>382</v>
      </c>
      <c r="C1056" s="5" t="s">
        <v>358</v>
      </c>
      <c r="D1056" s="35">
        <v>44774</v>
      </c>
      <c r="E1056" s="36">
        <v>39031.909999999996</v>
      </c>
      <c r="F1056" s="5" t="s">
        <v>379</v>
      </c>
    </row>
    <row r="1057" spans="1:6">
      <c r="A1057" s="4">
        <f t="shared" si="16"/>
        <v>1056</v>
      </c>
      <c r="B1057" s="4" t="s">
        <v>382</v>
      </c>
      <c r="C1057" s="5" t="s">
        <v>365</v>
      </c>
      <c r="D1057" s="35">
        <v>44774</v>
      </c>
      <c r="E1057" s="36">
        <v>3840</v>
      </c>
      <c r="F1057" s="5" t="s">
        <v>379</v>
      </c>
    </row>
    <row r="1058" spans="1:6">
      <c r="A1058" s="4">
        <f t="shared" si="16"/>
        <v>1057</v>
      </c>
      <c r="B1058" s="4" t="s">
        <v>384</v>
      </c>
      <c r="C1058" s="5" t="s">
        <v>360</v>
      </c>
      <c r="D1058" s="35">
        <v>44774</v>
      </c>
      <c r="E1058" s="36">
        <v>79420.2</v>
      </c>
      <c r="F1058" s="5" t="s">
        <v>379</v>
      </c>
    </row>
    <row r="1059" spans="1:6">
      <c r="A1059" s="4">
        <f t="shared" si="16"/>
        <v>1058</v>
      </c>
      <c r="B1059" s="4" t="s">
        <v>384</v>
      </c>
      <c r="C1059" s="5" t="s">
        <v>356</v>
      </c>
      <c r="D1059" s="35">
        <v>44774</v>
      </c>
      <c r="E1059" s="36">
        <v>29206</v>
      </c>
      <c r="F1059" s="5" t="s">
        <v>379</v>
      </c>
    </row>
    <row r="1060" spans="1:6">
      <c r="A1060" s="4">
        <f t="shared" si="16"/>
        <v>1059</v>
      </c>
      <c r="B1060" s="4" t="s">
        <v>380</v>
      </c>
      <c r="C1060" s="5" t="s">
        <v>357</v>
      </c>
      <c r="D1060" s="35">
        <v>44774</v>
      </c>
      <c r="E1060" s="36">
        <v>13812</v>
      </c>
      <c r="F1060" s="5" t="s">
        <v>379</v>
      </c>
    </row>
    <row r="1061" spans="1:6">
      <c r="A1061" s="4">
        <f t="shared" si="16"/>
        <v>1060</v>
      </c>
      <c r="B1061" s="4" t="s">
        <v>381</v>
      </c>
      <c r="C1061" s="5" t="s">
        <v>362</v>
      </c>
      <c r="D1061" s="35">
        <v>44743</v>
      </c>
      <c r="E1061" s="36">
        <v>34101.1</v>
      </c>
      <c r="F1061" s="5" t="s">
        <v>379</v>
      </c>
    </row>
    <row r="1062" spans="1:6">
      <c r="A1062" s="4">
        <f t="shared" si="16"/>
        <v>1061</v>
      </c>
      <c r="B1062" s="4" t="s">
        <v>381</v>
      </c>
      <c r="C1062" s="5" t="s">
        <v>357</v>
      </c>
      <c r="D1062" s="35">
        <v>44743</v>
      </c>
      <c r="E1062" s="36">
        <v>34058.51</v>
      </c>
      <c r="F1062" s="5" t="s">
        <v>379</v>
      </c>
    </row>
    <row r="1063" spans="1:6">
      <c r="A1063" s="4">
        <f t="shared" si="16"/>
        <v>1062</v>
      </c>
      <c r="B1063" s="4" t="s">
        <v>381</v>
      </c>
      <c r="C1063" s="5" t="s">
        <v>356</v>
      </c>
      <c r="D1063" s="35">
        <v>44743</v>
      </c>
      <c r="E1063" s="36">
        <v>4332.6400000000003</v>
      </c>
      <c r="F1063" s="5" t="s">
        <v>379</v>
      </c>
    </row>
    <row r="1064" spans="1:6">
      <c r="A1064" s="4">
        <f t="shared" si="16"/>
        <v>1063</v>
      </c>
      <c r="B1064" s="4" t="s">
        <v>381</v>
      </c>
      <c r="C1064" s="5" t="s">
        <v>353</v>
      </c>
      <c r="D1064" s="35">
        <v>44743</v>
      </c>
      <c r="E1064" s="36">
        <v>1686.5</v>
      </c>
      <c r="F1064" s="5" t="s">
        <v>379</v>
      </c>
    </row>
    <row r="1065" spans="1:6">
      <c r="A1065" s="4">
        <f t="shared" si="16"/>
        <v>1064</v>
      </c>
      <c r="B1065" s="4" t="s">
        <v>381</v>
      </c>
      <c r="C1065" s="5" t="s">
        <v>366</v>
      </c>
      <c r="D1065" s="35">
        <v>44743</v>
      </c>
      <c r="E1065" s="36">
        <v>2617.9499999999998</v>
      </c>
      <c r="F1065" s="5" t="s">
        <v>379</v>
      </c>
    </row>
    <row r="1066" spans="1:6">
      <c r="A1066" s="4">
        <f t="shared" si="16"/>
        <v>1065</v>
      </c>
      <c r="B1066" s="4" t="s">
        <v>381</v>
      </c>
      <c r="C1066" s="5" t="s">
        <v>358</v>
      </c>
      <c r="D1066" s="35">
        <v>44743</v>
      </c>
      <c r="E1066" s="36">
        <v>80379.260000000024</v>
      </c>
      <c r="F1066" s="5" t="s">
        <v>379</v>
      </c>
    </row>
    <row r="1067" spans="1:6">
      <c r="A1067" s="4">
        <f t="shared" si="16"/>
        <v>1066</v>
      </c>
      <c r="B1067" s="4" t="s">
        <v>381</v>
      </c>
      <c r="C1067" s="5" t="s">
        <v>365</v>
      </c>
      <c r="D1067" s="35">
        <v>44743</v>
      </c>
      <c r="E1067" s="36">
        <v>35152</v>
      </c>
      <c r="F1067" s="5" t="s">
        <v>379</v>
      </c>
    </row>
    <row r="1068" spans="1:6">
      <c r="A1068" s="4">
        <f t="shared" si="16"/>
        <v>1067</v>
      </c>
      <c r="B1068" s="4" t="s">
        <v>381</v>
      </c>
      <c r="C1068" s="5" t="s">
        <v>368</v>
      </c>
      <c r="D1068" s="35">
        <v>44743</v>
      </c>
      <c r="E1068" s="36">
        <v>29915.760000000002</v>
      </c>
      <c r="F1068" s="5" t="s">
        <v>379</v>
      </c>
    </row>
    <row r="1069" spans="1:6">
      <c r="A1069" s="4">
        <f t="shared" si="16"/>
        <v>1068</v>
      </c>
      <c r="B1069" s="4" t="s">
        <v>382</v>
      </c>
      <c r="C1069" s="5" t="s">
        <v>362</v>
      </c>
      <c r="D1069" s="35">
        <v>44743</v>
      </c>
      <c r="E1069" s="36">
        <v>21689.26</v>
      </c>
      <c r="F1069" s="5" t="s">
        <v>379</v>
      </c>
    </row>
    <row r="1070" spans="1:6">
      <c r="A1070" s="4">
        <f t="shared" si="16"/>
        <v>1069</v>
      </c>
      <c r="B1070" s="4" t="s">
        <v>382</v>
      </c>
      <c r="C1070" s="5" t="s">
        <v>357</v>
      </c>
      <c r="D1070" s="35">
        <v>44743</v>
      </c>
      <c r="E1070" s="36">
        <v>21447</v>
      </c>
      <c r="F1070" s="5" t="s">
        <v>379</v>
      </c>
    </row>
    <row r="1071" spans="1:6">
      <c r="A1071" s="4">
        <f t="shared" si="16"/>
        <v>1070</v>
      </c>
      <c r="B1071" s="4" t="s">
        <v>382</v>
      </c>
      <c r="C1071" s="5" t="s">
        <v>353</v>
      </c>
      <c r="D1071" s="35">
        <v>44743</v>
      </c>
      <c r="E1071" s="36">
        <v>12976</v>
      </c>
      <c r="F1071" s="5" t="s">
        <v>379</v>
      </c>
    </row>
    <row r="1072" spans="1:6">
      <c r="A1072" s="4">
        <f t="shared" si="16"/>
        <v>1071</v>
      </c>
      <c r="B1072" s="4" t="s">
        <v>382</v>
      </c>
      <c r="C1072" s="5" t="s">
        <v>366</v>
      </c>
      <c r="D1072" s="35">
        <v>44743</v>
      </c>
      <c r="E1072" s="36">
        <v>17963.25</v>
      </c>
      <c r="F1072" s="5" t="s">
        <v>379</v>
      </c>
    </row>
    <row r="1073" spans="1:6">
      <c r="A1073" s="4">
        <f t="shared" si="16"/>
        <v>1072</v>
      </c>
      <c r="B1073" s="4" t="s">
        <v>382</v>
      </c>
      <c r="C1073" s="5" t="s">
        <v>358</v>
      </c>
      <c r="D1073" s="35">
        <v>44743</v>
      </c>
      <c r="E1073" s="36">
        <v>31459.85</v>
      </c>
      <c r="F1073" s="5" t="s">
        <v>379</v>
      </c>
    </row>
    <row r="1074" spans="1:6">
      <c r="A1074" s="4">
        <f t="shared" si="16"/>
        <v>1073</v>
      </c>
      <c r="B1074" s="4" t="s">
        <v>382</v>
      </c>
      <c r="C1074" s="5" t="s">
        <v>365</v>
      </c>
      <c r="D1074" s="35">
        <v>44743</v>
      </c>
      <c r="E1074" s="36">
        <v>5120</v>
      </c>
      <c r="F1074" s="5" t="s">
        <v>379</v>
      </c>
    </row>
    <row r="1075" spans="1:6">
      <c r="A1075" s="4">
        <f t="shared" si="16"/>
        <v>1074</v>
      </c>
      <c r="B1075" s="4" t="s">
        <v>382</v>
      </c>
      <c r="C1075" s="5" t="s">
        <v>368</v>
      </c>
      <c r="D1075" s="35">
        <v>44743</v>
      </c>
      <c r="E1075" s="36">
        <v>400</v>
      </c>
      <c r="F1075" s="5" t="s">
        <v>379</v>
      </c>
    </row>
    <row r="1076" spans="1:6">
      <c r="A1076" s="4">
        <f t="shared" si="16"/>
        <v>1075</v>
      </c>
      <c r="B1076" s="4" t="s">
        <v>384</v>
      </c>
      <c r="C1076" s="5" t="s">
        <v>360</v>
      </c>
      <c r="D1076" s="35">
        <v>44743</v>
      </c>
      <c r="E1076" s="36">
        <v>54896</v>
      </c>
      <c r="F1076" s="5" t="s">
        <v>379</v>
      </c>
    </row>
    <row r="1077" spans="1:6">
      <c r="A1077" s="4">
        <f t="shared" si="16"/>
        <v>1076</v>
      </c>
      <c r="B1077" s="4" t="s">
        <v>384</v>
      </c>
      <c r="C1077" s="5" t="s">
        <v>356</v>
      </c>
      <c r="D1077" s="35">
        <v>44743</v>
      </c>
      <c r="E1077" s="36">
        <v>79290.149999999994</v>
      </c>
      <c r="F1077" s="5" t="s">
        <v>379</v>
      </c>
    </row>
    <row r="1078" spans="1:6">
      <c r="A1078" s="4">
        <f t="shared" si="16"/>
        <v>1077</v>
      </c>
      <c r="B1078" s="4" t="s">
        <v>380</v>
      </c>
      <c r="C1078" s="5" t="s">
        <v>357</v>
      </c>
      <c r="D1078" s="35">
        <v>44743</v>
      </c>
      <c r="E1078" s="36">
        <v>11480</v>
      </c>
      <c r="F1078" s="5" t="s">
        <v>379</v>
      </c>
    </row>
    <row r="1079" spans="1:6">
      <c r="A1079" s="4">
        <f t="shared" si="16"/>
        <v>1078</v>
      </c>
      <c r="B1079" s="4" t="s">
        <v>387</v>
      </c>
      <c r="C1079" s="5" t="s">
        <v>354</v>
      </c>
      <c r="D1079" s="38">
        <v>44713</v>
      </c>
      <c r="E1079" s="36">
        <v>1504</v>
      </c>
      <c r="F1079" s="5" t="s">
        <v>379</v>
      </c>
    </row>
    <row r="1080" spans="1:6">
      <c r="A1080" s="4">
        <f t="shared" si="16"/>
        <v>1079</v>
      </c>
      <c r="B1080" s="4" t="s">
        <v>381</v>
      </c>
      <c r="C1080" s="5" t="s">
        <v>362</v>
      </c>
      <c r="D1080" s="35">
        <v>44713</v>
      </c>
      <c r="E1080" s="36">
        <v>29069.62</v>
      </c>
      <c r="F1080" s="5" t="s">
        <v>379</v>
      </c>
    </row>
    <row r="1081" spans="1:6">
      <c r="A1081" s="4">
        <f t="shared" si="16"/>
        <v>1080</v>
      </c>
      <c r="B1081" s="4" t="s">
        <v>381</v>
      </c>
      <c r="C1081" s="5" t="s">
        <v>357</v>
      </c>
      <c r="D1081" s="35">
        <v>44713</v>
      </c>
      <c r="E1081" s="36">
        <v>18889.870000000003</v>
      </c>
      <c r="F1081" s="5" t="s">
        <v>379</v>
      </c>
    </row>
    <row r="1082" spans="1:6">
      <c r="A1082" s="4">
        <f t="shared" si="16"/>
        <v>1081</v>
      </c>
      <c r="B1082" s="4" t="s">
        <v>381</v>
      </c>
      <c r="C1082" s="5" t="s">
        <v>356</v>
      </c>
      <c r="D1082" s="35">
        <v>44713</v>
      </c>
      <c r="E1082" s="36">
        <v>5894.6</v>
      </c>
      <c r="F1082" s="5" t="s">
        <v>379</v>
      </c>
    </row>
    <row r="1083" spans="1:6">
      <c r="A1083" s="4">
        <f t="shared" si="16"/>
        <v>1082</v>
      </c>
      <c r="B1083" s="4" t="s">
        <v>381</v>
      </c>
      <c r="C1083" s="5" t="s">
        <v>353</v>
      </c>
      <c r="D1083" s="35">
        <v>44713</v>
      </c>
      <c r="E1083" s="36">
        <v>768</v>
      </c>
      <c r="F1083" s="5" t="s">
        <v>379</v>
      </c>
    </row>
    <row r="1084" spans="1:6">
      <c r="A1084" s="4">
        <f t="shared" si="16"/>
        <v>1083</v>
      </c>
      <c r="B1084" s="4" t="s">
        <v>381</v>
      </c>
      <c r="C1084" s="5" t="s">
        <v>366</v>
      </c>
      <c r="D1084" s="35">
        <v>44713</v>
      </c>
      <c r="E1084" s="36">
        <v>15175.400000000001</v>
      </c>
      <c r="F1084" s="5" t="s">
        <v>379</v>
      </c>
    </row>
    <row r="1085" spans="1:6">
      <c r="A1085" s="4">
        <f t="shared" si="16"/>
        <v>1084</v>
      </c>
      <c r="B1085" s="4" t="s">
        <v>381</v>
      </c>
      <c r="C1085" s="5" t="s">
        <v>358</v>
      </c>
      <c r="D1085" s="35">
        <v>44713</v>
      </c>
      <c r="E1085" s="36">
        <v>38290.300000000003</v>
      </c>
      <c r="F1085" s="5" t="s">
        <v>379</v>
      </c>
    </row>
    <row r="1086" spans="1:6">
      <c r="A1086" s="4">
        <f t="shared" si="16"/>
        <v>1085</v>
      </c>
      <c r="B1086" s="4" t="s">
        <v>381</v>
      </c>
      <c r="C1086" s="5" t="s">
        <v>365</v>
      </c>
      <c r="D1086" s="35">
        <v>44713</v>
      </c>
      <c r="E1086" s="36">
        <v>5208</v>
      </c>
      <c r="F1086" s="5" t="s">
        <v>379</v>
      </c>
    </row>
    <row r="1087" spans="1:6">
      <c r="A1087" s="4">
        <f t="shared" si="16"/>
        <v>1086</v>
      </c>
      <c r="B1087" s="4" t="s">
        <v>381</v>
      </c>
      <c r="C1087" s="5" t="s">
        <v>368</v>
      </c>
      <c r="D1087" s="35">
        <v>44713</v>
      </c>
      <c r="E1087" s="36">
        <v>22664.77</v>
      </c>
      <c r="F1087" s="5" t="s">
        <v>379</v>
      </c>
    </row>
    <row r="1088" spans="1:6">
      <c r="A1088" s="4">
        <f t="shared" si="16"/>
        <v>1087</v>
      </c>
      <c r="B1088" s="4" t="s">
        <v>382</v>
      </c>
      <c r="C1088" s="5" t="s">
        <v>362</v>
      </c>
      <c r="D1088" s="35">
        <v>44713</v>
      </c>
      <c r="E1088" s="36">
        <v>12800.44</v>
      </c>
      <c r="F1088" s="5" t="s">
        <v>379</v>
      </c>
    </row>
    <row r="1089" spans="1:6">
      <c r="A1089" s="4">
        <f t="shared" si="16"/>
        <v>1088</v>
      </c>
      <c r="B1089" s="4" t="s">
        <v>382</v>
      </c>
      <c r="C1089" s="5" t="s">
        <v>357</v>
      </c>
      <c r="D1089" s="35">
        <v>44713</v>
      </c>
      <c r="E1089" s="36">
        <v>36384</v>
      </c>
      <c r="F1089" s="5" t="s">
        <v>379</v>
      </c>
    </row>
    <row r="1090" spans="1:6">
      <c r="A1090" s="4">
        <f t="shared" si="16"/>
        <v>1089</v>
      </c>
      <c r="B1090" s="4" t="s">
        <v>382</v>
      </c>
      <c r="C1090" s="5" t="s">
        <v>356</v>
      </c>
      <c r="D1090" s="35">
        <v>44713</v>
      </c>
      <c r="E1090" s="36">
        <v>503.5</v>
      </c>
      <c r="F1090" s="5" t="s">
        <v>379</v>
      </c>
    </row>
    <row r="1091" spans="1:6">
      <c r="A1091" s="4">
        <f t="shared" si="16"/>
        <v>1090</v>
      </c>
      <c r="B1091" s="4" t="s">
        <v>382</v>
      </c>
      <c r="C1091" s="5" t="s">
        <v>353</v>
      </c>
      <c r="D1091" s="35">
        <v>44713</v>
      </c>
      <c r="E1091" s="36">
        <v>3456</v>
      </c>
      <c r="F1091" s="5" t="s">
        <v>379</v>
      </c>
    </row>
    <row r="1092" spans="1:6">
      <c r="A1092" s="4">
        <f t="shared" si="16"/>
        <v>1091</v>
      </c>
      <c r="B1092" s="4" t="s">
        <v>382</v>
      </c>
      <c r="C1092" s="5" t="s">
        <v>354</v>
      </c>
      <c r="D1092" s="35">
        <v>44713</v>
      </c>
      <c r="E1092" s="36">
        <v>1800</v>
      </c>
      <c r="F1092" s="5" t="s">
        <v>379</v>
      </c>
    </row>
    <row r="1093" spans="1:6">
      <c r="A1093" s="4">
        <f t="shared" si="16"/>
        <v>1092</v>
      </c>
      <c r="B1093" s="4" t="s">
        <v>382</v>
      </c>
      <c r="C1093" s="5" t="s">
        <v>366</v>
      </c>
      <c r="D1093" s="35">
        <v>44713</v>
      </c>
      <c r="E1093" s="36">
        <v>35575.15</v>
      </c>
      <c r="F1093" s="5" t="s">
        <v>379</v>
      </c>
    </row>
    <row r="1094" spans="1:6">
      <c r="A1094" s="4">
        <f t="shared" si="16"/>
        <v>1093</v>
      </c>
      <c r="B1094" s="4" t="s">
        <v>382</v>
      </c>
      <c r="C1094" s="5" t="s">
        <v>358</v>
      </c>
      <c r="D1094" s="35">
        <v>44713</v>
      </c>
      <c r="E1094" s="36">
        <v>15809.92</v>
      </c>
      <c r="F1094" s="5" t="s">
        <v>379</v>
      </c>
    </row>
    <row r="1095" spans="1:6">
      <c r="A1095" s="4">
        <f t="shared" si="16"/>
        <v>1094</v>
      </c>
      <c r="B1095" s="4" t="s">
        <v>382</v>
      </c>
      <c r="C1095" s="5" t="s">
        <v>365</v>
      </c>
      <c r="D1095" s="35">
        <v>44713</v>
      </c>
      <c r="E1095" s="36">
        <v>4640</v>
      </c>
      <c r="F1095" s="5" t="s">
        <v>379</v>
      </c>
    </row>
    <row r="1096" spans="1:6">
      <c r="A1096" s="4">
        <f t="shared" si="16"/>
        <v>1095</v>
      </c>
      <c r="B1096" s="4" t="s">
        <v>384</v>
      </c>
      <c r="C1096" s="5" t="s">
        <v>360</v>
      </c>
      <c r="D1096" s="35">
        <v>44713</v>
      </c>
      <c r="E1096" s="36">
        <v>45621.2</v>
      </c>
      <c r="F1096" s="5" t="s">
        <v>379</v>
      </c>
    </row>
    <row r="1097" spans="1:6">
      <c r="A1097" s="4">
        <f t="shared" si="16"/>
        <v>1096</v>
      </c>
      <c r="B1097" s="4" t="s">
        <v>380</v>
      </c>
      <c r="C1097" s="5" t="s">
        <v>357</v>
      </c>
      <c r="D1097" s="35">
        <v>44713</v>
      </c>
      <c r="E1097" s="36">
        <v>13020</v>
      </c>
      <c r="F1097" s="5" t="s">
        <v>379</v>
      </c>
    </row>
    <row r="1098" spans="1:6">
      <c r="A1098" s="4">
        <f t="shared" si="16"/>
        <v>1097</v>
      </c>
      <c r="B1098" s="4" t="s">
        <v>381</v>
      </c>
      <c r="C1098" s="5" t="s">
        <v>362</v>
      </c>
      <c r="D1098" s="35">
        <v>44682</v>
      </c>
      <c r="E1098" s="36">
        <v>34668.5</v>
      </c>
      <c r="F1098" s="5" t="s">
        <v>379</v>
      </c>
    </row>
    <row r="1099" spans="1:6">
      <c r="A1099" s="4">
        <f t="shared" ref="A1099:A1162" si="17">ROW()-1</f>
        <v>1098</v>
      </c>
      <c r="B1099" s="4" t="s">
        <v>381</v>
      </c>
      <c r="C1099" s="5" t="s">
        <v>357</v>
      </c>
      <c r="D1099" s="35">
        <v>44682</v>
      </c>
      <c r="E1099" s="36">
        <v>47398.09</v>
      </c>
      <c r="F1099" s="5" t="s">
        <v>379</v>
      </c>
    </row>
    <row r="1100" spans="1:6">
      <c r="A1100" s="4">
        <f t="shared" si="17"/>
        <v>1099</v>
      </c>
      <c r="B1100" s="4" t="s">
        <v>381</v>
      </c>
      <c r="C1100" s="5" t="s">
        <v>356</v>
      </c>
      <c r="D1100" s="35">
        <v>44682</v>
      </c>
      <c r="E1100" s="36">
        <v>2293.84</v>
      </c>
      <c r="F1100" s="5" t="s">
        <v>379</v>
      </c>
    </row>
    <row r="1101" spans="1:6">
      <c r="A1101" s="4">
        <f t="shared" si="17"/>
        <v>1100</v>
      </c>
      <c r="B1101" s="4" t="s">
        <v>381</v>
      </c>
      <c r="C1101" s="5" t="s">
        <v>353</v>
      </c>
      <c r="D1101" s="35">
        <v>44682</v>
      </c>
      <c r="E1101" s="36">
        <v>1280</v>
      </c>
      <c r="F1101" s="5" t="s">
        <v>379</v>
      </c>
    </row>
    <row r="1102" spans="1:6">
      <c r="A1102" s="4">
        <f t="shared" si="17"/>
        <v>1101</v>
      </c>
      <c r="B1102" s="4" t="s">
        <v>381</v>
      </c>
      <c r="C1102" s="5" t="s">
        <v>366</v>
      </c>
      <c r="D1102" s="35">
        <v>44682</v>
      </c>
      <c r="E1102" s="36">
        <v>12245</v>
      </c>
      <c r="F1102" s="5" t="s">
        <v>379</v>
      </c>
    </row>
    <row r="1103" spans="1:6">
      <c r="A1103" s="4">
        <f t="shared" si="17"/>
        <v>1102</v>
      </c>
      <c r="B1103" s="4" t="s">
        <v>381</v>
      </c>
      <c r="C1103" s="5" t="s">
        <v>358</v>
      </c>
      <c r="D1103" s="35">
        <v>44682</v>
      </c>
      <c r="E1103" s="36">
        <v>91042.190000000017</v>
      </c>
      <c r="F1103" s="5" t="s">
        <v>379</v>
      </c>
    </row>
    <row r="1104" spans="1:6">
      <c r="A1104" s="4">
        <f t="shared" si="17"/>
        <v>1103</v>
      </c>
      <c r="B1104" s="4" t="s">
        <v>381</v>
      </c>
      <c r="C1104" s="5" t="s">
        <v>365</v>
      </c>
      <c r="D1104" s="35">
        <v>44682</v>
      </c>
      <c r="E1104" s="36">
        <v>29696</v>
      </c>
      <c r="F1104" s="5" t="s">
        <v>379</v>
      </c>
    </row>
    <row r="1105" spans="1:6">
      <c r="A1105" s="4">
        <f t="shared" si="17"/>
        <v>1104</v>
      </c>
      <c r="B1105" s="4" t="s">
        <v>381</v>
      </c>
      <c r="C1105" s="5" t="s">
        <v>368</v>
      </c>
      <c r="D1105" s="35">
        <v>44682</v>
      </c>
      <c r="E1105" s="36">
        <v>29602.22</v>
      </c>
      <c r="F1105" s="5" t="s">
        <v>379</v>
      </c>
    </row>
    <row r="1106" spans="1:6">
      <c r="A1106" s="4">
        <f t="shared" si="17"/>
        <v>1105</v>
      </c>
      <c r="B1106" s="4" t="s">
        <v>381</v>
      </c>
      <c r="C1106" s="5" t="s">
        <v>369</v>
      </c>
      <c r="D1106" s="35">
        <v>44682</v>
      </c>
      <c r="E1106" s="36">
        <v>510</v>
      </c>
      <c r="F1106" s="5" t="s">
        <v>379</v>
      </c>
    </row>
    <row r="1107" spans="1:6">
      <c r="A1107" s="4">
        <f t="shared" si="17"/>
        <v>1106</v>
      </c>
      <c r="B1107" s="4" t="s">
        <v>382</v>
      </c>
      <c r="C1107" s="5" t="s">
        <v>362</v>
      </c>
      <c r="D1107" s="35">
        <v>44682</v>
      </c>
      <c r="E1107" s="36">
        <v>15554.19</v>
      </c>
      <c r="F1107" s="5" t="s">
        <v>379</v>
      </c>
    </row>
    <row r="1108" spans="1:6">
      <c r="A1108" s="4">
        <f t="shared" si="17"/>
        <v>1107</v>
      </c>
      <c r="B1108" s="4" t="s">
        <v>382</v>
      </c>
      <c r="C1108" s="5" t="s">
        <v>357</v>
      </c>
      <c r="D1108" s="35">
        <v>44682</v>
      </c>
      <c r="E1108" s="36">
        <v>8311.5</v>
      </c>
      <c r="F1108" s="5" t="s">
        <v>379</v>
      </c>
    </row>
    <row r="1109" spans="1:6">
      <c r="A1109" s="4">
        <f t="shared" si="17"/>
        <v>1108</v>
      </c>
      <c r="B1109" s="4" t="s">
        <v>382</v>
      </c>
      <c r="C1109" s="5" t="s">
        <v>356</v>
      </c>
      <c r="D1109" s="35">
        <v>44682</v>
      </c>
      <c r="E1109" s="36">
        <v>1880</v>
      </c>
      <c r="F1109" s="5" t="s">
        <v>379</v>
      </c>
    </row>
    <row r="1110" spans="1:6">
      <c r="A1110" s="4">
        <f t="shared" si="17"/>
        <v>1109</v>
      </c>
      <c r="B1110" s="4" t="s">
        <v>382</v>
      </c>
      <c r="C1110" s="5" t="s">
        <v>353</v>
      </c>
      <c r="D1110" s="35">
        <v>44682</v>
      </c>
      <c r="E1110" s="36">
        <v>25812</v>
      </c>
      <c r="F1110" s="5" t="s">
        <v>379</v>
      </c>
    </row>
    <row r="1111" spans="1:6">
      <c r="A1111" s="4">
        <f t="shared" si="17"/>
        <v>1110</v>
      </c>
      <c r="B1111" s="4" t="s">
        <v>382</v>
      </c>
      <c r="C1111" s="5" t="s">
        <v>354</v>
      </c>
      <c r="D1111" s="35">
        <v>44682</v>
      </c>
      <c r="E1111" s="36">
        <v>7674</v>
      </c>
      <c r="F1111" s="5" t="s">
        <v>379</v>
      </c>
    </row>
    <row r="1112" spans="1:6">
      <c r="A1112" s="4">
        <f t="shared" si="17"/>
        <v>1111</v>
      </c>
      <c r="B1112" s="4" t="s">
        <v>382</v>
      </c>
      <c r="C1112" s="5" t="s">
        <v>366</v>
      </c>
      <c r="D1112" s="35">
        <v>44682</v>
      </c>
      <c r="E1112" s="36">
        <v>19825.55</v>
      </c>
      <c r="F1112" s="5" t="s">
        <v>379</v>
      </c>
    </row>
    <row r="1113" spans="1:6">
      <c r="A1113" s="4">
        <f t="shared" si="17"/>
        <v>1112</v>
      </c>
      <c r="B1113" s="4" t="s">
        <v>382</v>
      </c>
      <c r="C1113" s="5" t="s">
        <v>358</v>
      </c>
      <c r="D1113" s="35">
        <v>44682</v>
      </c>
      <c r="E1113" s="36">
        <v>19980.52</v>
      </c>
      <c r="F1113" s="5" t="s">
        <v>379</v>
      </c>
    </row>
    <row r="1114" spans="1:6">
      <c r="A1114" s="4">
        <f t="shared" si="17"/>
        <v>1113</v>
      </c>
      <c r="B1114" s="4" t="s">
        <v>382</v>
      </c>
      <c r="C1114" s="5" t="s">
        <v>368</v>
      </c>
      <c r="D1114" s="35">
        <v>44682</v>
      </c>
      <c r="E1114" s="36">
        <v>1702.97</v>
      </c>
      <c r="F1114" s="5" t="s">
        <v>379</v>
      </c>
    </row>
    <row r="1115" spans="1:6">
      <c r="A1115" s="4">
        <f t="shared" si="17"/>
        <v>1114</v>
      </c>
      <c r="B1115" s="4" t="s">
        <v>384</v>
      </c>
      <c r="C1115" s="5" t="s">
        <v>360</v>
      </c>
      <c r="D1115" s="35">
        <v>44682</v>
      </c>
      <c r="E1115" s="36">
        <v>38231.26</v>
      </c>
      <c r="F1115" s="5" t="s">
        <v>379</v>
      </c>
    </row>
    <row r="1116" spans="1:6">
      <c r="A1116" s="4">
        <f t="shared" si="17"/>
        <v>1115</v>
      </c>
      <c r="B1116" s="4" t="s">
        <v>380</v>
      </c>
      <c r="C1116" s="5" t="s">
        <v>357</v>
      </c>
      <c r="D1116" s="35">
        <v>44682</v>
      </c>
      <c r="E1116" s="36">
        <v>12485</v>
      </c>
      <c r="F1116" s="5" t="s">
        <v>379</v>
      </c>
    </row>
    <row r="1117" spans="1:6">
      <c r="A1117" s="4">
        <f t="shared" si="17"/>
        <v>1116</v>
      </c>
      <c r="B1117" s="4" t="s">
        <v>381</v>
      </c>
      <c r="C1117" s="5" t="s">
        <v>362</v>
      </c>
      <c r="D1117" s="35">
        <v>44652</v>
      </c>
      <c r="E1117" s="36">
        <v>50563.46</v>
      </c>
      <c r="F1117" s="5" t="s">
        <v>379</v>
      </c>
    </row>
    <row r="1118" spans="1:6">
      <c r="A1118" s="4">
        <f t="shared" si="17"/>
        <v>1117</v>
      </c>
      <c r="B1118" s="4" t="s">
        <v>381</v>
      </c>
      <c r="C1118" s="5" t="s">
        <v>357</v>
      </c>
      <c r="D1118" s="35">
        <v>44652</v>
      </c>
      <c r="E1118" s="36">
        <v>51546.000000000007</v>
      </c>
      <c r="F1118" s="5" t="s">
        <v>379</v>
      </c>
    </row>
    <row r="1119" spans="1:6">
      <c r="A1119" s="4">
        <f t="shared" si="17"/>
        <v>1118</v>
      </c>
      <c r="B1119" s="4" t="s">
        <v>381</v>
      </c>
      <c r="C1119" s="5" t="s">
        <v>356</v>
      </c>
      <c r="D1119" s="35">
        <v>44652</v>
      </c>
      <c r="E1119" s="36">
        <v>1489.6</v>
      </c>
      <c r="F1119" s="5" t="s">
        <v>379</v>
      </c>
    </row>
    <row r="1120" spans="1:6">
      <c r="A1120" s="4">
        <f t="shared" si="17"/>
        <v>1119</v>
      </c>
      <c r="B1120" s="4" t="s">
        <v>381</v>
      </c>
      <c r="C1120" s="5" t="s">
        <v>353</v>
      </c>
      <c r="D1120" s="35">
        <v>44652</v>
      </c>
      <c r="E1120" s="36">
        <v>3448</v>
      </c>
      <c r="F1120" s="5" t="s">
        <v>379</v>
      </c>
    </row>
    <row r="1121" spans="1:6">
      <c r="A1121" s="4">
        <f t="shared" si="17"/>
        <v>1120</v>
      </c>
      <c r="B1121" s="4" t="s">
        <v>381</v>
      </c>
      <c r="C1121" s="5" t="s">
        <v>366</v>
      </c>
      <c r="D1121" s="35">
        <v>44652</v>
      </c>
      <c r="E1121" s="36">
        <v>13798.1</v>
      </c>
      <c r="F1121" s="5" t="s">
        <v>379</v>
      </c>
    </row>
    <row r="1122" spans="1:6">
      <c r="A1122" s="4">
        <f t="shared" si="17"/>
        <v>1121</v>
      </c>
      <c r="B1122" s="4" t="s">
        <v>381</v>
      </c>
      <c r="C1122" s="5" t="s">
        <v>358</v>
      </c>
      <c r="D1122" s="35">
        <v>44652</v>
      </c>
      <c r="E1122" s="36">
        <v>61052.64999999998</v>
      </c>
      <c r="F1122" s="5" t="s">
        <v>379</v>
      </c>
    </row>
    <row r="1123" spans="1:6">
      <c r="A1123" s="4">
        <f t="shared" si="17"/>
        <v>1122</v>
      </c>
      <c r="B1123" s="4" t="s">
        <v>381</v>
      </c>
      <c r="C1123" s="5" t="s">
        <v>365</v>
      </c>
      <c r="D1123" s="35">
        <v>44652</v>
      </c>
      <c r="E1123" s="36">
        <v>28032</v>
      </c>
      <c r="F1123" s="5" t="s">
        <v>379</v>
      </c>
    </row>
    <row r="1124" spans="1:6">
      <c r="A1124" s="4">
        <f t="shared" si="17"/>
        <v>1123</v>
      </c>
      <c r="B1124" s="4" t="s">
        <v>381</v>
      </c>
      <c r="C1124" s="5" t="s">
        <v>368</v>
      </c>
      <c r="D1124" s="35">
        <v>44652</v>
      </c>
      <c r="E1124" s="36">
        <v>16718.170000000002</v>
      </c>
      <c r="F1124" s="5" t="s">
        <v>379</v>
      </c>
    </row>
    <row r="1125" spans="1:6">
      <c r="A1125" s="4">
        <f t="shared" si="17"/>
        <v>1124</v>
      </c>
      <c r="B1125" s="4" t="s">
        <v>382</v>
      </c>
      <c r="C1125" s="5" t="s">
        <v>362</v>
      </c>
      <c r="D1125" s="35">
        <v>44652</v>
      </c>
      <c r="E1125" s="36">
        <v>18266.86</v>
      </c>
      <c r="F1125" s="5" t="s">
        <v>379</v>
      </c>
    </row>
    <row r="1126" spans="1:6">
      <c r="A1126" s="4">
        <f t="shared" si="17"/>
        <v>1125</v>
      </c>
      <c r="B1126" s="4" t="s">
        <v>382</v>
      </c>
      <c r="C1126" s="5" t="s">
        <v>357</v>
      </c>
      <c r="D1126" s="35">
        <v>44652</v>
      </c>
      <c r="E1126" s="36">
        <v>16615.009999999998</v>
      </c>
      <c r="F1126" s="5" t="s">
        <v>379</v>
      </c>
    </row>
    <row r="1127" spans="1:6">
      <c r="A1127" s="4">
        <f t="shared" si="17"/>
        <v>1126</v>
      </c>
      <c r="B1127" s="4" t="s">
        <v>382</v>
      </c>
      <c r="C1127" s="5" t="s">
        <v>356</v>
      </c>
      <c r="D1127" s="35">
        <v>44652</v>
      </c>
      <c r="E1127" s="36">
        <v>3712.36</v>
      </c>
      <c r="F1127" s="5" t="s">
        <v>379</v>
      </c>
    </row>
    <row r="1128" spans="1:6">
      <c r="A1128" s="4">
        <f t="shared" si="17"/>
        <v>1127</v>
      </c>
      <c r="B1128" s="4" t="s">
        <v>382</v>
      </c>
      <c r="C1128" s="5" t="s">
        <v>353</v>
      </c>
      <c r="D1128" s="35">
        <v>44652</v>
      </c>
      <c r="E1128" s="36">
        <v>2560</v>
      </c>
      <c r="F1128" s="5" t="s">
        <v>379</v>
      </c>
    </row>
    <row r="1129" spans="1:6">
      <c r="A1129" s="4">
        <f t="shared" si="17"/>
        <v>1128</v>
      </c>
      <c r="B1129" s="4" t="s">
        <v>382</v>
      </c>
      <c r="C1129" s="5" t="s">
        <v>354</v>
      </c>
      <c r="D1129" s="35">
        <v>44652</v>
      </c>
      <c r="E1129" s="36">
        <v>9000</v>
      </c>
      <c r="F1129" s="5" t="s">
        <v>379</v>
      </c>
    </row>
    <row r="1130" spans="1:6">
      <c r="A1130" s="4">
        <f t="shared" si="17"/>
        <v>1129</v>
      </c>
      <c r="B1130" s="4" t="s">
        <v>382</v>
      </c>
      <c r="C1130" s="5" t="s">
        <v>366</v>
      </c>
      <c r="D1130" s="35">
        <v>44652</v>
      </c>
      <c r="E1130" s="36">
        <v>19213.169999999998</v>
      </c>
      <c r="F1130" s="5" t="s">
        <v>379</v>
      </c>
    </row>
    <row r="1131" spans="1:6">
      <c r="A1131" s="4">
        <f t="shared" si="17"/>
        <v>1130</v>
      </c>
      <c r="B1131" s="4" t="s">
        <v>382</v>
      </c>
      <c r="C1131" s="5" t="s">
        <v>358</v>
      </c>
      <c r="D1131" s="35">
        <v>44652</v>
      </c>
      <c r="E1131" s="36">
        <v>29594.63</v>
      </c>
      <c r="F1131" s="5" t="s">
        <v>379</v>
      </c>
    </row>
    <row r="1132" spans="1:6">
      <c r="A1132" s="4">
        <f t="shared" si="17"/>
        <v>1131</v>
      </c>
      <c r="B1132" s="4" t="s">
        <v>382</v>
      </c>
      <c r="C1132" s="5" t="s">
        <v>365</v>
      </c>
      <c r="D1132" s="35">
        <v>44652</v>
      </c>
      <c r="E1132" s="36">
        <v>576</v>
      </c>
      <c r="F1132" s="5" t="s">
        <v>379</v>
      </c>
    </row>
    <row r="1133" spans="1:6">
      <c r="A1133" s="4">
        <f t="shared" si="17"/>
        <v>1132</v>
      </c>
      <c r="B1133" s="4" t="s">
        <v>382</v>
      </c>
      <c r="C1133" s="5" t="s">
        <v>368</v>
      </c>
      <c r="D1133" s="35">
        <v>44652</v>
      </c>
      <c r="E1133" s="36">
        <v>1708.7</v>
      </c>
      <c r="F1133" s="5" t="s">
        <v>379</v>
      </c>
    </row>
    <row r="1134" spans="1:6">
      <c r="A1134" s="4">
        <f t="shared" si="17"/>
        <v>1133</v>
      </c>
      <c r="B1134" s="4" t="s">
        <v>380</v>
      </c>
      <c r="C1134" s="5" t="s">
        <v>357</v>
      </c>
      <c r="D1134" s="35">
        <v>44652</v>
      </c>
      <c r="E1134" s="36">
        <v>8330</v>
      </c>
      <c r="F1134" s="5" t="s">
        <v>379</v>
      </c>
    </row>
    <row r="1135" spans="1:6">
      <c r="A1135" s="4">
        <f t="shared" si="17"/>
        <v>1134</v>
      </c>
      <c r="B1135" s="4" t="s">
        <v>381</v>
      </c>
      <c r="C1135" s="5" t="s">
        <v>362</v>
      </c>
      <c r="D1135" s="35">
        <v>44621</v>
      </c>
      <c r="E1135" s="36">
        <v>14197.28</v>
      </c>
      <c r="F1135" s="5" t="s">
        <v>379</v>
      </c>
    </row>
    <row r="1136" spans="1:6">
      <c r="A1136" s="4">
        <f t="shared" si="17"/>
        <v>1135</v>
      </c>
      <c r="B1136" s="4" t="s">
        <v>381</v>
      </c>
      <c r="C1136" s="5" t="s">
        <v>357</v>
      </c>
      <c r="D1136" s="35">
        <v>44621</v>
      </c>
      <c r="E1136" s="36">
        <v>38313.08</v>
      </c>
      <c r="F1136" s="5" t="s">
        <v>379</v>
      </c>
    </row>
    <row r="1137" spans="1:6">
      <c r="A1137" s="4">
        <f t="shared" si="17"/>
        <v>1136</v>
      </c>
      <c r="B1137" s="4" t="s">
        <v>381</v>
      </c>
      <c r="C1137" s="5" t="s">
        <v>356</v>
      </c>
      <c r="D1137" s="35">
        <v>44621</v>
      </c>
      <c r="E1137" s="36">
        <v>376</v>
      </c>
      <c r="F1137" s="5" t="s">
        <v>379</v>
      </c>
    </row>
    <row r="1138" spans="1:6">
      <c r="A1138" s="4">
        <f t="shared" si="17"/>
        <v>1137</v>
      </c>
      <c r="B1138" s="4" t="s">
        <v>381</v>
      </c>
      <c r="C1138" s="5" t="s">
        <v>353</v>
      </c>
      <c r="D1138" s="35">
        <v>44621</v>
      </c>
      <c r="E1138" s="36">
        <v>5343.5</v>
      </c>
      <c r="F1138" s="5" t="s">
        <v>379</v>
      </c>
    </row>
    <row r="1139" spans="1:6">
      <c r="A1139" s="4">
        <f t="shared" si="17"/>
        <v>1138</v>
      </c>
      <c r="B1139" s="4" t="s">
        <v>381</v>
      </c>
      <c r="C1139" s="5" t="s">
        <v>366</v>
      </c>
      <c r="D1139" s="35">
        <v>44621</v>
      </c>
      <c r="E1139" s="36">
        <v>7530</v>
      </c>
      <c r="F1139" s="5" t="s">
        <v>379</v>
      </c>
    </row>
    <row r="1140" spans="1:6">
      <c r="A1140" s="4">
        <f t="shared" si="17"/>
        <v>1139</v>
      </c>
      <c r="B1140" s="4" t="s">
        <v>381</v>
      </c>
      <c r="C1140" s="5" t="s">
        <v>358</v>
      </c>
      <c r="D1140" s="35">
        <v>44621</v>
      </c>
      <c r="E1140" s="36">
        <v>6454.6699999999992</v>
      </c>
      <c r="F1140" s="5" t="s">
        <v>379</v>
      </c>
    </row>
    <row r="1141" spans="1:6">
      <c r="A1141" s="4">
        <f t="shared" si="17"/>
        <v>1140</v>
      </c>
      <c r="B1141" s="4" t="s">
        <v>381</v>
      </c>
      <c r="C1141" s="5" t="s">
        <v>365</v>
      </c>
      <c r="D1141" s="35">
        <v>44621</v>
      </c>
      <c r="E1141" s="36">
        <v>6880</v>
      </c>
      <c r="F1141" s="5" t="s">
        <v>379</v>
      </c>
    </row>
    <row r="1142" spans="1:6">
      <c r="A1142" s="4">
        <f t="shared" si="17"/>
        <v>1141</v>
      </c>
      <c r="B1142" s="4" t="s">
        <v>381</v>
      </c>
      <c r="C1142" s="5" t="s">
        <v>368</v>
      </c>
      <c r="D1142" s="35">
        <v>44621</v>
      </c>
      <c r="E1142" s="36">
        <v>474</v>
      </c>
      <c r="F1142" s="5" t="s">
        <v>379</v>
      </c>
    </row>
    <row r="1143" spans="1:6">
      <c r="A1143" s="4">
        <f t="shared" si="17"/>
        <v>1142</v>
      </c>
      <c r="B1143" s="4" t="s">
        <v>382</v>
      </c>
      <c r="C1143" s="5" t="s">
        <v>362</v>
      </c>
      <c r="D1143" s="35">
        <v>44621</v>
      </c>
      <c r="E1143" s="36">
        <v>7843.46</v>
      </c>
      <c r="F1143" s="5" t="s">
        <v>379</v>
      </c>
    </row>
    <row r="1144" spans="1:6">
      <c r="A1144" s="4">
        <f t="shared" si="17"/>
        <v>1143</v>
      </c>
      <c r="B1144" s="4" t="s">
        <v>382</v>
      </c>
      <c r="C1144" s="5" t="s">
        <v>357</v>
      </c>
      <c r="D1144" s="35">
        <v>44621</v>
      </c>
      <c r="E1144" s="36">
        <v>840</v>
      </c>
      <c r="F1144" s="5" t="s">
        <v>379</v>
      </c>
    </row>
    <row r="1145" spans="1:6">
      <c r="A1145" s="4">
        <f t="shared" si="17"/>
        <v>1144</v>
      </c>
      <c r="B1145" s="4" t="s">
        <v>382</v>
      </c>
      <c r="C1145" s="5" t="s">
        <v>356</v>
      </c>
      <c r="D1145" s="35">
        <v>44621</v>
      </c>
      <c r="E1145" s="36">
        <v>2256</v>
      </c>
      <c r="F1145" s="5" t="s">
        <v>379</v>
      </c>
    </row>
    <row r="1146" spans="1:6">
      <c r="A1146" s="4">
        <f t="shared" si="17"/>
        <v>1145</v>
      </c>
      <c r="B1146" s="4" t="s">
        <v>382</v>
      </c>
      <c r="C1146" s="5" t="s">
        <v>353</v>
      </c>
      <c r="D1146" s="35">
        <v>44621</v>
      </c>
      <c r="E1146" s="36">
        <v>5120</v>
      </c>
      <c r="F1146" s="5" t="s">
        <v>379</v>
      </c>
    </row>
    <row r="1147" spans="1:6">
      <c r="A1147" s="4">
        <f t="shared" si="17"/>
        <v>1146</v>
      </c>
      <c r="B1147" s="4" t="s">
        <v>382</v>
      </c>
      <c r="C1147" s="5" t="s">
        <v>354</v>
      </c>
      <c r="D1147" s="35">
        <v>44621</v>
      </c>
      <c r="E1147" s="36">
        <v>5406.06</v>
      </c>
      <c r="F1147" s="5" t="s">
        <v>379</v>
      </c>
    </row>
    <row r="1148" spans="1:6">
      <c r="A1148" s="4">
        <f t="shared" si="17"/>
        <v>1147</v>
      </c>
      <c r="B1148" s="4" t="s">
        <v>382</v>
      </c>
      <c r="C1148" s="5" t="s">
        <v>366</v>
      </c>
      <c r="D1148" s="35">
        <v>44621</v>
      </c>
      <c r="E1148" s="36">
        <v>16284.619999999999</v>
      </c>
      <c r="F1148" s="5" t="s">
        <v>379</v>
      </c>
    </row>
    <row r="1149" spans="1:6">
      <c r="A1149" s="4">
        <f t="shared" si="17"/>
        <v>1148</v>
      </c>
      <c r="B1149" s="4" t="s">
        <v>382</v>
      </c>
      <c r="C1149" s="5" t="s">
        <v>358</v>
      </c>
      <c r="D1149" s="35">
        <v>44621</v>
      </c>
      <c r="E1149" s="36">
        <v>29178.3</v>
      </c>
      <c r="F1149" s="5" t="s">
        <v>379</v>
      </c>
    </row>
    <row r="1150" spans="1:6">
      <c r="A1150" s="4">
        <f t="shared" si="17"/>
        <v>1149</v>
      </c>
      <c r="B1150" s="4" t="s">
        <v>382</v>
      </c>
      <c r="C1150" s="5" t="s">
        <v>365</v>
      </c>
      <c r="D1150" s="35">
        <v>44621</v>
      </c>
      <c r="E1150" s="36">
        <v>2304</v>
      </c>
      <c r="F1150" s="5" t="s">
        <v>379</v>
      </c>
    </row>
    <row r="1151" spans="1:6">
      <c r="A1151" s="4">
        <f t="shared" si="17"/>
        <v>1150</v>
      </c>
      <c r="B1151" s="4" t="s">
        <v>382</v>
      </c>
      <c r="C1151" s="5" t="s">
        <v>368</v>
      </c>
      <c r="D1151" s="35">
        <v>44621</v>
      </c>
      <c r="E1151" s="36">
        <v>2771.81</v>
      </c>
      <c r="F1151" s="5" t="s">
        <v>379</v>
      </c>
    </row>
    <row r="1152" spans="1:6">
      <c r="A1152" s="4">
        <f t="shared" si="17"/>
        <v>1151</v>
      </c>
      <c r="B1152" s="4" t="s">
        <v>380</v>
      </c>
      <c r="C1152" s="5" t="s">
        <v>357</v>
      </c>
      <c r="D1152" s="35">
        <v>44621</v>
      </c>
      <c r="E1152" s="36">
        <v>7934</v>
      </c>
      <c r="F1152" s="5" t="s">
        <v>379</v>
      </c>
    </row>
    <row r="1153" spans="1:6">
      <c r="A1153" s="4">
        <f t="shared" si="17"/>
        <v>1152</v>
      </c>
      <c r="B1153" s="4" t="s">
        <v>381</v>
      </c>
      <c r="C1153" s="5" t="s">
        <v>362</v>
      </c>
      <c r="D1153" s="35">
        <v>44593</v>
      </c>
      <c r="E1153" s="36">
        <v>35312.54</v>
      </c>
      <c r="F1153" s="5" t="s">
        <v>379</v>
      </c>
    </row>
    <row r="1154" spans="1:6">
      <c r="A1154" s="4">
        <f t="shared" si="17"/>
        <v>1153</v>
      </c>
      <c r="B1154" s="4" t="s">
        <v>381</v>
      </c>
      <c r="C1154" s="5" t="s">
        <v>353</v>
      </c>
      <c r="D1154" s="35">
        <v>44593</v>
      </c>
      <c r="E1154" s="36">
        <v>256</v>
      </c>
      <c r="F1154" s="5" t="s">
        <v>379</v>
      </c>
    </row>
    <row r="1155" spans="1:6">
      <c r="A1155" s="4">
        <f t="shared" si="17"/>
        <v>1154</v>
      </c>
      <c r="B1155" s="4" t="s">
        <v>381</v>
      </c>
      <c r="C1155" s="5" t="s">
        <v>366</v>
      </c>
      <c r="D1155" s="35">
        <v>44593</v>
      </c>
      <c r="E1155" s="36">
        <v>8609.2000000000007</v>
      </c>
      <c r="F1155" s="5" t="s">
        <v>379</v>
      </c>
    </row>
    <row r="1156" spans="1:6">
      <c r="A1156" s="4">
        <f t="shared" si="17"/>
        <v>1155</v>
      </c>
      <c r="B1156" s="4" t="s">
        <v>381</v>
      </c>
      <c r="C1156" s="5" t="s">
        <v>358</v>
      </c>
      <c r="D1156" s="35">
        <v>44593</v>
      </c>
      <c r="E1156" s="36">
        <v>42858.610000000008</v>
      </c>
      <c r="F1156" s="5" t="s">
        <v>379</v>
      </c>
    </row>
    <row r="1157" spans="1:6">
      <c r="A1157" s="4">
        <f t="shared" si="17"/>
        <v>1156</v>
      </c>
      <c r="B1157" s="4" t="s">
        <v>381</v>
      </c>
      <c r="C1157" s="5" t="s">
        <v>365</v>
      </c>
      <c r="D1157" s="35">
        <v>44593</v>
      </c>
      <c r="E1157" s="36">
        <v>19920</v>
      </c>
      <c r="F1157" s="5" t="s">
        <v>379</v>
      </c>
    </row>
    <row r="1158" spans="1:6">
      <c r="A1158" s="4">
        <f t="shared" si="17"/>
        <v>1157</v>
      </c>
      <c r="B1158" s="4" t="s">
        <v>381</v>
      </c>
      <c r="C1158" s="5" t="s">
        <v>368</v>
      </c>
      <c r="D1158" s="35">
        <v>44593</v>
      </c>
      <c r="E1158" s="36">
        <v>11724.6</v>
      </c>
      <c r="F1158" s="5" t="s">
        <v>379</v>
      </c>
    </row>
    <row r="1159" spans="1:6">
      <c r="A1159" s="4">
        <f t="shared" si="17"/>
        <v>1158</v>
      </c>
      <c r="B1159" s="4" t="s">
        <v>382</v>
      </c>
      <c r="C1159" s="5" t="s">
        <v>362</v>
      </c>
      <c r="D1159" s="35">
        <v>44593</v>
      </c>
      <c r="E1159" s="36">
        <v>9179.3799999999992</v>
      </c>
      <c r="F1159" s="5" t="s">
        <v>379</v>
      </c>
    </row>
    <row r="1160" spans="1:6">
      <c r="A1160" s="4">
        <f t="shared" si="17"/>
        <v>1159</v>
      </c>
      <c r="B1160" s="4" t="s">
        <v>382</v>
      </c>
      <c r="C1160" s="5" t="s">
        <v>357</v>
      </c>
      <c r="D1160" s="35">
        <v>44593</v>
      </c>
      <c r="E1160" s="36">
        <v>280</v>
      </c>
      <c r="F1160" s="5" t="s">
        <v>379</v>
      </c>
    </row>
    <row r="1161" spans="1:6">
      <c r="A1161" s="4">
        <f t="shared" si="17"/>
        <v>1160</v>
      </c>
      <c r="B1161" s="4" t="s">
        <v>382</v>
      </c>
      <c r="C1161" s="5" t="s">
        <v>356</v>
      </c>
      <c r="D1161" s="35">
        <v>44593</v>
      </c>
      <c r="E1161" s="36">
        <v>3008</v>
      </c>
      <c r="F1161" s="5" t="s">
        <v>379</v>
      </c>
    </row>
    <row r="1162" spans="1:6">
      <c r="A1162" s="4">
        <f t="shared" si="17"/>
        <v>1161</v>
      </c>
      <c r="B1162" s="4" t="s">
        <v>382</v>
      </c>
      <c r="C1162" s="5" t="s">
        <v>353</v>
      </c>
      <c r="D1162" s="35">
        <v>44593</v>
      </c>
      <c r="E1162" s="36">
        <v>7245.25</v>
      </c>
      <c r="F1162" s="5" t="s">
        <v>379</v>
      </c>
    </row>
    <row r="1163" spans="1:6">
      <c r="A1163" s="4">
        <f t="shared" ref="A1163:A1226" si="18">ROW()-1</f>
        <v>1162</v>
      </c>
      <c r="B1163" s="4" t="s">
        <v>382</v>
      </c>
      <c r="C1163" s="5" t="s">
        <v>354</v>
      </c>
      <c r="D1163" s="35">
        <v>44593</v>
      </c>
      <c r="E1163" s="36">
        <v>9741.4500000000007</v>
      </c>
      <c r="F1163" s="5" t="s">
        <v>379</v>
      </c>
    </row>
    <row r="1164" spans="1:6">
      <c r="A1164" s="4">
        <f t="shared" si="18"/>
        <v>1163</v>
      </c>
      <c r="B1164" s="4" t="s">
        <v>382</v>
      </c>
      <c r="C1164" s="5" t="s">
        <v>366</v>
      </c>
      <c r="D1164" s="35">
        <v>44593</v>
      </c>
      <c r="E1164" s="36">
        <v>18725.8</v>
      </c>
      <c r="F1164" s="5" t="s">
        <v>379</v>
      </c>
    </row>
    <row r="1165" spans="1:6">
      <c r="A1165" s="4">
        <f t="shared" si="18"/>
        <v>1164</v>
      </c>
      <c r="B1165" s="4" t="s">
        <v>382</v>
      </c>
      <c r="C1165" s="5" t="s">
        <v>358</v>
      </c>
      <c r="D1165" s="35">
        <v>44593</v>
      </c>
      <c r="E1165" s="36">
        <v>35592.980000000003</v>
      </c>
      <c r="F1165" s="5" t="s">
        <v>379</v>
      </c>
    </row>
    <row r="1166" spans="1:6">
      <c r="A1166" s="4">
        <f t="shared" si="18"/>
        <v>1165</v>
      </c>
      <c r="B1166" s="4" t="s">
        <v>382</v>
      </c>
      <c r="C1166" s="5" t="s">
        <v>365</v>
      </c>
      <c r="D1166" s="35">
        <v>44593</v>
      </c>
      <c r="E1166" s="36">
        <v>3808</v>
      </c>
      <c r="F1166" s="5" t="s">
        <v>379</v>
      </c>
    </row>
    <row r="1167" spans="1:6">
      <c r="A1167" s="4">
        <f t="shared" si="18"/>
        <v>1166</v>
      </c>
      <c r="B1167" s="4" t="s">
        <v>384</v>
      </c>
      <c r="C1167" s="5" t="s">
        <v>356</v>
      </c>
      <c r="D1167" s="35">
        <v>44593</v>
      </c>
      <c r="E1167" s="36">
        <v>257090.33</v>
      </c>
      <c r="F1167" s="5" t="s">
        <v>379</v>
      </c>
    </row>
    <row r="1168" spans="1:6">
      <c r="A1168" s="4">
        <f t="shared" si="18"/>
        <v>1167</v>
      </c>
      <c r="B1168" s="4" t="s">
        <v>380</v>
      </c>
      <c r="C1168" s="5" t="s">
        <v>357</v>
      </c>
      <c r="D1168" s="35">
        <v>44593</v>
      </c>
      <c r="E1168" s="36">
        <v>11930</v>
      </c>
      <c r="F1168" s="5" t="s">
        <v>379</v>
      </c>
    </row>
    <row r="1169" spans="1:6">
      <c r="A1169" s="4">
        <f t="shared" si="18"/>
        <v>1168</v>
      </c>
      <c r="B1169" s="4" t="s">
        <v>381</v>
      </c>
      <c r="C1169" s="5" t="s">
        <v>362</v>
      </c>
      <c r="D1169" s="35">
        <v>44562</v>
      </c>
      <c r="E1169" s="36">
        <v>33471.990000000005</v>
      </c>
      <c r="F1169" s="5" t="s">
        <v>379</v>
      </c>
    </row>
    <row r="1170" spans="1:6">
      <c r="A1170" s="4">
        <f t="shared" si="18"/>
        <v>1169</v>
      </c>
      <c r="B1170" s="4" t="s">
        <v>381</v>
      </c>
      <c r="C1170" s="5" t="s">
        <v>357</v>
      </c>
      <c r="D1170" s="35">
        <v>44562</v>
      </c>
      <c r="E1170" s="36">
        <v>43061.63</v>
      </c>
      <c r="F1170" s="5" t="s">
        <v>379</v>
      </c>
    </row>
    <row r="1171" spans="1:6">
      <c r="A1171" s="4">
        <f t="shared" si="18"/>
        <v>1170</v>
      </c>
      <c r="B1171" s="4" t="s">
        <v>381</v>
      </c>
      <c r="C1171" s="5" t="s">
        <v>356</v>
      </c>
      <c r="D1171" s="35">
        <v>44562</v>
      </c>
      <c r="E1171" s="36">
        <v>3220.8</v>
      </c>
      <c r="F1171" s="5" t="s">
        <v>379</v>
      </c>
    </row>
    <row r="1172" spans="1:6">
      <c r="A1172" s="4">
        <f t="shared" si="18"/>
        <v>1171</v>
      </c>
      <c r="B1172" s="4" t="s">
        <v>381</v>
      </c>
      <c r="C1172" s="5" t="s">
        <v>353</v>
      </c>
      <c r="D1172" s="35">
        <v>44562</v>
      </c>
      <c r="E1172" s="36">
        <v>5520</v>
      </c>
      <c r="F1172" s="5" t="s">
        <v>379</v>
      </c>
    </row>
    <row r="1173" spans="1:6">
      <c r="A1173" s="4">
        <f t="shared" si="18"/>
        <v>1172</v>
      </c>
      <c r="B1173" s="4" t="s">
        <v>381</v>
      </c>
      <c r="C1173" s="5" t="s">
        <v>366</v>
      </c>
      <c r="D1173" s="35">
        <v>44562</v>
      </c>
      <c r="E1173" s="36">
        <v>7348.2999999999993</v>
      </c>
      <c r="F1173" s="5" t="s">
        <v>379</v>
      </c>
    </row>
    <row r="1174" spans="1:6">
      <c r="A1174" s="4">
        <f t="shared" si="18"/>
        <v>1173</v>
      </c>
      <c r="B1174" s="4" t="s">
        <v>381</v>
      </c>
      <c r="C1174" s="5" t="s">
        <v>358</v>
      </c>
      <c r="D1174" s="35">
        <v>44562</v>
      </c>
      <c r="E1174" s="36">
        <v>51164.520000000004</v>
      </c>
      <c r="F1174" s="5" t="s">
        <v>379</v>
      </c>
    </row>
    <row r="1175" spans="1:6">
      <c r="A1175" s="4">
        <f t="shared" si="18"/>
        <v>1174</v>
      </c>
      <c r="B1175" s="4" t="s">
        <v>381</v>
      </c>
      <c r="C1175" s="5" t="s">
        <v>365</v>
      </c>
      <c r="D1175" s="35">
        <v>44562</v>
      </c>
      <c r="E1175" s="36">
        <v>25824</v>
      </c>
      <c r="F1175" s="5" t="s">
        <v>379</v>
      </c>
    </row>
    <row r="1176" spans="1:6">
      <c r="A1176" s="4">
        <f t="shared" si="18"/>
        <v>1175</v>
      </c>
      <c r="B1176" s="4" t="s">
        <v>381</v>
      </c>
      <c r="C1176" s="5" t="s">
        <v>368</v>
      </c>
      <c r="D1176" s="35">
        <v>44562</v>
      </c>
      <c r="E1176" s="36">
        <v>6023.4</v>
      </c>
      <c r="F1176" s="5" t="s">
        <v>379</v>
      </c>
    </row>
    <row r="1177" spans="1:6">
      <c r="A1177" s="4">
        <f t="shared" si="18"/>
        <v>1176</v>
      </c>
      <c r="B1177" s="4" t="s">
        <v>382</v>
      </c>
      <c r="C1177" s="5" t="s">
        <v>362</v>
      </c>
      <c r="D1177" s="35">
        <v>44562</v>
      </c>
      <c r="E1177" s="36">
        <v>21545.05</v>
      </c>
      <c r="F1177" s="5" t="s">
        <v>379</v>
      </c>
    </row>
    <row r="1178" spans="1:6">
      <c r="A1178" s="4">
        <f t="shared" si="18"/>
        <v>1177</v>
      </c>
      <c r="B1178" s="4" t="s">
        <v>382</v>
      </c>
      <c r="C1178" s="5" t="s">
        <v>357</v>
      </c>
      <c r="D1178" s="35">
        <v>44562</v>
      </c>
      <c r="E1178" s="36">
        <v>280</v>
      </c>
      <c r="F1178" s="5" t="s">
        <v>379</v>
      </c>
    </row>
    <row r="1179" spans="1:6">
      <c r="A1179" s="4">
        <f t="shared" si="18"/>
        <v>1178</v>
      </c>
      <c r="B1179" s="4" t="s">
        <v>382</v>
      </c>
      <c r="C1179" s="5" t="s">
        <v>356</v>
      </c>
      <c r="D1179" s="35">
        <v>44562</v>
      </c>
      <c r="E1179" s="36">
        <v>6432</v>
      </c>
      <c r="F1179" s="5" t="s">
        <v>379</v>
      </c>
    </row>
    <row r="1180" spans="1:6">
      <c r="A1180" s="4">
        <f t="shared" si="18"/>
        <v>1179</v>
      </c>
      <c r="B1180" s="4" t="s">
        <v>382</v>
      </c>
      <c r="C1180" s="5" t="s">
        <v>353</v>
      </c>
      <c r="D1180" s="35">
        <v>44562</v>
      </c>
      <c r="E1180" s="36">
        <v>3896</v>
      </c>
      <c r="F1180" s="5" t="s">
        <v>379</v>
      </c>
    </row>
    <row r="1181" spans="1:6">
      <c r="A1181" s="4">
        <f t="shared" si="18"/>
        <v>1180</v>
      </c>
      <c r="B1181" s="4" t="s">
        <v>382</v>
      </c>
      <c r="C1181" s="5" t="s">
        <v>366</v>
      </c>
      <c r="D1181" s="35">
        <v>44562</v>
      </c>
      <c r="E1181" s="36">
        <v>4306.22</v>
      </c>
      <c r="F1181" s="5" t="s">
        <v>379</v>
      </c>
    </row>
    <row r="1182" spans="1:6">
      <c r="A1182" s="4">
        <f t="shared" si="18"/>
        <v>1181</v>
      </c>
      <c r="B1182" s="4" t="s">
        <v>382</v>
      </c>
      <c r="C1182" s="5" t="s">
        <v>358</v>
      </c>
      <c r="D1182" s="35">
        <v>44562</v>
      </c>
      <c r="E1182" s="36">
        <v>20808.71</v>
      </c>
      <c r="F1182" s="5" t="s">
        <v>379</v>
      </c>
    </row>
    <row r="1183" spans="1:6">
      <c r="A1183" s="4">
        <f t="shared" si="18"/>
        <v>1182</v>
      </c>
      <c r="B1183" s="4" t="s">
        <v>382</v>
      </c>
      <c r="C1183" s="5" t="s">
        <v>365</v>
      </c>
      <c r="D1183" s="35">
        <v>44562</v>
      </c>
      <c r="E1183" s="36">
        <v>1152</v>
      </c>
      <c r="F1183" s="5" t="s">
        <v>379</v>
      </c>
    </row>
    <row r="1184" spans="1:6">
      <c r="A1184" s="4">
        <f t="shared" si="18"/>
        <v>1183</v>
      </c>
      <c r="B1184" s="4" t="s">
        <v>380</v>
      </c>
      <c r="C1184" s="5" t="s">
        <v>357</v>
      </c>
      <c r="D1184" s="35">
        <v>44562</v>
      </c>
      <c r="E1184" s="36">
        <v>10336</v>
      </c>
      <c r="F1184" s="5" t="s">
        <v>379</v>
      </c>
    </row>
    <row r="1185" spans="1:6">
      <c r="A1185" s="4">
        <f t="shared" si="18"/>
        <v>1184</v>
      </c>
      <c r="B1185" s="4" t="s">
        <v>381</v>
      </c>
      <c r="C1185" s="5" t="s">
        <v>362</v>
      </c>
      <c r="D1185" s="35">
        <v>44531</v>
      </c>
      <c r="E1185" s="36">
        <v>44942.41</v>
      </c>
      <c r="F1185" s="5" t="s">
        <v>379</v>
      </c>
    </row>
    <row r="1186" spans="1:6">
      <c r="A1186" s="4">
        <f t="shared" si="18"/>
        <v>1185</v>
      </c>
      <c r="B1186" s="4" t="s">
        <v>381</v>
      </c>
      <c r="C1186" s="5" t="s">
        <v>357</v>
      </c>
      <c r="D1186" s="35">
        <v>44531</v>
      </c>
      <c r="E1186" s="36">
        <v>31213.55</v>
      </c>
      <c r="F1186" s="5" t="s">
        <v>379</v>
      </c>
    </row>
    <row r="1187" spans="1:6">
      <c r="A1187" s="4">
        <f t="shared" si="18"/>
        <v>1186</v>
      </c>
      <c r="B1187" s="4" t="s">
        <v>381</v>
      </c>
      <c r="C1187" s="5" t="s">
        <v>353</v>
      </c>
      <c r="D1187" s="35">
        <v>44531</v>
      </c>
      <c r="E1187" s="36">
        <v>6576</v>
      </c>
      <c r="F1187" s="5" t="s">
        <v>379</v>
      </c>
    </row>
    <row r="1188" spans="1:6">
      <c r="A1188" s="4">
        <f t="shared" si="18"/>
        <v>1187</v>
      </c>
      <c r="B1188" s="4" t="s">
        <v>381</v>
      </c>
      <c r="C1188" s="5" t="s">
        <v>366</v>
      </c>
      <c r="D1188" s="35">
        <v>44531</v>
      </c>
      <c r="E1188" s="36">
        <v>5429.9</v>
      </c>
      <c r="F1188" s="5" t="s">
        <v>379</v>
      </c>
    </row>
    <row r="1189" spans="1:6">
      <c r="A1189" s="4">
        <f t="shared" si="18"/>
        <v>1188</v>
      </c>
      <c r="B1189" s="4" t="s">
        <v>381</v>
      </c>
      <c r="C1189" s="5" t="s">
        <v>358</v>
      </c>
      <c r="D1189" s="35">
        <v>44531</v>
      </c>
      <c r="E1189" s="36">
        <v>46086.759999999987</v>
      </c>
      <c r="F1189" s="5" t="s">
        <v>379</v>
      </c>
    </row>
    <row r="1190" spans="1:6">
      <c r="A1190" s="4">
        <f t="shared" si="18"/>
        <v>1189</v>
      </c>
      <c r="B1190" s="4" t="s">
        <v>381</v>
      </c>
      <c r="C1190" s="5" t="s">
        <v>365</v>
      </c>
      <c r="D1190" s="35">
        <v>44531</v>
      </c>
      <c r="E1190" s="36">
        <v>11008</v>
      </c>
      <c r="F1190" s="5" t="s">
        <v>379</v>
      </c>
    </row>
    <row r="1191" spans="1:6">
      <c r="A1191" s="4">
        <f t="shared" si="18"/>
        <v>1190</v>
      </c>
      <c r="B1191" s="4" t="s">
        <v>381</v>
      </c>
      <c r="C1191" s="5" t="s">
        <v>368</v>
      </c>
      <c r="D1191" s="35">
        <v>44531</v>
      </c>
      <c r="E1191" s="36">
        <v>16817.04</v>
      </c>
      <c r="F1191" s="5" t="s">
        <v>379</v>
      </c>
    </row>
    <row r="1192" spans="1:6">
      <c r="A1192" s="4">
        <f t="shared" si="18"/>
        <v>1191</v>
      </c>
      <c r="B1192" s="4" t="s">
        <v>382</v>
      </c>
      <c r="C1192" s="5" t="s">
        <v>362</v>
      </c>
      <c r="D1192" s="35">
        <v>44531</v>
      </c>
      <c r="E1192" s="36">
        <v>17154.61</v>
      </c>
      <c r="F1192" s="5" t="s">
        <v>379</v>
      </c>
    </row>
    <row r="1193" spans="1:6">
      <c r="A1193" s="4">
        <f t="shared" si="18"/>
        <v>1192</v>
      </c>
      <c r="B1193" s="4" t="s">
        <v>382</v>
      </c>
      <c r="C1193" s="5" t="s">
        <v>356</v>
      </c>
      <c r="D1193" s="35">
        <v>44531</v>
      </c>
      <c r="E1193" s="36">
        <v>752</v>
      </c>
      <c r="F1193" s="5" t="s">
        <v>379</v>
      </c>
    </row>
    <row r="1194" spans="1:6">
      <c r="A1194" s="4">
        <f t="shared" si="18"/>
        <v>1193</v>
      </c>
      <c r="B1194" s="4" t="s">
        <v>382</v>
      </c>
      <c r="C1194" s="5" t="s">
        <v>353</v>
      </c>
      <c r="D1194" s="35">
        <v>44531</v>
      </c>
      <c r="E1194" s="36">
        <v>2912</v>
      </c>
      <c r="F1194" s="5" t="s">
        <v>379</v>
      </c>
    </row>
    <row r="1195" spans="1:6">
      <c r="A1195" s="4">
        <f t="shared" si="18"/>
        <v>1194</v>
      </c>
      <c r="B1195" s="4" t="s">
        <v>382</v>
      </c>
      <c r="C1195" s="5" t="s">
        <v>366</v>
      </c>
      <c r="D1195" s="35">
        <v>44531</v>
      </c>
      <c r="E1195" s="36">
        <v>2912.05</v>
      </c>
      <c r="F1195" s="5" t="s">
        <v>379</v>
      </c>
    </row>
    <row r="1196" spans="1:6">
      <c r="A1196" s="4">
        <f t="shared" si="18"/>
        <v>1195</v>
      </c>
      <c r="B1196" s="4" t="s">
        <v>382</v>
      </c>
      <c r="C1196" s="5" t="s">
        <v>358</v>
      </c>
      <c r="D1196" s="35">
        <v>44531</v>
      </c>
      <c r="E1196" s="36">
        <v>37936.030000000006</v>
      </c>
      <c r="F1196" s="5" t="s">
        <v>379</v>
      </c>
    </row>
    <row r="1197" spans="1:6">
      <c r="A1197" s="4">
        <f t="shared" si="18"/>
        <v>1196</v>
      </c>
      <c r="B1197" s="4" t="s">
        <v>382</v>
      </c>
      <c r="C1197" s="5" t="s">
        <v>365</v>
      </c>
      <c r="D1197" s="35">
        <v>44531</v>
      </c>
      <c r="E1197" s="36">
        <v>576</v>
      </c>
      <c r="F1197" s="5" t="s">
        <v>379</v>
      </c>
    </row>
    <row r="1198" spans="1:6">
      <c r="A1198" s="4">
        <f t="shared" si="18"/>
        <v>1197</v>
      </c>
      <c r="B1198" s="4" t="s">
        <v>384</v>
      </c>
      <c r="C1198" s="5" t="s">
        <v>360</v>
      </c>
      <c r="D1198" s="35">
        <v>44531</v>
      </c>
      <c r="E1198" s="36">
        <v>42286.400000000001</v>
      </c>
      <c r="F1198" s="5" t="s">
        <v>379</v>
      </c>
    </row>
    <row r="1199" spans="1:6">
      <c r="A1199" s="4">
        <f t="shared" si="18"/>
        <v>1198</v>
      </c>
      <c r="B1199" s="4" t="s">
        <v>384</v>
      </c>
      <c r="C1199" s="5" t="s">
        <v>356</v>
      </c>
      <c r="D1199" s="35">
        <v>44531</v>
      </c>
      <c r="E1199" s="36">
        <v>114108.83</v>
      </c>
      <c r="F1199" s="5" t="s">
        <v>379</v>
      </c>
    </row>
    <row r="1200" spans="1:6">
      <c r="A1200" s="4">
        <f t="shared" si="18"/>
        <v>1199</v>
      </c>
      <c r="B1200" s="4" t="s">
        <v>380</v>
      </c>
      <c r="C1200" s="5" t="s">
        <v>357</v>
      </c>
      <c r="D1200" s="35">
        <v>44531</v>
      </c>
      <c r="E1200" s="36">
        <v>11728.6</v>
      </c>
      <c r="F1200" s="5" t="s">
        <v>379</v>
      </c>
    </row>
    <row r="1201" spans="1:6">
      <c r="A1201" s="4">
        <f t="shared" si="18"/>
        <v>1200</v>
      </c>
      <c r="B1201" s="4" t="s">
        <v>381</v>
      </c>
      <c r="C1201" s="5" t="s">
        <v>362</v>
      </c>
      <c r="D1201" s="35">
        <v>44501</v>
      </c>
      <c r="E1201" s="36">
        <v>30002.7</v>
      </c>
      <c r="F1201" s="5" t="s">
        <v>379</v>
      </c>
    </row>
    <row r="1202" spans="1:6">
      <c r="A1202" s="4">
        <f t="shared" si="18"/>
        <v>1201</v>
      </c>
      <c r="B1202" s="4" t="s">
        <v>381</v>
      </c>
      <c r="C1202" s="5" t="s">
        <v>357</v>
      </c>
      <c r="D1202" s="35">
        <v>44501</v>
      </c>
      <c r="E1202" s="36">
        <v>29138.47</v>
      </c>
      <c r="F1202" s="5" t="s">
        <v>379</v>
      </c>
    </row>
    <row r="1203" spans="1:6">
      <c r="A1203" s="4">
        <f t="shared" si="18"/>
        <v>1202</v>
      </c>
      <c r="B1203" s="4" t="s">
        <v>381</v>
      </c>
      <c r="C1203" s="5" t="s">
        <v>353</v>
      </c>
      <c r="D1203" s="35">
        <v>44501</v>
      </c>
      <c r="E1203" s="36">
        <v>9455.5</v>
      </c>
      <c r="F1203" s="5" t="s">
        <v>379</v>
      </c>
    </row>
    <row r="1204" spans="1:6">
      <c r="A1204" s="4">
        <f t="shared" si="18"/>
        <v>1203</v>
      </c>
      <c r="B1204" s="4" t="s">
        <v>381</v>
      </c>
      <c r="C1204" s="5" t="s">
        <v>366</v>
      </c>
      <c r="D1204" s="35">
        <v>44501</v>
      </c>
      <c r="E1204" s="36">
        <v>3671.7999999999993</v>
      </c>
      <c r="F1204" s="5" t="s">
        <v>379</v>
      </c>
    </row>
    <row r="1205" spans="1:6">
      <c r="A1205" s="4">
        <f t="shared" si="18"/>
        <v>1204</v>
      </c>
      <c r="B1205" s="4" t="s">
        <v>381</v>
      </c>
      <c r="C1205" s="5" t="s">
        <v>358</v>
      </c>
      <c r="D1205" s="35">
        <v>44501</v>
      </c>
      <c r="E1205" s="36">
        <v>63036.01</v>
      </c>
      <c r="F1205" s="5" t="s">
        <v>379</v>
      </c>
    </row>
    <row r="1206" spans="1:6">
      <c r="A1206" s="4">
        <f t="shared" si="18"/>
        <v>1205</v>
      </c>
      <c r="B1206" s="4" t="s">
        <v>381</v>
      </c>
      <c r="C1206" s="5" t="s">
        <v>365</v>
      </c>
      <c r="D1206" s="35">
        <v>44501</v>
      </c>
      <c r="E1206" s="36">
        <v>32608</v>
      </c>
      <c r="F1206" s="5" t="s">
        <v>379</v>
      </c>
    </row>
    <row r="1207" spans="1:6">
      <c r="A1207" s="4">
        <f t="shared" si="18"/>
        <v>1206</v>
      </c>
      <c r="B1207" s="4" t="s">
        <v>381</v>
      </c>
      <c r="C1207" s="5" t="s">
        <v>368</v>
      </c>
      <c r="D1207" s="35">
        <v>44501</v>
      </c>
      <c r="E1207" s="36">
        <v>18100.060000000001</v>
      </c>
      <c r="F1207" s="5" t="s">
        <v>379</v>
      </c>
    </row>
    <row r="1208" spans="1:6">
      <c r="A1208" s="4">
        <f t="shared" si="18"/>
        <v>1207</v>
      </c>
      <c r="B1208" s="4" t="s">
        <v>382</v>
      </c>
      <c r="C1208" s="5" t="s">
        <v>362</v>
      </c>
      <c r="D1208" s="35">
        <v>44501</v>
      </c>
      <c r="E1208" s="36">
        <v>12582.46</v>
      </c>
      <c r="F1208" s="5" t="s">
        <v>379</v>
      </c>
    </row>
    <row r="1209" spans="1:6">
      <c r="A1209" s="4">
        <f t="shared" si="18"/>
        <v>1208</v>
      </c>
      <c r="B1209" s="4" t="s">
        <v>382</v>
      </c>
      <c r="C1209" s="5" t="s">
        <v>357</v>
      </c>
      <c r="D1209" s="35">
        <v>44501</v>
      </c>
      <c r="E1209" s="36">
        <v>560</v>
      </c>
      <c r="F1209" s="5" t="s">
        <v>379</v>
      </c>
    </row>
    <row r="1210" spans="1:6">
      <c r="A1210" s="4">
        <f t="shared" si="18"/>
        <v>1209</v>
      </c>
      <c r="B1210" s="4" t="s">
        <v>382</v>
      </c>
      <c r="C1210" s="5" t="s">
        <v>353</v>
      </c>
      <c r="D1210" s="35">
        <v>44501</v>
      </c>
      <c r="E1210" s="36">
        <v>4384</v>
      </c>
      <c r="F1210" s="5" t="s">
        <v>379</v>
      </c>
    </row>
    <row r="1211" spans="1:6">
      <c r="A1211" s="4">
        <f t="shared" si="18"/>
        <v>1210</v>
      </c>
      <c r="B1211" s="4" t="s">
        <v>382</v>
      </c>
      <c r="C1211" s="5" t="s">
        <v>354</v>
      </c>
      <c r="D1211" s="35">
        <v>44501</v>
      </c>
      <c r="E1211" s="36">
        <v>7295.4</v>
      </c>
      <c r="F1211" s="5" t="s">
        <v>379</v>
      </c>
    </row>
    <row r="1212" spans="1:6">
      <c r="A1212" s="4">
        <f t="shared" si="18"/>
        <v>1211</v>
      </c>
      <c r="B1212" s="4" t="s">
        <v>382</v>
      </c>
      <c r="C1212" s="5" t="s">
        <v>366</v>
      </c>
      <c r="D1212" s="35">
        <v>44501</v>
      </c>
      <c r="E1212" s="36">
        <v>722.68</v>
      </c>
      <c r="F1212" s="5" t="s">
        <v>379</v>
      </c>
    </row>
    <row r="1213" spans="1:6">
      <c r="A1213" s="4">
        <f t="shared" si="18"/>
        <v>1212</v>
      </c>
      <c r="B1213" s="4" t="s">
        <v>382</v>
      </c>
      <c r="C1213" s="5" t="s">
        <v>358</v>
      </c>
      <c r="D1213" s="35">
        <v>44501</v>
      </c>
      <c r="E1213" s="36">
        <v>21553.96</v>
      </c>
      <c r="F1213" s="5" t="s">
        <v>379</v>
      </c>
    </row>
    <row r="1214" spans="1:6">
      <c r="A1214" s="4">
        <f t="shared" si="18"/>
        <v>1213</v>
      </c>
      <c r="B1214" s="4" t="s">
        <v>382</v>
      </c>
      <c r="C1214" s="5" t="s">
        <v>365</v>
      </c>
      <c r="D1214" s="35">
        <v>44501</v>
      </c>
      <c r="E1214" s="36">
        <v>2016</v>
      </c>
      <c r="F1214" s="5" t="s">
        <v>379</v>
      </c>
    </row>
    <row r="1215" spans="1:6">
      <c r="A1215" s="4">
        <f t="shared" si="18"/>
        <v>1214</v>
      </c>
      <c r="B1215" s="4" t="s">
        <v>380</v>
      </c>
      <c r="C1215" s="5" t="s">
        <v>357</v>
      </c>
      <c r="D1215" s="35">
        <v>44501</v>
      </c>
      <c r="E1215" s="36">
        <v>10764.6</v>
      </c>
      <c r="F1215" s="5" t="s">
        <v>379</v>
      </c>
    </row>
    <row r="1216" spans="1:6">
      <c r="A1216" s="4">
        <f t="shared" si="18"/>
        <v>1215</v>
      </c>
      <c r="B1216" s="4" t="s">
        <v>381</v>
      </c>
      <c r="C1216" s="5" t="s">
        <v>362</v>
      </c>
      <c r="D1216" s="35">
        <v>44470</v>
      </c>
      <c r="E1216" s="36">
        <v>49669.87000000001</v>
      </c>
      <c r="F1216" s="5" t="s">
        <v>379</v>
      </c>
    </row>
    <row r="1217" spans="1:6">
      <c r="A1217" s="4">
        <f t="shared" si="18"/>
        <v>1216</v>
      </c>
      <c r="B1217" s="4" t="s">
        <v>381</v>
      </c>
      <c r="C1217" s="5" t="s">
        <v>357</v>
      </c>
      <c r="D1217" s="35">
        <v>44470</v>
      </c>
      <c r="E1217" s="36">
        <v>28047.050000000003</v>
      </c>
      <c r="F1217" s="5" t="s">
        <v>379</v>
      </c>
    </row>
    <row r="1218" spans="1:6">
      <c r="A1218" s="4">
        <f t="shared" si="18"/>
        <v>1217</v>
      </c>
      <c r="B1218" s="4" t="s">
        <v>381</v>
      </c>
      <c r="C1218" s="5" t="s">
        <v>356</v>
      </c>
      <c r="D1218" s="35">
        <v>44470</v>
      </c>
      <c r="E1218" s="36">
        <v>752</v>
      </c>
      <c r="F1218" s="5" t="s">
        <v>379</v>
      </c>
    </row>
    <row r="1219" spans="1:6">
      <c r="A1219" s="4">
        <f t="shared" si="18"/>
        <v>1218</v>
      </c>
      <c r="B1219" s="4" t="s">
        <v>381</v>
      </c>
      <c r="C1219" s="5" t="s">
        <v>353</v>
      </c>
      <c r="D1219" s="35">
        <v>44470</v>
      </c>
      <c r="E1219" s="36">
        <v>14048</v>
      </c>
      <c r="F1219" s="5" t="s">
        <v>379</v>
      </c>
    </row>
    <row r="1220" spans="1:6">
      <c r="A1220" s="4">
        <f t="shared" si="18"/>
        <v>1219</v>
      </c>
      <c r="B1220" s="4" t="s">
        <v>381</v>
      </c>
      <c r="C1220" s="5" t="s">
        <v>366</v>
      </c>
      <c r="D1220" s="35">
        <v>44470</v>
      </c>
      <c r="E1220" s="36">
        <v>6002.4</v>
      </c>
      <c r="F1220" s="5" t="s">
        <v>379</v>
      </c>
    </row>
    <row r="1221" spans="1:6">
      <c r="A1221" s="4">
        <f t="shared" si="18"/>
        <v>1220</v>
      </c>
      <c r="B1221" s="4" t="s">
        <v>381</v>
      </c>
      <c r="C1221" s="5" t="s">
        <v>358</v>
      </c>
      <c r="D1221" s="35">
        <v>44470</v>
      </c>
      <c r="E1221" s="36">
        <v>42023.4</v>
      </c>
      <c r="F1221" s="5" t="s">
        <v>379</v>
      </c>
    </row>
    <row r="1222" spans="1:6">
      <c r="A1222" s="4">
        <f t="shared" si="18"/>
        <v>1221</v>
      </c>
      <c r="B1222" s="4" t="s">
        <v>381</v>
      </c>
      <c r="C1222" s="5" t="s">
        <v>365</v>
      </c>
      <c r="D1222" s="35">
        <v>44470</v>
      </c>
      <c r="E1222" s="36">
        <v>21952</v>
      </c>
      <c r="F1222" s="5" t="s">
        <v>379</v>
      </c>
    </row>
    <row r="1223" spans="1:6">
      <c r="A1223" s="4">
        <f t="shared" si="18"/>
        <v>1222</v>
      </c>
      <c r="B1223" s="4" t="s">
        <v>381</v>
      </c>
      <c r="C1223" s="5" t="s">
        <v>368</v>
      </c>
      <c r="D1223" s="35">
        <v>44470</v>
      </c>
      <c r="E1223" s="36">
        <v>11136.96</v>
      </c>
      <c r="F1223" s="5" t="s">
        <v>379</v>
      </c>
    </row>
    <row r="1224" spans="1:6">
      <c r="A1224" s="4">
        <f t="shared" si="18"/>
        <v>1223</v>
      </c>
      <c r="B1224" s="4" t="s">
        <v>382</v>
      </c>
      <c r="C1224" s="5" t="s">
        <v>362</v>
      </c>
      <c r="D1224" s="35">
        <v>44470</v>
      </c>
      <c r="E1224" s="36">
        <v>3461.76</v>
      </c>
      <c r="F1224" s="5" t="s">
        <v>379</v>
      </c>
    </row>
    <row r="1225" spans="1:6">
      <c r="A1225" s="4">
        <f t="shared" si="18"/>
        <v>1224</v>
      </c>
      <c r="B1225" s="4" t="s">
        <v>382</v>
      </c>
      <c r="C1225" s="5" t="s">
        <v>357</v>
      </c>
      <c r="D1225" s="35">
        <v>44470</v>
      </c>
      <c r="E1225" s="36">
        <v>479.5</v>
      </c>
      <c r="F1225" s="5" t="s">
        <v>379</v>
      </c>
    </row>
    <row r="1226" spans="1:6">
      <c r="A1226" s="4">
        <f t="shared" si="18"/>
        <v>1225</v>
      </c>
      <c r="B1226" s="4" t="s">
        <v>382</v>
      </c>
      <c r="C1226" s="5" t="s">
        <v>354</v>
      </c>
      <c r="D1226" s="35">
        <v>44470</v>
      </c>
      <c r="E1226" s="36">
        <v>2595.8000000000002</v>
      </c>
      <c r="F1226" s="5" t="s">
        <v>379</v>
      </c>
    </row>
    <row r="1227" spans="1:6">
      <c r="A1227" s="4">
        <f t="shared" ref="A1227:A1290" si="19">ROW()-1</f>
        <v>1226</v>
      </c>
      <c r="B1227" s="4" t="s">
        <v>382</v>
      </c>
      <c r="C1227" s="5" t="s">
        <v>358</v>
      </c>
      <c r="D1227" s="35">
        <v>44470</v>
      </c>
      <c r="E1227" s="36">
        <v>12325.15</v>
      </c>
      <c r="F1227" s="5" t="s">
        <v>379</v>
      </c>
    </row>
    <row r="1228" spans="1:6">
      <c r="A1228" s="4">
        <f t="shared" si="19"/>
        <v>1227</v>
      </c>
      <c r="B1228" s="4" t="s">
        <v>380</v>
      </c>
      <c r="C1228" s="5" t="s">
        <v>357</v>
      </c>
      <c r="D1228" s="35">
        <v>44470</v>
      </c>
      <c r="E1228" s="36">
        <v>5390</v>
      </c>
      <c r="F1228" s="5" t="s">
        <v>379</v>
      </c>
    </row>
    <row r="1229" spans="1:6">
      <c r="A1229" s="4">
        <f t="shared" si="19"/>
        <v>1228</v>
      </c>
      <c r="B1229" s="4" t="s">
        <v>381</v>
      </c>
      <c r="C1229" s="5" t="s">
        <v>362</v>
      </c>
      <c r="D1229" s="35">
        <v>44440</v>
      </c>
      <c r="E1229" s="36">
        <v>50344.28</v>
      </c>
      <c r="F1229" s="5" t="s">
        <v>379</v>
      </c>
    </row>
    <row r="1230" spans="1:6">
      <c r="A1230" s="4">
        <f t="shared" si="19"/>
        <v>1229</v>
      </c>
      <c r="B1230" s="4" t="s">
        <v>381</v>
      </c>
      <c r="C1230" s="5" t="s">
        <v>357</v>
      </c>
      <c r="D1230" s="35">
        <v>44440</v>
      </c>
      <c r="E1230" s="36">
        <v>8580.25</v>
      </c>
      <c r="F1230" s="5" t="s">
        <v>379</v>
      </c>
    </row>
    <row r="1231" spans="1:6">
      <c r="A1231" s="4">
        <f t="shared" si="19"/>
        <v>1230</v>
      </c>
      <c r="B1231" s="4" t="s">
        <v>381</v>
      </c>
      <c r="C1231" s="5" t="s">
        <v>353</v>
      </c>
      <c r="D1231" s="35">
        <v>44440</v>
      </c>
      <c r="E1231" s="36">
        <v>5024</v>
      </c>
      <c r="F1231" s="5" t="s">
        <v>379</v>
      </c>
    </row>
    <row r="1232" spans="1:6">
      <c r="A1232" s="4">
        <f t="shared" si="19"/>
        <v>1231</v>
      </c>
      <c r="B1232" s="4" t="s">
        <v>381</v>
      </c>
      <c r="C1232" s="5" t="s">
        <v>366</v>
      </c>
      <c r="D1232" s="35">
        <v>44440</v>
      </c>
      <c r="E1232" s="36">
        <v>9229.1999999999989</v>
      </c>
      <c r="F1232" s="5" t="s">
        <v>379</v>
      </c>
    </row>
    <row r="1233" spans="1:6">
      <c r="A1233" s="4">
        <f t="shared" si="19"/>
        <v>1232</v>
      </c>
      <c r="B1233" s="4" t="s">
        <v>381</v>
      </c>
      <c r="C1233" s="5" t="s">
        <v>358</v>
      </c>
      <c r="D1233" s="35">
        <v>44440</v>
      </c>
      <c r="E1233" s="36">
        <v>78240.62000000001</v>
      </c>
      <c r="F1233" s="5" t="s">
        <v>379</v>
      </c>
    </row>
    <row r="1234" spans="1:6">
      <c r="A1234" s="4">
        <f t="shared" si="19"/>
        <v>1233</v>
      </c>
      <c r="B1234" s="4" t="s">
        <v>381</v>
      </c>
      <c r="C1234" s="5" t="s">
        <v>365</v>
      </c>
      <c r="D1234" s="35">
        <v>44440</v>
      </c>
      <c r="E1234" s="36">
        <v>26784</v>
      </c>
      <c r="F1234" s="5" t="s">
        <v>379</v>
      </c>
    </row>
    <row r="1235" spans="1:6">
      <c r="A1235" s="4">
        <f t="shared" si="19"/>
        <v>1234</v>
      </c>
      <c r="B1235" s="4" t="s">
        <v>381</v>
      </c>
      <c r="C1235" s="5" t="s">
        <v>368</v>
      </c>
      <c r="D1235" s="35">
        <v>44440</v>
      </c>
      <c r="E1235" s="36">
        <v>15638.190000000002</v>
      </c>
      <c r="F1235" s="5" t="s">
        <v>379</v>
      </c>
    </row>
    <row r="1236" spans="1:6">
      <c r="A1236" s="4">
        <f t="shared" si="19"/>
        <v>1235</v>
      </c>
      <c r="B1236" s="4" t="s">
        <v>382</v>
      </c>
      <c r="C1236" s="5" t="s">
        <v>362</v>
      </c>
      <c r="D1236" s="35">
        <v>44440</v>
      </c>
      <c r="E1236" s="36">
        <v>3766.4</v>
      </c>
      <c r="F1236" s="5" t="s">
        <v>379</v>
      </c>
    </row>
    <row r="1237" spans="1:6">
      <c r="A1237" s="4">
        <f t="shared" si="19"/>
        <v>1236</v>
      </c>
      <c r="B1237" s="4" t="s">
        <v>382</v>
      </c>
      <c r="C1237" s="5" t="s">
        <v>354</v>
      </c>
      <c r="D1237" s="35">
        <v>44440</v>
      </c>
      <c r="E1237" s="36">
        <v>820</v>
      </c>
      <c r="F1237" s="5" t="s">
        <v>379</v>
      </c>
    </row>
    <row r="1238" spans="1:6">
      <c r="A1238" s="4">
        <f t="shared" si="19"/>
        <v>1237</v>
      </c>
      <c r="B1238" s="4" t="s">
        <v>382</v>
      </c>
      <c r="C1238" s="5" t="s">
        <v>358</v>
      </c>
      <c r="D1238" s="35">
        <v>44440</v>
      </c>
      <c r="E1238" s="36">
        <v>12798.3</v>
      </c>
      <c r="F1238" s="5" t="s">
        <v>379</v>
      </c>
    </row>
    <row r="1239" spans="1:6">
      <c r="A1239" s="4">
        <f t="shared" si="19"/>
        <v>1238</v>
      </c>
      <c r="B1239" s="4" t="s">
        <v>380</v>
      </c>
      <c r="C1239" s="5" t="s">
        <v>357</v>
      </c>
      <c r="D1239" s="35">
        <v>44440</v>
      </c>
      <c r="E1239" s="36">
        <v>9820</v>
      </c>
      <c r="F1239" s="5" t="s">
        <v>379</v>
      </c>
    </row>
    <row r="1240" spans="1:6">
      <c r="A1240" s="4">
        <f t="shared" si="19"/>
        <v>1239</v>
      </c>
      <c r="B1240" s="4" t="s">
        <v>381</v>
      </c>
      <c r="C1240" s="5" t="s">
        <v>362</v>
      </c>
      <c r="D1240" s="35">
        <v>44409</v>
      </c>
      <c r="E1240" s="36">
        <v>30468.190000000002</v>
      </c>
      <c r="F1240" s="5" t="s">
        <v>379</v>
      </c>
    </row>
    <row r="1241" spans="1:6">
      <c r="A1241" s="4">
        <f t="shared" si="19"/>
        <v>1240</v>
      </c>
      <c r="B1241" s="4" t="s">
        <v>381</v>
      </c>
      <c r="C1241" s="5" t="s">
        <v>357</v>
      </c>
      <c r="D1241" s="35">
        <v>44409</v>
      </c>
      <c r="E1241" s="36">
        <v>12950.76</v>
      </c>
      <c r="F1241" s="5" t="s">
        <v>379</v>
      </c>
    </row>
    <row r="1242" spans="1:6">
      <c r="A1242" s="4">
        <f t="shared" si="19"/>
        <v>1241</v>
      </c>
      <c r="B1242" s="4" t="s">
        <v>381</v>
      </c>
      <c r="C1242" s="5" t="s">
        <v>356</v>
      </c>
      <c r="D1242" s="35">
        <v>44409</v>
      </c>
      <c r="E1242" s="36">
        <v>5180</v>
      </c>
      <c r="F1242" s="5" t="s">
        <v>379</v>
      </c>
    </row>
    <row r="1243" spans="1:6">
      <c r="A1243" s="4">
        <f t="shared" si="19"/>
        <v>1242</v>
      </c>
      <c r="B1243" s="4" t="s">
        <v>381</v>
      </c>
      <c r="C1243" s="5" t="s">
        <v>353</v>
      </c>
      <c r="D1243" s="35">
        <v>44409</v>
      </c>
      <c r="E1243" s="36">
        <v>6712</v>
      </c>
      <c r="F1243" s="5" t="s">
        <v>379</v>
      </c>
    </row>
    <row r="1244" spans="1:6">
      <c r="A1244" s="4">
        <f t="shared" si="19"/>
        <v>1243</v>
      </c>
      <c r="B1244" s="4" t="s">
        <v>381</v>
      </c>
      <c r="C1244" s="5" t="s">
        <v>366</v>
      </c>
      <c r="D1244" s="35">
        <v>44409</v>
      </c>
      <c r="E1244" s="36">
        <v>5364.4</v>
      </c>
      <c r="F1244" s="5" t="s">
        <v>379</v>
      </c>
    </row>
    <row r="1245" spans="1:6">
      <c r="A1245" s="4">
        <f t="shared" si="19"/>
        <v>1244</v>
      </c>
      <c r="B1245" s="4" t="s">
        <v>381</v>
      </c>
      <c r="C1245" s="5" t="s">
        <v>358</v>
      </c>
      <c r="D1245" s="35">
        <v>44409</v>
      </c>
      <c r="E1245" s="36">
        <v>32752.26</v>
      </c>
      <c r="F1245" s="5" t="s">
        <v>379</v>
      </c>
    </row>
    <row r="1246" spans="1:6">
      <c r="A1246" s="4">
        <f t="shared" si="19"/>
        <v>1245</v>
      </c>
      <c r="B1246" s="4" t="s">
        <v>381</v>
      </c>
      <c r="C1246" s="5" t="s">
        <v>365</v>
      </c>
      <c r="D1246" s="35">
        <v>44409</v>
      </c>
      <c r="E1246" s="36">
        <v>19976</v>
      </c>
      <c r="F1246" s="5" t="s">
        <v>379</v>
      </c>
    </row>
    <row r="1247" spans="1:6">
      <c r="A1247" s="4">
        <f t="shared" si="19"/>
        <v>1246</v>
      </c>
      <c r="B1247" s="4" t="s">
        <v>381</v>
      </c>
      <c r="C1247" s="5" t="s">
        <v>368</v>
      </c>
      <c r="D1247" s="35">
        <v>44409</v>
      </c>
      <c r="E1247" s="36">
        <v>13311.64</v>
      </c>
      <c r="F1247" s="5" t="s">
        <v>379</v>
      </c>
    </row>
    <row r="1248" spans="1:6">
      <c r="A1248" s="4">
        <f t="shared" si="19"/>
        <v>1247</v>
      </c>
      <c r="B1248" s="4" t="s">
        <v>382</v>
      </c>
      <c r="C1248" s="5" t="s">
        <v>362</v>
      </c>
      <c r="D1248" s="35">
        <v>44409</v>
      </c>
      <c r="E1248" s="36">
        <v>2837.6</v>
      </c>
      <c r="F1248" s="5" t="s">
        <v>379</v>
      </c>
    </row>
    <row r="1249" spans="1:6">
      <c r="A1249" s="4">
        <f t="shared" si="19"/>
        <v>1248</v>
      </c>
      <c r="B1249" s="4" t="s">
        <v>382</v>
      </c>
      <c r="C1249" s="5" t="s">
        <v>354</v>
      </c>
      <c r="D1249" s="35">
        <v>44409</v>
      </c>
      <c r="E1249" s="36">
        <v>9890.85</v>
      </c>
      <c r="F1249" s="5" t="s">
        <v>379</v>
      </c>
    </row>
    <row r="1250" spans="1:6">
      <c r="A1250" s="4">
        <f t="shared" si="19"/>
        <v>1249</v>
      </c>
      <c r="B1250" s="4" t="s">
        <v>382</v>
      </c>
      <c r="C1250" s="5" t="s">
        <v>358</v>
      </c>
      <c r="D1250" s="35">
        <v>44409</v>
      </c>
      <c r="E1250" s="36">
        <v>8098.1</v>
      </c>
      <c r="F1250" s="5" t="s">
        <v>379</v>
      </c>
    </row>
    <row r="1251" spans="1:6">
      <c r="A1251" s="4">
        <f t="shared" si="19"/>
        <v>1250</v>
      </c>
      <c r="B1251" s="4" t="s">
        <v>380</v>
      </c>
      <c r="C1251" s="5" t="s">
        <v>357</v>
      </c>
      <c r="D1251" s="35">
        <v>44409</v>
      </c>
      <c r="E1251" s="36">
        <v>6360</v>
      </c>
      <c r="F1251" s="5" t="s">
        <v>379</v>
      </c>
    </row>
    <row r="1252" spans="1:6">
      <c r="A1252" s="4">
        <f t="shared" si="19"/>
        <v>1251</v>
      </c>
      <c r="B1252" s="4" t="s">
        <v>381</v>
      </c>
      <c r="C1252" s="5" t="s">
        <v>362</v>
      </c>
      <c r="D1252" s="35">
        <v>44378</v>
      </c>
      <c r="E1252" s="36">
        <v>44118.299999999996</v>
      </c>
      <c r="F1252" s="5" t="s">
        <v>379</v>
      </c>
    </row>
    <row r="1253" spans="1:6">
      <c r="A1253" s="4">
        <f t="shared" si="19"/>
        <v>1252</v>
      </c>
      <c r="B1253" s="4" t="s">
        <v>381</v>
      </c>
      <c r="C1253" s="5" t="s">
        <v>357</v>
      </c>
      <c r="D1253" s="35">
        <v>44378</v>
      </c>
      <c r="E1253" s="36">
        <v>7873.5</v>
      </c>
      <c r="F1253" s="5" t="s">
        <v>379</v>
      </c>
    </row>
    <row r="1254" spans="1:6">
      <c r="A1254" s="4">
        <f t="shared" si="19"/>
        <v>1253</v>
      </c>
      <c r="B1254" s="4" t="s">
        <v>381</v>
      </c>
      <c r="C1254" s="5" t="s">
        <v>356</v>
      </c>
      <c r="D1254" s="35">
        <v>44378</v>
      </c>
      <c r="E1254" s="36">
        <v>1596.8000000000002</v>
      </c>
      <c r="F1254" s="5" t="s">
        <v>379</v>
      </c>
    </row>
    <row r="1255" spans="1:6">
      <c r="A1255" s="4">
        <f t="shared" si="19"/>
        <v>1254</v>
      </c>
      <c r="B1255" s="4" t="s">
        <v>381</v>
      </c>
      <c r="C1255" s="5" t="s">
        <v>353</v>
      </c>
      <c r="D1255" s="35">
        <v>44378</v>
      </c>
      <c r="E1255" s="36">
        <v>4096</v>
      </c>
      <c r="F1255" s="5" t="s">
        <v>379</v>
      </c>
    </row>
    <row r="1256" spans="1:6">
      <c r="A1256" s="4">
        <f t="shared" si="19"/>
        <v>1255</v>
      </c>
      <c r="B1256" s="4" t="s">
        <v>381</v>
      </c>
      <c r="C1256" s="5" t="s">
        <v>366</v>
      </c>
      <c r="D1256" s="35">
        <v>44378</v>
      </c>
      <c r="E1256" s="36">
        <v>13250.380000000001</v>
      </c>
      <c r="F1256" s="5" t="s">
        <v>379</v>
      </c>
    </row>
    <row r="1257" spans="1:6">
      <c r="A1257" s="4">
        <f t="shared" si="19"/>
        <v>1256</v>
      </c>
      <c r="B1257" s="4" t="s">
        <v>381</v>
      </c>
      <c r="C1257" s="5" t="s">
        <v>358</v>
      </c>
      <c r="D1257" s="35">
        <v>44378</v>
      </c>
      <c r="E1257" s="36">
        <v>78251.190000000017</v>
      </c>
      <c r="F1257" s="5" t="s">
        <v>379</v>
      </c>
    </row>
    <row r="1258" spans="1:6">
      <c r="A1258" s="4">
        <f t="shared" si="19"/>
        <v>1257</v>
      </c>
      <c r="B1258" s="4" t="s">
        <v>381</v>
      </c>
      <c r="C1258" s="5" t="s">
        <v>365</v>
      </c>
      <c r="D1258" s="35">
        <v>44378</v>
      </c>
      <c r="E1258" s="36">
        <v>17488</v>
      </c>
      <c r="F1258" s="5" t="s">
        <v>379</v>
      </c>
    </row>
    <row r="1259" spans="1:6">
      <c r="A1259" s="4">
        <f t="shared" si="19"/>
        <v>1258</v>
      </c>
      <c r="B1259" s="4" t="s">
        <v>381</v>
      </c>
      <c r="C1259" s="5" t="s">
        <v>368</v>
      </c>
      <c r="D1259" s="35">
        <v>44378</v>
      </c>
      <c r="E1259" s="36">
        <v>14256.799999999997</v>
      </c>
      <c r="F1259" s="5" t="s">
        <v>379</v>
      </c>
    </row>
    <row r="1260" spans="1:6">
      <c r="A1260" s="4">
        <f t="shared" si="19"/>
        <v>1259</v>
      </c>
      <c r="B1260" s="4" t="s">
        <v>382</v>
      </c>
      <c r="C1260" s="5" t="s">
        <v>362</v>
      </c>
      <c r="D1260" s="35">
        <v>44378</v>
      </c>
      <c r="E1260" s="36">
        <v>1837.6</v>
      </c>
      <c r="F1260" s="5" t="s">
        <v>379</v>
      </c>
    </row>
    <row r="1261" spans="1:6">
      <c r="A1261" s="4">
        <f t="shared" si="19"/>
        <v>1260</v>
      </c>
      <c r="B1261" s="4" t="s">
        <v>382</v>
      </c>
      <c r="C1261" s="5" t="s">
        <v>354</v>
      </c>
      <c r="D1261" s="35">
        <v>44378</v>
      </c>
      <c r="E1261" s="36">
        <v>2870</v>
      </c>
      <c r="F1261" s="5" t="s">
        <v>379</v>
      </c>
    </row>
    <row r="1262" spans="1:6">
      <c r="A1262" s="4">
        <f t="shared" si="19"/>
        <v>1261</v>
      </c>
      <c r="B1262" s="4" t="s">
        <v>382</v>
      </c>
      <c r="C1262" s="5" t="s">
        <v>358</v>
      </c>
      <c r="D1262" s="35">
        <v>44378</v>
      </c>
      <c r="E1262" s="36">
        <v>9467.2000000000007</v>
      </c>
      <c r="F1262" s="5" t="s">
        <v>379</v>
      </c>
    </row>
    <row r="1263" spans="1:6">
      <c r="A1263" s="4">
        <f t="shared" si="19"/>
        <v>1262</v>
      </c>
      <c r="B1263" s="4" t="s">
        <v>380</v>
      </c>
      <c r="C1263" s="5" t="s">
        <v>357</v>
      </c>
      <c r="D1263" s="35">
        <v>44378</v>
      </c>
      <c r="E1263" s="36">
        <v>8360</v>
      </c>
      <c r="F1263" s="5" t="s">
        <v>379</v>
      </c>
    </row>
    <row r="1264" spans="1:6">
      <c r="A1264" s="4">
        <f t="shared" si="19"/>
        <v>1263</v>
      </c>
      <c r="B1264" s="4" t="s">
        <v>381</v>
      </c>
      <c r="C1264" s="5" t="s">
        <v>362</v>
      </c>
      <c r="D1264" s="35">
        <v>44348</v>
      </c>
      <c r="E1264" s="36">
        <v>27983.940000000002</v>
      </c>
      <c r="F1264" s="5" t="s">
        <v>379</v>
      </c>
    </row>
    <row r="1265" spans="1:6">
      <c r="A1265" s="4">
        <f t="shared" si="19"/>
        <v>1264</v>
      </c>
      <c r="B1265" s="4" t="s">
        <v>381</v>
      </c>
      <c r="C1265" s="5" t="s">
        <v>357</v>
      </c>
      <c r="D1265" s="35">
        <v>44348</v>
      </c>
      <c r="E1265" s="36">
        <v>5322.25</v>
      </c>
      <c r="F1265" s="5" t="s">
        <v>379</v>
      </c>
    </row>
    <row r="1266" spans="1:6">
      <c r="A1266" s="4">
        <f t="shared" si="19"/>
        <v>1265</v>
      </c>
      <c r="B1266" s="4" t="s">
        <v>381</v>
      </c>
      <c r="C1266" s="5" t="s">
        <v>356</v>
      </c>
      <c r="D1266" s="35">
        <v>44348</v>
      </c>
      <c r="E1266" s="36">
        <v>3245.6</v>
      </c>
      <c r="F1266" s="5" t="s">
        <v>379</v>
      </c>
    </row>
    <row r="1267" spans="1:6">
      <c r="A1267" s="4">
        <f t="shared" si="19"/>
        <v>1266</v>
      </c>
      <c r="B1267" s="4" t="s">
        <v>381</v>
      </c>
      <c r="C1267" s="5" t="s">
        <v>353</v>
      </c>
      <c r="D1267" s="35">
        <v>44348</v>
      </c>
      <c r="E1267" s="36">
        <v>5214</v>
      </c>
      <c r="F1267" s="5" t="s">
        <v>379</v>
      </c>
    </row>
    <row r="1268" spans="1:6">
      <c r="A1268" s="4">
        <f t="shared" si="19"/>
        <v>1267</v>
      </c>
      <c r="B1268" s="4" t="s">
        <v>381</v>
      </c>
      <c r="C1268" s="5" t="s">
        <v>366</v>
      </c>
      <c r="D1268" s="35">
        <v>44348</v>
      </c>
      <c r="E1268" s="36">
        <v>3635.58</v>
      </c>
      <c r="F1268" s="5" t="s">
        <v>379</v>
      </c>
    </row>
    <row r="1269" spans="1:6">
      <c r="A1269" s="4">
        <f t="shared" si="19"/>
        <v>1268</v>
      </c>
      <c r="B1269" s="4" t="s">
        <v>381</v>
      </c>
      <c r="C1269" s="5" t="s">
        <v>358</v>
      </c>
      <c r="D1269" s="35">
        <v>44348</v>
      </c>
      <c r="E1269" s="36">
        <v>31359.93</v>
      </c>
      <c r="F1269" s="5" t="s">
        <v>379</v>
      </c>
    </row>
    <row r="1270" spans="1:6">
      <c r="A1270" s="4">
        <f t="shared" si="19"/>
        <v>1269</v>
      </c>
      <c r="B1270" s="4" t="s">
        <v>381</v>
      </c>
      <c r="C1270" s="5" t="s">
        <v>365</v>
      </c>
      <c r="D1270" s="35">
        <v>44348</v>
      </c>
      <c r="E1270" s="36">
        <v>15696</v>
      </c>
      <c r="F1270" s="5" t="s">
        <v>379</v>
      </c>
    </row>
    <row r="1271" spans="1:6">
      <c r="A1271" s="4">
        <f t="shared" si="19"/>
        <v>1270</v>
      </c>
      <c r="B1271" s="4" t="s">
        <v>381</v>
      </c>
      <c r="C1271" s="5" t="s">
        <v>368</v>
      </c>
      <c r="D1271" s="35">
        <v>44348</v>
      </c>
      <c r="E1271" s="36">
        <v>12458.400000000001</v>
      </c>
      <c r="F1271" s="5" t="s">
        <v>379</v>
      </c>
    </row>
    <row r="1272" spans="1:6">
      <c r="A1272" s="4">
        <f t="shared" si="19"/>
        <v>1271</v>
      </c>
      <c r="B1272" s="4" t="s">
        <v>382</v>
      </c>
      <c r="C1272" s="5" t="s">
        <v>362</v>
      </c>
      <c r="D1272" s="35">
        <v>44348</v>
      </c>
      <c r="E1272" s="36">
        <v>3766.4</v>
      </c>
      <c r="F1272" s="5" t="s">
        <v>379</v>
      </c>
    </row>
    <row r="1273" spans="1:6">
      <c r="A1273" s="4">
        <f t="shared" si="19"/>
        <v>1272</v>
      </c>
      <c r="B1273" s="4" t="s">
        <v>382</v>
      </c>
      <c r="C1273" s="5" t="s">
        <v>354</v>
      </c>
      <c r="D1273" s="35">
        <v>44348</v>
      </c>
      <c r="E1273" s="36">
        <v>2460</v>
      </c>
      <c r="F1273" s="5" t="s">
        <v>379</v>
      </c>
    </row>
    <row r="1274" spans="1:6">
      <c r="A1274" s="4">
        <f t="shared" si="19"/>
        <v>1273</v>
      </c>
      <c r="B1274" s="4" t="s">
        <v>382</v>
      </c>
      <c r="C1274" s="5" t="s">
        <v>366</v>
      </c>
      <c r="D1274" s="35">
        <v>44348</v>
      </c>
      <c r="E1274" s="36">
        <v>727.32</v>
      </c>
      <c r="F1274" s="5" t="s">
        <v>379</v>
      </c>
    </row>
    <row r="1275" spans="1:6">
      <c r="A1275" s="4">
        <f t="shared" si="19"/>
        <v>1274</v>
      </c>
      <c r="B1275" s="4" t="s">
        <v>382</v>
      </c>
      <c r="C1275" s="5" t="s">
        <v>358</v>
      </c>
      <c r="D1275" s="35">
        <v>44348</v>
      </c>
      <c r="E1275" s="36">
        <v>856.5</v>
      </c>
      <c r="F1275" s="5" t="s">
        <v>379</v>
      </c>
    </row>
    <row r="1276" spans="1:6">
      <c r="A1276" s="4">
        <f t="shared" si="19"/>
        <v>1275</v>
      </c>
      <c r="B1276" s="4" t="s">
        <v>382</v>
      </c>
      <c r="C1276" s="5" t="s">
        <v>365</v>
      </c>
      <c r="D1276" s="35">
        <v>44348</v>
      </c>
      <c r="E1276" s="36">
        <v>576</v>
      </c>
      <c r="F1276" s="5" t="s">
        <v>379</v>
      </c>
    </row>
    <row r="1277" spans="1:6">
      <c r="A1277" s="4">
        <f t="shared" si="19"/>
        <v>1276</v>
      </c>
      <c r="B1277" s="4" t="s">
        <v>381</v>
      </c>
      <c r="C1277" s="5" t="s">
        <v>362</v>
      </c>
      <c r="D1277" s="35">
        <v>44317</v>
      </c>
      <c r="E1277" s="36">
        <v>25934.709999999995</v>
      </c>
      <c r="F1277" s="5" t="s">
        <v>379</v>
      </c>
    </row>
    <row r="1278" spans="1:6">
      <c r="A1278" s="4">
        <f t="shared" si="19"/>
        <v>1277</v>
      </c>
      <c r="B1278" s="4" t="s">
        <v>381</v>
      </c>
      <c r="C1278" s="5" t="s">
        <v>357</v>
      </c>
      <c r="D1278" s="35">
        <v>44317</v>
      </c>
      <c r="E1278" s="36">
        <v>4083.75</v>
      </c>
      <c r="F1278" s="5" t="s">
        <v>379</v>
      </c>
    </row>
    <row r="1279" spans="1:6">
      <c r="A1279" s="4">
        <f t="shared" si="19"/>
        <v>1278</v>
      </c>
      <c r="B1279" s="4" t="s">
        <v>381</v>
      </c>
      <c r="C1279" s="5" t="s">
        <v>356</v>
      </c>
      <c r="D1279" s="35">
        <v>44317</v>
      </c>
      <c r="E1279" s="36">
        <v>5739.2</v>
      </c>
      <c r="F1279" s="5" t="s">
        <v>379</v>
      </c>
    </row>
    <row r="1280" spans="1:6">
      <c r="A1280" s="4">
        <f t="shared" si="19"/>
        <v>1279</v>
      </c>
      <c r="B1280" s="4" t="s">
        <v>381</v>
      </c>
      <c r="C1280" s="5" t="s">
        <v>353</v>
      </c>
      <c r="D1280" s="35">
        <v>44317</v>
      </c>
      <c r="E1280" s="36">
        <v>5240</v>
      </c>
      <c r="F1280" s="5" t="s">
        <v>379</v>
      </c>
    </row>
    <row r="1281" spans="1:6">
      <c r="A1281" s="4">
        <f t="shared" si="19"/>
        <v>1280</v>
      </c>
      <c r="B1281" s="4" t="s">
        <v>381</v>
      </c>
      <c r="C1281" s="5" t="s">
        <v>366</v>
      </c>
      <c r="D1281" s="35">
        <v>44317</v>
      </c>
      <c r="E1281" s="36">
        <v>11394.96</v>
      </c>
      <c r="F1281" s="5" t="s">
        <v>379</v>
      </c>
    </row>
    <row r="1282" spans="1:6">
      <c r="A1282" s="4">
        <f t="shared" si="19"/>
        <v>1281</v>
      </c>
      <c r="B1282" s="4" t="s">
        <v>381</v>
      </c>
      <c r="C1282" s="5" t="s">
        <v>358</v>
      </c>
      <c r="D1282" s="35">
        <v>44317</v>
      </c>
      <c r="E1282" s="36">
        <v>41153.340000000011</v>
      </c>
      <c r="F1282" s="5" t="s">
        <v>379</v>
      </c>
    </row>
    <row r="1283" spans="1:6">
      <c r="A1283" s="4">
        <f t="shared" si="19"/>
        <v>1282</v>
      </c>
      <c r="B1283" s="4" t="s">
        <v>381</v>
      </c>
      <c r="C1283" s="5" t="s">
        <v>365</v>
      </c>
      <c r="D1283" s="35">
        <v>44317</v>
      </c>
      <c r="E1283" s="36">
        <v>13008</v>
      </c>
      <c r="F1283" s="5" t="s">
        <v>379</v>
      </c>
    </row>
    <row r="1284" spans="1:6">
      <c r="A1284" s="4">
        <f t="shared" si="19"/>
        <v>1283</v>
      </c>
      <c r="B1284" s="4" t="s">
        <v>381</v>
      </c>
      <c r="C1284" s="5" t="s">
        <v>368</v>
      </c>
      <c r="D1284" s="35">
        <v>44317</v>
      </c>
      <c r="E1284" s="36">
        <v>29134.07</v>
      </c>
      <c r="F1284" s="5" t="s">
        <v>379</v>
      </c>
    </row>
    <row r="1285" spans="1:6">
      <c r="A1285" s="4">
        <f t="shared" si="19"/>
        <v>1284</v>
      </c>
      <c r="B1285" s="4" t="s">
        <v>382</v>
      </c>
      <c r="C1285" s="5" t="s">
        <v>362</v>
      </c>
      <c r="D1285" s="35">
        <v>44317</v>
      </c>
      <c r="E1285" s="36">
        <v>7071.02</v>
      </c>
      <c r="F1285" s="5" t="s">
        <v>379</v>
      </c>
    </row>
    <row r="1286" spans="1:6">
      <c r="A1286" s="4">
        <f t="shared" si="19"/>
        <v>1285</v>
      </c>
      <c r="B1286" s="4" t="s">
        <v>382</v>
      </c>
      <c r="C1286" s="5" t="s">
        <v>353</v>
      </c>
      <c r="D1286" s="35">
        <v>44317</v>
      </c>
      <c r="E1286" s="36">
        <v>640</v>
      </c>
      <c r="F1286" s="5" t="s">
        <v>379</v>
      </c>
    </row>
    <row r="1287" spans="1:6">
      <c r="A1287" s="4">
        <f t="shared" si="19"/>
        <v>1286</v>
      </c>
      <c r="B1287" s="4" t="s">
        <v>382</v>
      </c>
      <c r="C1287" s="5" t="s">
        <v>354</v>
      </c>
      <c r="D1287" s="35">
        <v>44317</v>
      </c>
      <c r="E1287" s="36">
        <v>4100</v>
      </c>
      <c r="F1287" s="5" t="s">
        <v>379</v>
      </c>
    </row>
    <row r="1288" spans="1:6">
      <c r="A1288" s="4">
        <f t="shared" si="19"/>
        <v>1287</v>
      </c>
      <c r="B1288" s="4" t="s">
        <v>382</v>
      </c>
      <c r="C1288" s="5" t="s">
        <v>358</v>
      </c>
      <c r="D1288" s="35">
        <v>44317</v>
      </c>
      <c r="E1288" s="36">
        <v>333.5</v>
      </c>
      <c r="F1288" s="5" t="s">
        <v>379</v>
      </c>
    </row>
    <row r="1289" spans="1:6">
      <c r="A1289" s="4">
        <f t="shared" si="19"/>
        <v>1288</v>
      </c>
      <c r="B1289" s="4" t="s">
        <v>380</v>
      </c>
      <c r="C1289" s="5" t="s">
        <v>357</v>
      </c>
      <c r="D1289" s="35">
        <v>44317</v>
      </c>
      <c r="E1289" s="36">
        <v>2200</v>
      </c>
      <c r="F1289" s="5" t="s">
        <v>379</v>
      </c>
    </row>
    <row r="1290" spans="1:6">
      <c r="A1290" s="4">
        <f t="shared" si="19"/>
        <v>1289</v>
      </c>
      <c r="B1290" s="4" t="s">
        <v>381</v>
      </c>
      <c r="C1290" s="5" t="s">
        <v>362</v>
      </c>
      <c r="D1290" s="35">
        <v>44287</v>
      </c>
      <c r="E1290" s="36">
        <v>23954.639999999999</v>
      </c>
      <c r="F1290" s="5" t="s">
        <v>379</v>
      </c>
    </row>
    <row r="1291" spans="1:6">
      <c r="A1291" s="4">
        <f t="shared" ref="A1291:A1354" si="20">ROW()-1</f>
        <v>1290</v>
      </c>
      <c r="B1291" s="4" t="s">
        <v>381</v>
      </c>
      <c r="C1291" s="5" t="s">
        <v>357</v>
      </c>
      <c r="D1291" s="35">
        <v>44287</v>
      </c>
      <c r="E1291" s="36">
        <v>8334.5</v>
      </c>
      <c r="F1291" s="5" t="s">
        <v>379</v>
      </c>
    </row>
    <row r="1292" spans="1:6">
      <c r="A1292" s="4">
        <f t="shared" si="20"/>
        <v>1291</v>
      </c>
      <c r="B1292" s="4" t="s">
        <v>381</v>
      </c>
      <c r="C1292" s="5" t="s">
        <v>356</v>
      </c>
      <c r="D1292" s="35">
        <v>44287</v>
      </c>
      <c r="E1292" s="36">
        <v>7520</v>
      </c>
      <c r="F1292" s="5" t="s">
        <v>379</v>
      </c>
    </row>
    <row r="1293" spans="1:6">
      <c r="A1293" s="4">
        <f t="shared" si="20"/>
        <v>1292</v>
      </c>
      <c r="B1293" s="4" t="s">
        <v>381</v>
      </c>
      <c r="C1293" s="5" t="s">
        <v>353</v>
      </c>
      <c r="D1293" s="35">
        <v>44287</v>
      </c>
      <c r="E1293" s="36">
        <v>3824</v>
      </c>
      <c r="F1293" s="5" t="s">
        <v>379</v>
      </c>
    </row>
    <row r="1294" spans="1:6">
      <c r="A1294" s="4">
        <f t="shared" si="20"/>
        <v>1293</v>
      </c>
      <c r="B1294" s="4" t="s">
        <v>381</v>
      </c>
      <c r="C1294" s="5" t="s">
        <v>366</v>
      </c>
      <c r="D1294" s="35">
        <v>44287</v>
      </c>
      <c r="E1294" s="36">
        <v>2629</v>
      </c>
      <c r="F1294" s="5" t="s">
        <v>379</v>
      </c>
    </row>
    <row r="1295" spans="1:6">
      <c r="A1295" s="4">
        <f t="shared" si="20"/>
        <v>1294</v>
      </c>
      <c r="B1295" s="4" t="s">
        <v>381</v>
      </c>
      <c r="C1295" s="5" t="s">
        <v>358</v>
      </c>
      <c r="D1295" s="35">
        <v>44287</v>
      </c>
      <c r="E1295" s="36">
        <v>35256.610000000008</v>
      </c>
      <c r="F1295" s="5" t="s">
        <v>379</v>
      </c>
    </row>
    <row r="1296" spans="1:6">
      <c r="A1296" s="4">
        <f t="shared" si="20"/>
        <v>1295</v>
      </c>
      <c r="B1296" s="4" t="s">
        <v>381</v>
      </c>
      <c r="C1296" s="5" t="s">
        <v>365</v>
      </c>
      <c r="D1296" s="35">
        <v>44287</v>
      </c>
      <c r="E1296" s="36">
        <v>8352</v>
      </c>
      <c r="F1296" s="5" t="s">
        <v>379</v>
      </c>
    </row>
    <row r="1297" spans="1:6">
      <c r="A1297" s="4">
        <f t="shared" si="20"/>
        <v>1296</v>
      </c>
      <c r="B1297" s="4" t="s">
        <v>381</v>
      </c>
      <c r="C1297" s="5" t="s">
        <v>368</v>
      </c>
      <c r="D1297" s="35">
        <v>44287</v>
      </c>
      <c r="E1297" s="36">
        <v>9910.42</v>
      </c>
      <c r="F1297" s="5" t="s">
        <v>379</v>
      </c>
    </row>
    <row r="1298" spans="1:6">
      <c r="A1298" s="4">
        <f t="shared" si="20"/>
        <v>1297</v>
      </c>
      <c r="B1298" s="4" t="s">
        <v>382</v>
      </c>
      <c r="C1298" s="5" t="s">
        <v>362</v>
      </c>
      <c r="D1298" s="35">
        <v>44287</v>
      </c>
      <c r="E1298" s="36">
        <v>4015.2</v>
      </c>
      <c r="F1298" s="5" t="s">
        <v>379</v>
      </c>
    </row>
    <row r="1299" spans="1:6">
      <c r="A1299" s="4">
        <f t="shared" si="20"/>
        <v>1298</v>
      </c>
      <c r="B1299" s="4" t="s">
        <v>382</v>
      </c>
      <c r="C1299" s="5" t="s">
        <v>354</v>
      </c>
      <c r="D1299" s="35">
        <v>44287</v>
      </c>
      <c r="E1299" s="36">
        <v>2460</v>
      </c>
      <c r="F1299" s="5" t="s">
        <v>379</v>
      </c>
    </row>
    <row r="1300" spans="1:6">
      <c r="A1300" s="4">
        <f t="shared" si="20"/>
        <v>1299</v>
      </c>
      <c r="B1300" s="4" t="s">
        <v>381</v>
      </c>
      <c r="C1300" s="5" t="s">
        <v>362</v>
      </c>
      <c r="D1300" s="35">
        <v>44256</v>
      </c>
      <c r="E1300" s="36">
        <v>25124.36</v>
      </c>
      <c r="F1300" s="5" t="s">
        <v>379</v>
      </c>
    </row>
    <row r="1301" spans="1:6">
      <c r="A1301" s="4">
        <f t="shared" si="20"/>
        <v>1300</v>
      </c>
      <c r="B1301" s="4" t="s">
        <v>381</v>
      </c>
      <c r="C1301" s="5" t="s">
        <v>357</v>
      </c>
      <c r="D1301" s="35">
        <v>44256</v>
      </c>
      <c r="E1301" s="36">
        <v>3498.25</v>
      </c>
      <c r="F1301" s="5" t="s">
        <v>379</v>
      </c>
    </row>
    <row r="1302" spans="1:6">
      <c r="A1302" s="4">
        <f t="shared" si="20"/>
        <v>1301</v>
      </c>
      <c r="B1302" s="4" t="s">
        <v>381</v>
      </c>
      <c r="C1302" s="5" t="s">
        <v>356</v>
      </c>
      <c r="D1302" s="35">
        <v>44256</v>
      </c>
      <c r="E1302" s="36">
        <v>1128</v>
      </c>
      <c r="F1302" s="5" t="s">
        <v>379</v>
      </c>
    </row>
    <row r="1303" spans="1:6">
      <c r="A1303" s="4">
        <f t="shared" si="20"/>
        <v>1302</v>
      </c>
      <c r="B1303" s="4" t="s">
        <v>381</v>
      </c>
      <c r="C1303" s="5" t="s">
        <v>353</v>
      </c>
      <c r="D1303" s="35">
        <v>44256</v>
      </c>
      <c r="E1303" s="36">
        <v>5376</v>
      </c>
      <c r="F1303" s="5" t="s">
        <v>379</v>
      </c>
    </row>
    <row r="1304" spans="1:6">
      <c r="A1304" s="4">
        <f t="shared" si="20"/>
        <v>1303</v>
      </c>
      <c r="B1304" s="4" t="s">
        <v>381</v>
      </c>
      <c r="C1304" s="5" t="s">
        <v>366</v>
      </c>
      <c r="D1304" s="35">
        <v>44256</v>
      </c>
      <c r="E1304" s="36">
        <v>1577.3999999999999</v>
      </c>
      <c r="F1304" s="5" t="s">
        <v>379</v>
      </c>
    </row>
    <row r="1305" spans="1:6">
      <c r="A1305" s="4">
        <f t="shared" si="20"/>
        <v>1304</v>
      </c>
      <c r="B1305" s="4" t="s">
        <v>381</v>
      </c>
      <c r="C1305" s="5" t="s">
        <v>358</v>
      </c>
      <c r="D1305" s="35">
        <v>44256</v>
      </c>
      <c r="E1305" s="36">
        <v>40389</v>
      </c>
      <c r="F1305" s="5" t="s">
        <v>379</v>
      </c>
    </row>
    <row r="1306" spans="1:6">
      <c r="A1306" s="4">
        <f t="shared" si="20"/>
        <v>1305</v>
      </c>
      <c r="B1306" s="4" t="s">
        <v>381</v>
      </c>
      <c r="C1306" s="5" t="s">
        <v>365</v>
      </c>
      <c r="D1306" s="35">
        <v>44256</v>
      </c>
      <c r="E1306" s="36">
        <v>8544</v>
      </c>
      <c r="F1306" s="5" t="s">
        <v>379</v>
      </c>
    </row>
    <row r="1307" spans="1:6">
      <c r="A1307" s="4">
        <f t="shared" si="20"/>
        <v>1306</v>
      </c>
      <c r="B1307" s="4" t="s">
        <v>381</v>
      </c>
      <c r="C1307" s="5" t="s">
        <v>368</v>
      </c>
      <c r="D1307" s="35">
        <v>44256</v>
      </c>
      <c r="E1307" s="36">
        <v>16237.74</v>
      </c>
      <c r="F1307" s="5" t="s">
        <v>379</v>
      </c>
    </row>
    <row r="1308" spans="1:6">
      <c r="A1308" s="4">
        <f t="shared" si="20"/>
        <v>1307</v>
      </c>
      <c r="B1308" s="4" t="s">
        <v>382</v>
      </c>
      <c r="C1308" s="5" t="s">
        <v>362</v>
      </c>
      <c r="D1308" s="35">
        <v>44256</v>
      </c>
      <c r="E1308" s="36">
        <v>6879.2</v>
      </c>
      <c r="F1308" s="5" t="s">
        <v>379</v>
      </c>
    </row>
    <row r="1309" spans="1:6">
      <c r="A1309" s="4">
        <f t="shared" si="20"/>
        <v>1308</v>
      </c>
      <c r="B1309" s="4" t="s">
        <v>382</v>
      </c>
      <c r="C1309" s="5" t="s">
        <v>354</v>
      </c>
      <c r="D1309" s="35">
        <v>44256</v>
      </c>
      <c r="E1309" s="36">
        <v>7600.07</v>
      </c>
      <c r="F1309" s="5" t="s">
        <v>379</v>
      </c>
    </row>
    <row r="1310" spans="1:6">
      <c r="A1310" s="4">
        <f t="shared" si="20"/>
        <v>1309</v>
      </c>
      <c r="B1310" s="4" t="s">
        <v>382</v>
      </c>
      <c r="C1310" s="5" t="s">
        <v>358</v>
      </c>
      <c r="D1310" s="35">
        <v>44256</v>
      </c>
      <c r="E1310" s="36">
        <v>1480.5</v>
      </c>
      <c r="F1310" s="5" t="s">
        <v>379</v>
      </c>
    </row>
    <row r="1311" spans="1:6">
      <c r="A1311" s="4">
        <f t="shared" si="20"/>
        <v>1310</v>
      </c>
      <c r="B1311" s="4" t="s">
        <v>381</v>
      </c>
      <c r="C1311" s="5" t="s">
        <v>362</v>
      </c>
      <c r="D1311" s="35">
        <v>44228</v>
      </c>
      <c r="E1311" s="36">
        <v>23427.02</v>
      </c>
      <c r="F1311" s="5" t="s">
        <v>379</v>
      </c>
    </row>
    <row r="1312" spans="1:6">
      <c r="A1312" s="4">
        <f t="shared" si="20"/>
        <v>1311</v>
      </c>
      <c r="B1312" s="4" t="s">
        <v>381</v>
      </c>
      <c r="C1312" s="5" t="s">
        <v>356</v>
      </c>
      <c r="D1312" s="35">
        <v>44228</v>
      </c>
      <c r="E1312" s="36">
        <v>4072.0000000000005</v>
      </c>
      <c r="F1312" s="5" t="s">
        <v>379</v>
      </c>
    </row>
    <row r="1313" spans="1:6">
      <c r="A1313" s="4">
        <f t="shared" si="20"/>
        <v>1312</v>
      </c>
      <c r="B1313" s="4" t="s">
        <v>381</v>
      </c>
      <c r="C1313" s="5" t="s">
        <v>353</v>
      </c>
      <c r="D1313" s="35">
        <v>44228</v>
      </c>
      <c r="E1313" s="36">
        <v>4352</v>
      </c>
      <c r="F1313" s="5" t="s">
        <v>379</v>
      </c>
    </row>
    <row r="1314" spans="1:6">
      <c r="A1314" s="4">
        <f t="shared" si="20"/>
        <v>1313</v>
      </c>
      <c r="B1314" s="4" t="s">
        <v>381</v>
      </c>
      <c r="C1314" s="5" t="s">
        <v>366</v>
      </c>
      <c r="D1314" s="35">
        <v>44228</v>
      </c>
      <c r="E1314" s="36">
        <v>1863.3600000000001</v>
      </c>
      <c r="F1314" s="5" t="s">
        <v>379</v>
      </c>
    </row>
    <row r="1315" spans="1:6">
      <c r="A1315" s="4">
        <f t="shared" si="20"/>
        <v>1314</v>
      </c>
      <c r="B1315" s="4" t="s">
        <v>381</v>
      </c>
      <c r="C1315" s="5" t="s">
        <v>358</v>
      </c>
      <c r="D1315" s="35">
        <v>44228</v>
      </c>
      <c r="E1315" s="36">
        <v>33024.929999999993</v>
      </c>
      <c r="F1315" s="5" t="s">
        <v>379</v>
      </c>
    </row>
    <row r="1316" spans="1:6">
      <c r="A1316" s="4">
        <f t="shared" si="20"/>
        <v>1315</v>
      </c>
      <c r="B1316" s="4" t="s">
        <v>381</v>
      </c>
      <c r="C1316" s="5" t="s">
        <v>365</v>
      </c>
      <c r="D1316" s="35">
        <v>44228</v>
      </c>
      <c r="E1316" s="36">
        <v>9504</v>
      </c>
      <c r="F1316" s="5" t="s">
        <v>379</v>
      </c>
    </row>
    <row r="1317" spans="1:6">
      <c r="A1317" s="4">
        <f t="shared" si="20"/>
        <v>1316</v>
      </c>
      <c r="B1317" s="4" t="s">
        <v>381</v>
      </c>
      <c r="C1317" s="5" t="s">
        <v>368</v>
      </c>
      <c r="D1317" s="35">
        <v>44228</v>
      </c>
      <c r="E1317" s="36">
        <v>17127</v>
      </c>
      <c r="F1317" s="5" t="s">
        <v>379</v>
      </c>
    </row>
    <row r="1318" spans="1:6">
      <c r="A1318" s="4">
        <f t="shared" si="20"/>
        <v>1317</v>
      </c>
      <c r="B1318" s="4" t="s">
        <v>382</v>
      </c>
      <c r="C1318" s="5" t="s">
        <v>362</v>
      </c>
      <c r="D1318" s="35">
        <v>44228</v>
      </c>
      <c r="E1318" s="36">
        <v>8520</v>
      </c>
      <c r="F1318" s="5" t="s">
        <v>379</v>
      </c>
    </row>
    <row r="1319" spans="1:6">
      <c r="A1319" s="4">
        <f t="shared" si="20"/>
        <v>1318</v>
      </c>
      <c r="B1319" s="4" t="s">
        <v>382</v>
      </c>
      <c r="C1319" s="5" t="s">
        <v>356</v>
      </c>
      <c r="D1319" s="35">
        <v>44228</v>
      </c>
      <c r="E1319" s="36">
        <v>376</v>
      </c>
      <c r="F1319" s="5" t="s">
        <v>379</v>
      </c>
    </row>
    <row r="1320" spans="1:6">
      <c r="A1320" s="4">
        <f t="shared" si="20"/>
        <v>1319</v>
      </c>
      <c r="B1320" s="4" t="s">
        <v>382</v>
      </c>
      <c r="C1320" s="5" t="s">
        <v>354</v>
      </c>
      <c r="D1320" s="35">
        <v>44228</v>
      </c>
      <c r="E1320" s="36">
        <v>8640</v>
      </c>
      <c r="F1320" s="5" t="s">
        <v>379</v>
      </c>
    </row>
    <row r="1321" spans="1:6">
      <c r="A1321" s="4">
        <f t="shared" si="20"/>
        <v>1320</v>
      </c>
      <c r="B1321" s="4" t="s">
        <v>382</v>
      </c>
      <c r="C1321" s="5" t="s">
        <v>358</v>
      </c>
      <c r="D1321" s="35">
        <v>44228</v>
      </c>
      <c r="E1321" s="36">
        <v>1912.43</v>
      </c>
      <c r="F1321" s="5" t="s">
        <v>379</v>
      </c>
    </row>
    <row r="1322" spans="1:6">
      <c r="A1322" s="4">
        <f t="shared" si="20"/>
        <v>1321</v>
      </c>
      <c r="B1322" s="4" t="s">
        <v>381</v>
      </c>
      <c r="C1322" s="5" t="s">
        <v>362</v>
      </c>
      <c r="D1322" s="35">
        <v>44197</v>
      </c>
      <c r="E1322" s="36">
        <v>18364.989999999998</v>
      </c>
      <c r="F1322" s="5" t="s">
        <v>379</v>
      </c>
    </row>
    <row r="1323" spans="1:6">
      <c r="A1323" s="4">
        <f t="shared" si="20"/>
        <v>1322</v>
      </c>
      <c r="B1323" s="4" t="s">
        <v>381</v>
      </c>
      <c r="C1323" s="5" t="s">
        <v>356</v>
      </c>
      <c r="D1323" s="35">
        <v>44197</v>
      </c>
      <c r="E1323" s="36">
        <v>1504</v>
      </c>
      <c r="F1323" s="5" t="s">
        <v>379</v>
      </c>
    </row>
    <row r="1324" spans="1:6">
      <c r="A1324" s="4">
        <f t="shared" si="20"/>
        <v>1323</v>
      </c>
      <c r="B1324" s="4" t="s">
        <v>381</v>
      </c>
      <c r="C1324" s="5" t="s">
        <v>353</v>
      </c>
      <c r="D1324" s="35">
        <v>44197</v>
      </c>
      <c r="E1324" s="36">
        <v>6656</v>
      </c>
      <c r="F1324" s="5" t="s">
        <v>379</v>
      </c>
    </row>
    <row r="1325" spans="1:6">
      <c r="A1325" s="4">
        <f t="shared" si="20"/>
        <v>1324</v>
      </c>
      <c r="B1325" s="4" t="s">
        <v>381</v>
      </c>
      <c r="C1325" s="5" t="s">
        <v>366</v>
      </c>
      <c r="D1325" s="35">
        <v>44197</v>
      </c>
      <c r="E1325" s="36">
        <v>6011.88</v>
      </c>
      <c r="F1325" s="5" t="s">
        <v>379</v>
      </c>
    </row>
    <row r="1326" spans="1:6">
      <c r="A1326" s="4">
        <f t="shared" si="20"/>
        <v>1325</v>
      </c>
      <c r="B1326" s="4" t="s">
        <v>381</v>
      </c>
      <c r="C1326" s="5" t="s">
        <v>358</v>
      </c>
      <c r="D1326" s="35">
        <v>44197</v>
      </c>
      <c r="E1326" s="36">
        <v>20484.599999999995</v>
      </c>
      <c r="F1326" s="5" t="s">
        <v>379</v>
      </c>
    </row>
    <row r="1327" spans="1:6">
      <c r="A1327" s="4">
        <f t="shared" si="20"/>
        <v>1326</v>
      </c>
      <c r="B1327" s="4" t="s">
        <v>381</v>
      </c>
      <c r="C1327" s="5" t="s">
        <v>365</v>
      </c>
      <c r="D1327" s="35">
        <v>44197</v>
      </c>
      <c r="E1327" s="36">
        <v>13952</v>
      </c>
      <c r="F1327" s="5" t="s">
        <v>379</v>
      </c>
    </row>
    <row r="1328" spans="1:6">
      <c r="A1328" s="4">
        <f t="shared" si="20"/>
        <v>1327</v>
      </c>
      <c r="B1328" s="4" t="s">
        <v>382</v>
      </c>
      <c r="C1328" s="5" t="s">
        <v>362</v>
      </c>
      <c r="D1328" s="35">
        <v>44197</v>
      </c>
      <c r="E1328" s="36">
        <v>14412.6</v>
      </c>
      <c r="F1328" s="5" t="s">
        <v>379</v>
      </c>
    </row>
    <row r="1329" spans="1:6">
      <c r="A1329" s="4">
        <f t="shared" si="20"/>
        <v>1328</v>
      </c>
      <c r="B1329" s="4" t="s">
        <v>382</v>
      </c>
      <c r="C1329" s="5" t="s">
        <v>356</v>
      </c>
      <c r="D1329" s="35">
        <v>44197</v>
      </c>
      <c r="E1329" s="36">
        <v>4136</v>
      </c>
      <c r="F1329" s="5" t="s">
        <v>379</v>
      </c>
    </row>
    <row r="1330" spans="1:6">
      <c r="A1330" s="4">
        <f t="shared" si="20"/>
        <v>1329</v>
      </c>
      <c r="B1330" s="4" t="s">
        <v>382</v>
      </c>
      <c r="C1330" s="5" t="s">
        <v>354</v>
      </c>
      <c r="D1330" s="35">
        <v>44197</v>
      </c>
      <c r="E1330" s="36">
        <v>960</v>
      </c>
      <c r="F1330" s="5" t="s">
        <v>379</v>
      </c>
    </row>
    <row r="1331" spans="1:6">
      <c r="A1331" s="4">
        <f t="shared" si="20"/>
        <v>1330</v>
      </c>
      <c r="B1331" s="4" t="s">
        <v>382</v>
      </c>
      <c r="C1331" s="5" t="s">
        <v>358</v>
      </c>
      <c r="D1331" s="35">
        <v>44197</v>
      </c>
      <c r="E1331" s="36">
        <v>10906.64</v>
      </c>
      <c r="F1331" s="5" t="s">
        <v>379</v>
      </c>
    </row>
    <row r="1332" spans="1:6">
      <c r="A1332" s="4">
        <f t="shared" si="20"/>
        <v>1331</v>
      </c>
      <c r="B1332" s="4" t="s">
        <v>381</v>
      </c>
      <c r="C1332" s="5" t="s">
        <v>362</v>
      </c>
      <c r="D1332" s="35">
        <v>44166</v>
      </c>
      <c r="E1332" s="36">
        <v>16170.18</v>
      </c>
      <c r="F1332" s="5" t="s">
        <v>379</v>
      </c>
    </row>
    <row r="1333" spans="1:6">
      <c r="A1333" s="4">
        <f t="shared" si="20"/>
        <v>1332</v>
      </c>
      <c r="B1333" s="4" t="s">
        <v>381</v>
      </c>
      <c r="C1333" s="5" t="s">
        <v>357</v>
      </c>
      <c r="D1333" s="35">
        <v>44166</v>
      </c>
      <c r="E1333" s="36">
        <v>816.75</v>
      </c>
      <c r="F1333" s="5" t="s">
        <v>379</v>
      </c>
    </row>
    <row r="1334" spans="1:6">
      <c r="A1334" s="4">
        <f t="shared" si="20"/>
        <v>1333</v>
      </c>
      <c r="B1334" s="4" t="s">
        <v>381</v>
      </c>
      <c r="C1334" s="5" t="s">
        <v>356</v>
      </c>
      <c r="D1334" s="35">
        <v>44166</v>
      </c>
      <c r="E1334" s="36">
        <v>1210.8</v>
      </c>
      <c r="F1334" s="5" t="s">
        <v>379</v>
      </c>
    </row>
    <row r="1335" spans="1:6">
      <c r="A1335" s="4">
        <f t="shared" si="20"/>
        <v>1334</v>
      </c>
      <c r="B1335" s="4" t="s">
        <v>381</v>
      </c>
      <c r="C1335" s="5" t="s">
        <v>353</v>
      </c>
      <c r="D1335" s="35">
        <v>44166</v>
      </c>
      <c r="E1335" s="36">
        <v>2562</v>
      </c>
      <c r="F1335" s="5" t="s">
        <v>379</v>
      </c>
    </row>
    <row r="1336" spans="1:6">
      <c r="A1336" s="4">
        <f t="shared" si="20"/>
        <v>1335</v>
      </c>
      <c r="B1336" s="4" t="s">
        <v>381</v>
      </c>
      <c r="C1336" s="5" t="s">
        <v>366</v>
      </c>
      <c r="D1336" s="35">
        <v>44166</v>
      </c>
      <c r="E1336" s="36">
        <v>1349.25</v>
      </c>
      <c r="F1336" s="5" t="s">
        <v>379</v>
      </c>
    </row>
    <row r="1337" spans="1:6">
      <c r="A1337" s="4">
        <f t="shared" si="20"/>
        <v>1336</v>
      </c>
      <c r="B1337" s="4" t="s">
        <v>381</v>
      </c>
      <c r="C1337" s="5" t="s">
        <v>358</v>
      </c>
      <c r="D1337" s="35">
        <v>44166</v>
      </c>
      <c r="E1337" s="36">
        <v>11921.2</v>
      </c>
      <c r="F1337" s="5" t="s">
        <v>379</v>
      </c>
    </row>
    <row r="1338" spans="1:6">
      <c r="A1338" s="4">
        <f t="shared" si="20"/>
        <v>1337</v>
      </c>
      <c r="B1338" s="4" t="s">
        <v>381</v>
      </c>
      <c r="C1338" s="5" t="s">
        <v>365</v>
      </c>
      <c r="D1338" s="35">
        <v>44166</v>
      </c>
      <c r="E1338" s="36">
        <v>5632</v>
      </c>
      <c r="F1338" s="5" t="s">
        <v>379</v>
      </c>
    </row>
    <row r="1339" spans="1:6">
      <c r="A1339" s="4">
        <f t="shared" si="20"/>
        <v>1338</v>
      </c>
      <c r="B1339" s="4" t="s">
        <v>381</v>
      </c>
      <c r="C1339" s="5" t="s">
        <v>368</v>
      </c>
      <c r="D1339" s="35">
        <v>44166</v>
      </c>
      <c r="E1339" s="36">
        <v>8233</v>
      </c>
      <c r="F1339" s="5" t="s">
        <v>379</v>
      </c>
    </row>
    <row r="1340" spans="1:6">
      <c r="A1340" s="4">
        <f t="shared" si="20"/>
        <v>1339</v>
      </c>
      <c r="B1340" s="4" t="s">
        <v>382</v>
      </c>
      <c r="C1340" s="5" t="s">
        <v>362</v>
      </c>
      <c r="D1340" s="35">
        <v>44166</v>
      </c>
      <c r="E1340" s="36">
        <v>10882.2</v>
      </c>
      <c r="F1340" s="5" t="s">
        <v>379</v>
      </c>
    </row>
    <row r="1341" spans="1:6">
      <c r="A1341" s="4">
        <f t="shared" si="20"/>
        <v>1340</v>
      </c>
      <c r="B1341" s="4" t="s">
        <v>382</v>
      </c>
      <c r="C1341" s="5" t="s">
        <v>356</v>
      </c>
      <c r="D1341" s="35">
        <v>44166</v>
      </c>
      <c r="E1341" s="36">
        <v>5488</v>
      </c>
      <c r="F1341" s="5" t="s">
        <v>379</v>
      </c>
    </row>
    <row r="1342" spans="1:6">
      <c r="A1342" s="4">
        <f t="shared" si="20"/>
        <v>1341</v>
      </c>
      <c r="B1342" s="4" t="s">
        <v>382</v>
      </c>
      <c r="C1342" s="5" t="s">
        <v>353</v>
      </c>
      <c r="D1342" s="35">
        <v>44166</v>
      </c>
      <c r="E1342" s="36">
        <v>2973</v>
      </c>
      <c r="F1342" s="5" t="s">
        <v>379</v>
      </c>
    </row>
    <row r="1343" spans="1:6">
      <c r="A1343" s="4">
        <f t="shared" si="20"/>
        <v>1342</v>
      </c>
      <c r="B1343" s="4" t="s">
        <v>382</v>
      </c>
      <c r="C1343" s="5" t="s">
        <v>366</v>
      </c>
      <c r="D1343" s="35">
        <v>44166</v>
      </c>
      <c r="E1343" s="36">
        <v>1265</v>
      </c>
      <c r="F1343" s="5" t="s">
        <v>379</v>
      </c>
    </row>
    <row r="1344" spans="1:6">
      <c r="A1344" s="4">
        <f t="shared" si="20"/>
        <v>1343</v>
      </c>
      <c r="B1344" s="4" t="s">
        <v>382</v>
      </c>
      <c r="C1344" s="5" t="s">
        <v>358</v>
      </c>
      <c r="D1344" s="35">
        <v>44166</v>
      </c>
      <c r="E1344" s="36">
        <v>12677.78</v>
      </c>
      <c r="F1344" s="5" t="s">
        <v>379</v>
      </c>
    </row>
    <row r="1345" spans="1:6">
      <c r="A1345" s="4">
        <f t="shared" si="20"/>
        <v>1344</v>
      </c>
      <c r="B1345" s="4" t="s">
        <v>381</v>
      </c>
      <c r="C1345" s="5" t="s">
        <v>362</v>
      </c>
      <c r="D1345" s="35">
        <v>44136</v>
      </c>
      <c r="E1345" s="36">
        <v>19809.3</v>
      </c>
      <c r="F1345" s="5" t="s">
        <v>379</v>
      </c>
    </row>
    <row r="1346" spans="1:6">
      <c r="A1346" s="4">
        <f t="shared" si="20"/>
        <v>1345</v>
      </c>
      <c r="B1346" s="4" t="s">
        <v>381</v>
      </c>
      <c r="C1346" s="5" t="s">
        <v>357</v>
      </c>
      <c r="D1346" s="35">
        <v>44136</v>
      </c>
      <c r="E1346" s="36">
        <v>1633.5</v>
      </c>
      <c r="F1346" s="5" t="s">
        <v>379</v>
      </c>
    </row>
    <row r="1347" spans="1:6">
      <c r="A1347" s="4">
        <f t="shared" si="20"/>
        <v>1346</v>
      </c>
      <c r="B1347" s="4" t="s">
        <v>381</v>
      </c>
      <c r="C1347" s="5" t="s">
        <v>356</v>
      </c>
      <c r="D1347" s="35">
        <v>44136</v>
      </c>
      <c r="E1347" s="36">
        <v>1210.8</v>
      </c>
      <c r="F1347" s="5" t="s">
        <v>379</v>
      </c>
    </row>
    <row r="1348" spans="1:6">
      <c r="A1348" s="4">
        <f t="shared" si="20"/>
        <v>1347</v>
      </c>
      <c r="B1348" s="4" t="s">
        <v>381</v>
      </c>
      <c r="C1348" s="5" t="s">
        <v>353</v>
      </c>
      <c r="D1348" s="35">
        <v>44136</v>
      </c>
      <c r="E1348" s="36">
        <v>2340</v>
      </c>
      <c r="F1348" s="5" t="s">
        <v>379</v>
      </c>
    </row>
    <row r="1349" spans="1:6">
      <c r="A1349" s="4">
        <f t="shared" si="20"/>
        <v>1348</v>
      </c>
      <c r="B1349" s="4" t="s">
        <v>381</v>
      </c>
      <c r="C1349" s="5" t="s">
        <v>366</v>
      </c>
      <c r="D1349" s="35">
        <v>44136</v>
      </c>
      <c r="E1349" s="36">
        <v>671.25</v>
      </c>
      <c r="F1349" s="5" t="s">
        <v>379</v>
      </c>
    </row>
    <row r="1350" spans="1:6">
      <c r="A1350" s="4">
        <f t="shared" si="20"/>
        <v>1349</v>
      </c>
      <c r="B1350" s="4" t="s">
        <v>381</v>
      </c>
      <c r="C1350" s="5" t="s">
        <v>358</v>
      </c>
      <c r="D1350" s="35">
        <v>44136</v>
      </c>
      <c r="E1350" s="36">
        <v>13971.169999999998</v>
      </c>
      <c r="F1350" s="5" t="s">
        <v>379</v>
      </c>
    </row>
    <row r="1351" spans="1:6">
      <c r="A1351" s="4">
        <f t="shared" si="20"/>
        <v>1350</v>
      </c>
      <c r="B1351" s="4" t="s">
        <v>381</v>
      </c>
      <c r="C1351" s="5" t="s">
        <v>365</v>
      </c>
      <c r="D1351" s="35">
        <v>44136</v>
      </c>
      <c r="E1351" s="36">
        <v>5088</v>
      </c>
      <c r="F1351" s="5" t="s">
        <v>379</v>
      </c>
    </row>
    <row r="1352" spans="1:6">
      <c r="A1352" s="4">
        <f t="shared" si="20"/>
        <v>1351</v>
      </c>
      <c r="B1352" s="4" t="s">
        <v>381</v>
      </c>
      <c r="C1352" s="5" t="s">
        <v>368</v>
      </c>
      <c r="D1352" s="35">
        <v>44136</v>
      </c>
      <c r="E1352" s="36">
        <v>5464</v>
      </c>
      <c r="F1352" s="5" t="s">
        <v>379</v>
      </c>
    </row>
    <row r="1353" spans="1:6">
      <c r="A1353" s="4">
        <f t="shared" si="20"/>
        <v>1352</v>
      </c>
      <c r="B1353" s="4" t="s">
        <v>382</v>
      </c>
      <c r="C1353" s="5" t="s">
        <v>362</v>
      </c>
      <c r="D1353" s="35">
        <v>44136</v>
      </c>
      <c r="E1353" s="36">
        <v>13972.1</v>
      </c>
      <c r="F1353" s="5" t="s">
        <v>379</v>
      </c>
    </row>
    <row r="1354" spans="1:6">
      <c r="A1354" s="4">
        <f t="shared" si="20"/>
        <v>1353</v>
      </c>
      <c r="B1354" s="4" t="s">
        <v>382</v>
      </c>
      <c r="C1354" s="5" t="s">
        <v>357</v>
      </c>
      <c r="D1354" s="35">
        <v>44136</v>
      </c>
      <c r="E1354" s="36">
        <v>2815</v>
      </c>
      <c r="F1354" s="5" t="s">
        <v>379</v>
      </c>
    </row>
    <row r="1355" spans="1:6">
      <c r="A1355" s="4">
        <f t="shared" ref="A1355:A1409" si="21">ROW()-1</f>
        <v>1354</v>
      </c>
      <c r="B1355" s="4" t="s">
        <v>382</v>
      </c>
      <c r="C1355" s="5" t="s">
        <v>366</v>
      </c>
      <c r="D1355" s="35">
        <v>44136</v>
      </c>
      <c r="E1355" s="36">
        <v>3142.42</v>
      </c>
      <c r="F1355" s="5" t="s">
        <v>379</v>
      </c>
    </row>
    <row r="1356" spans="1:6">
      <c r="A1356" s="4">
        <f t="shared" si="21"/>
        <v>1355</v>
      </c>
      <c r="B1356" s="4" t="s">
        <v>382</v>
      </c>
      <c r="C1356" s="5" t="s">
        <v>358</v>
      </c>
      <c r="D1356" s="35">
        <v>44136</v>
      </c>
      <c r="E1356" s="36">
        <v>9500.69</v>
      </c>
      <c r="F1356" s="5" t="s">
        <v>379</v>
      </c>
    </row>
    <row r="1357" spans="1:6">
      <c r="A1357" s="4">
        <f t="shared" si="21"/>
        <v>1356</v>
      </c>
      <c r="B1357" s="4" t="s">
        <v>382</v>
      </c>
      <c r="C1357" s="5" t="s">
        <v>365</v>
      </c>
      <c r="D1357" s="35">
        <v>44136</v>
      </c>
      <c r="E1357" s="36">
        <v>1748</v>
      </c>
      <c r="F1357" s="5" t="s">
        <v>379</v>
      </c>
    </row>
    <row r="1358" spans="1:6">
      <c r="A1358" s="4">
        <f t="shared" si="21"/>
        <v>1357</v>
      </c>
      <c r="B1358" s="4" t="s">
        <v>382</v>
      </c>
      <c r="C1358" s="5" t="s">
        <v>369</v>
      </c>
      <c r="D1358" s="35">
        <v>44136</v>
      </c>
      <c r="E1358" s="36">
        <v>2460</v>
      </c>
      <c r="F1358" s="5" t="s">
        <v>379</v>
      </c>
    </row>
    <row r="1359" spans="1:6">
      <c r="A1359" s="4">
        <f t="shared" si="21"/>
        <v>1358</v>
      </c>
      <c r="B1359" s="4" t="s">
        <v>381</v>
      </c>
      <c r="C1359" s="5" t="s">
        <v>362</v>
      </c>
      <c r="D1359" s="35">
        <v>44105</v>
      </c>
      <c r="E1359" s="36">
        <v>23340.400000000001</v>
      </c>
      <c r="F1359" s="5" t="s">
        <v>379</v>
      </c>
    </row>
    <row r="1360" spans="1:6">
      <c r="A1360" s="4">
        <f t="shared" si="21"/>
        <v>1359</v>
      </c>
      <c r="B1360" s="4" t="s">
        <v>381</v>
      </c>
      <c r="C1360" s="5" t="s">
        <v>357</v>
      </c>
      <c r="D1360" s="35">
        <v>44105</v>
      </c>
      <c r="E1360" s="36">
        <v>3267</v>
      </c>
      <c r="F1360" s="5" t="s">
        <v>379</v>
      </c>
    </row>
    <row r="1361" spans="1:6">
      <c r="A1361" s="4">
        <f t="shared" si="21"/>
        <v>1360</v>
      </c>
      <c r="B1361" s="4" t="s">
        <v>381</v>
      </c>
      <c r="C1361" s="5" t="s">
        <v>356</v>
      </c>
      <c r="D1361" s="35">
        <v>44105</v>
      </c>
      <c r="E1361" s="36">
        <v>1816.1999999999998</v>
      </c>
      <c r="F1361" s="5" t="s">
        <v>379</v>
      </c>
    </row>
    <row r="1362" spans="1:6">
      <c r="A1362" s="4">
        <f t="shared" si="21"/>
        <v>1361</v>
      </c>
      <c r="B1362" s="4" t="s">
        <v>381</v>
      </c>
      <c r="C1362" s="5" t="s">
        <v>353</v>
      </c>
      <c r="D1362" s="35">
        <v>44105</v>
      </c>
      <c r="E1362" s="36">
        <v>273</v>
      </c>
      <c r="F1362" s="5" t="s">
        <v>379</v>
      </c>
    </row>
    <row r="1363" spans="1:6">
      <c r="A1363" s="4">
        <f t="shared" si="21"/>
        <v>1362</v>
      </c>
      <c r="B1363" s="4" t="s">
        <v>381</v>
      </c>
      <c r="C1363" s="5" t="s">
        <v>366</v>
      </c>
      <c r="D1363" s="35">
        <v>44105</v>
      </c>
      <c r="E1363" s="36">
        <v>4413.630000000001</v>
      </c>
      <c r="F1363" s="5" t="s">
        <v>379</v>
      </c>
    </row>
    <row r="1364" spans="1:6">
      <c r="A1364" s="4">
        <f t="shared" si="21"/>
        <v>1363</v>
      </c>
      <c r="B1364" s="4" t="s">
        <v>381</v>
      </c>
      <c r="C1364" s="5" t="s">
        <v>358</v>
      </c>
      <c r="D1364" s="35">
        <v>44105</v>
      </c>
      <c r="E1364" s="36">
        <v>18384.71</v>
      </c>
      <c r="F1364" s="5" t="s">
        <v>379</v>
      </c>
    </row>
    <row r="1365" spans="1:6">
      <c r="A1365" s="4">
        <f t="shared" si="21"/>
        <v>1364</v>
      </c>
      <c r="B1365" s="4" t="s">
        <v>381</v>
      </c>
      <c r="C1365" s="5" t="s">
        <v>368</v>
      </c>
      <c r="D1365" s="35">
        <v>44105</v>
      </c>
      <c r="E1365" s="36">
        <v>1572</v>
      </c>
      <c r="F1365" s="5" t="s">
        <v>379</v>
      </c>
    </row>
    <row r="1366" spans="1:6">
      <c r="A1366" s="4">
        <f t="shared" si="21"/>
        <v>1365</v>
      </c>
      <c r="B1366" s="4" t="s">
        <v>382</v>
      </c>
      <c r="C1366" s="5" t="s">
        <v>362</v>
      </c>
      <c r="D1366" s="35">
        <v>44105</v>
      </c>
      <c r="E1366" s="36">
        <v>7944.4</v>
      </c>
      <c r="F1366" s="5" t="s">
        <v>379</v>
      </c>
    </row>
    <row r="1367" spans="1:6">
      <c r="A1367" s="4">
        <f t="shared" si="21"/>
        <v>1366</v>
      </c>
      <c r="B1367" s="4" t="s">
        <v>382</v>
      </c>
      <c r="C1367" s="5" t="s">
        <v>358</v>
      </c>
      <c r="D1367" s="35">
        <v>44105</v>
      </c>
      <c r="E1367" s="36">
        <v>7719.64</v>
      </c>
      <c r="F1367" s="5" t="s">
        <v>379</v>
      </c>
    </row>
    <row r="1368" spans="1:6">
      <c r="A1368" s="4">
        <f t="shared" si="21"/>
        <v>1367</v>
      </c>
      <c r="B1368" s="4" t="s">
        <v>381</v>
      </c>
      <c r="C1368" s="5" t="s">
        <v>362</v>
      </c>
      <c r="D1368" s="35">
        <v>44075</v>
      </c>
      <c r="E1368" s="36">
        <v>16251.15</v>
      </c>
      <c r="F1368" s="5" t="s">
        <v>379</v>
      </c>
    </row>
    <row r="1369" spans="1:6">
      <c r="A1369" s="4">
        <f t="shared" si="21"/>
        <v>1368</v>
      </c>
      <c r="B1369" s="4" t="s">
        <v>381</v>
      </c>
      <c r="C1369" s="5" t="s">
        <v>357</v>
      </c>
      <c r="D1369" s="35">
        <v>44075</v>
      </c>
      <c r="E1369" s="36">
        <v>2160</v>
      </c>
      <c r="F1369" s="5" t="s">
        <v>379</v>
      </c>
    </row>
    <row r="1370" spans="1:6">
      <c r="A1370" s="4">
        <f t="shared" si="21"/>
        <v>1369</v>
      </c>
      <c r="B1370" s="4" t="s">
        <v>381</v>
      </c>
      <c r="C1370" s="5" t="s">
        <v>356</v>
      </c>
      <c r="D1370" s="35">
        <v>44075</v>
      </c>
      <c r="E1370" s="36">
        <v>1199.8</v>
      </c>
      <c r="F1370" s="5" t="s">
        <v>379</v>
      </c>
    </row>
    <row r="1371" spans="1:6">
      <c r="A1371" s="4">
        <f t="shared" si="21"/>
        <v>1370</v>
      </c>
      <c r="B1371" s="4" t="s">
        <v>381</v>
      </c>
      <c r="C1371" s="5" t="s">
        <v>366</v>
      </c>
      <c r="D1371" s="35">
        <v>44075</v>
      </c>
      <c r="E1371" s="36">
        <v>2320.7799999999997</v>
      </c>
      <c r="F1371" s="5" t="s">
        <v>379</v>
      </c>
    </row>
    <row r="1372" spans="1:6">
      <c r="A1372" s="4">
        <f t="shared" si="21"/>
        <v>1371</v>
      </c>
      <c r="B1372" s="4" t="s">
        <v>381</v>
      </c>
      <c r="C1372" s="5" t="s">
        <v>358</v>
      </c>
      <c r="D1372" s="35">
        <v>44075</v>
      </c>
      <c r="E1372" s="36">
        <v>10871.400000000001</v>
      </c>
      <c r="F1372" s="5" t="s">
        <v>379</v>
      </c>
    </row>
    <row r="1373" spans="1:6">
      <c r="A1373" s="4">
        <f t="shared" si="21"/>
        <v>1372</v>
      </c>
      <c r="B1373" s="4" t="s">
        <v>381</v>
      </c>
      <c r="C1373" s="5" t="s">
        <v>365</v>
      </c>
      <c r="D1373" s="35">
        <v>44075</v>
      </c>
      <c r="E1373" s="36">
        <v>576</v>
      </c>
      <c r="F1373" s="5" t="s">
        <v>379</v>
      </c>
    </row>
    <row r="1374" spans="1:6">
      <c r="A1374" s="4">
        <f t="shared" si="21"/>
        <v>1373</v>
      </c>
      <c r="B1374" s="4" t="s">
        <v>382</v>
      </c>
      <c r="C1374" s="5" t="s">
        <v>362</v>
      </c>
      <c r="D1374" s="35">
        <v>44075</v>
      </c>
      <c r="E1374" s="36">
        <v>5487</v>
      </c>
      <c r="F1374" s="5" t="s">
        <v>379</v>
      </c>
    </row>
    <row r="1375" spans="1:6">
      <c r="A1375" s="4">
        <f t="shared" si="21"/>
        <v>1374</v>
      </c>
      <c r="B1375" s="4" t="s">
        <v>382</v>
      </c>
      <c r="C1375" s="5" t="s">
        <v>366</v>
      </c>
      <c r="D1375" s="35">
        <v>44075</v>
      </c>
      <c r="E1375" s="36">
        <v>1608.2</v>
      </c>
      <c r="F1375" s="5" t="s">
        <v>379</v>
      </c>
    </row>
    <row r="1376" spans="1:6">
      <c r="A1376" s="4">
        <f t="shared" si="21"/>
        <v>1375</v>
      </c>
      <c r="B1376" s="4" t="s">
        <v>382</v>
      </c>
      <c r="C1376" s="5" t="s">
        <v>358</v>
      </c>
      <c r="D1376" s="35">
        <v>44075</v>
      </c>
      <c r="E1376" s="36">
        <v>5553.84</v>
      </c>
      <c r="F1376" s="5" t="s">
        <v>379</v>
      </c>
    </row>
    <row r="1377" spans="1:6">
      <c r="A1377" s="4">
        <f t="shared" si="21"/>
        <v>1376</v>
      </c>
      <c r="B1377" s="4" t="s">
        <v>382</v>
      </c>
      <c r="C1377" s="5" t="s">
        <v>369</v>
      </c>
      <c r="D1377" s="35">
        <v>44075</v>
      </c>
      <c r="E1377" s="36">
        <v>780</v>
      </c>
      <c r="F1377" s="5" t="s">
        <v>379</v>
      </c>
    </row>
    <row r="1378" spans="1:6">
      <c r="A1378" s="4">
        <f t="shared" si="21"/>
        <v>1377</v>
      </c>
      <c r="B1378" s="4" t="s">
        <v>381</v>
      </c>
      <c r="C1378" s="5" t="s">
        <v>362</v>
      </c>
      <c r="D1378" s="35">
        <v>44044</v>
      </c>
      <c r="E1378" s="36">
        <v>15331.84</v>
      </c>
      <c r="F1378" s="5" t="s">
        <v>379</v>
      </c>
    </row>
    <row r="1379" spans="1:6">
      <c r="A1379" s="4">
        <f t="shared" si="21"/>
        <v>1378</v>
      </c>
      <c r="B1379" s="4" t="s">
        <v>381</v>
      </c>
      <c r="C1379" s="5" t="s">
        <v>357</v>
      </c>
      <c r="D1379" s="35">
        <v>44044</v>
      </c>
      <c r="E1379" s="36">
        <v>6120</v>
      </c>
      <c r="F1379" s="5" t="s">
        <v>379</v>
      </c>
    </row>
    <row r="1380" spans="1:6">
      <c r="A1380" s="4">
        <f t="shared" si="21"/>
        <v>1379</v>
      </c>
      <c r="B1380" s="4" t="s">
        <v>381</v>
      </c>
      <c r="C1380" s="5" t="s">
        <v>353</v>
      </c>
      <c r="D1380" s="35">
        <v>44044</v>
      </c>
      <c r="E1380" s="36">
        <v>258</v>
      </c>
      <c r="F1380" s="5" t="s">
        <v>379</v>
      </c>
    </row>
    <row r="1381" spans="1:6">
      <c r="A1381" s="4">
        <f t="shared" si="21"/>
        <v>1380</v>
      </c>
      <c r="B1381" s="4" t="s">
        <v>381</v>
      </c>
      <c r="C1381" s="5" t="s">
        <v>366</v>
      </c>
      <c r="D1381" s="35">
        <v>44044</v>
      </c>
      <c r="E1381" s="36">
        <v>6913.8</v>
      </c>
      <c r="F1381" s="5" t="s">
        <v>379</v>
      </c>
    </row>
    <row r="1382" spans="1:6">
      <c r="A1382" s="4">
        <f t="shared" si="21"/>
        <v>1381</v>
      </c>
      <c r="B1382" s="4" t="s">
        <v>381</v>
      </c>
      <c r="C1382" s="5" t="s">
        <v>358</v>
      </c>
      <c r="D1382" s="35">
        <v>44044</v>
      </c>
      <c r="E1382" s="36">
        <v>12685.2</v>
      </c>
      <c r="F1382" s="5" t="s">
        <v>379</v>
      </c>
    </row>
    <row r="1383" spans="1:6">
      <c r="A1383" s="4">
        <f t="shared" si="21"/>
        <v>1382</v>
      </c>
      <c r="B1383" s="4" t="s">
        <v>382</v>
      </c>
      <c r="C1383" s="5" t="s">
        <v>362</v>
      </c>
      <c r="D1383" s="35">
        <v>44044</v>
      </c>
      <c r="E1383" s="36">
        <v>5704</v>
      </c>
      <c r="F1383" s="5" t="s">
        <v>379</v>
      </c>
    </row>
    <row r="1384" spans="1:6">
      <c r="A1384" s="4">
        <f t="shared" si="21"/>
        <v>1383</v>
      </c>
      <c r="B1384" s="4" t="s">
        <v>382</v>
      </c>
      <c r="C1384" s="5" t="s">
        <v>358</v>
      </c>
      <c r="D1384" s="35">
        <v>44044</v>
      </c>
      <c r="E1384" s="36">
        <v>2923.29</v>
      </c>
      <c r="F1384" s="5" t="s">
        <v>379</v>
      </c>
    </row>
    <row r="1385" spans="1:6">
      <c r="A1385" s="4">
        <f t="shared" si="21"/>
        <v>1384</v>
      </c>
      <c r="B1385" s="4" t="s">
        <v>381</v>
      </c>
      <c r="C1385" s="5" t="s">
        <v>362</v>
      </c>
      <c r="D1385" s="35">
        <v>44013</v>
      </c>
      <c r="E1385" s="36">
        <v>925</v>
      </c>
      <c r="F1385" s="5" t="s">
        <v>379</v>
      </c>
    </row>
    <row r="1386" spans="1:6">
      <c r="A1386" s="4">
        <f t="shared" si="21"/>
        <v>1385</v>
      </c>
      <c r="B1386" s="4" t="s">
        <v>381</v>
      </c>
      <c r="C1386" s="5" t="s">
        <v>357</v>
      </c>
      <c r="D1386" s="35">
        <v>44013</v>
      </c>
      <c r="E1386" s="36">
        <v>3320</v>
      </c>
      <c r="F1386" s="5" t="s">
        <v>379</v>
      </c>
    </row>
    <row r="1387" spans="1:6">
      <c r="A1387" s="4">
        <f t="shared" si="21"/>
        <v>1386</v>
      </c>
      <c r="B1387" s="4" t="s">
        <v>381</v>
      </c>
      <c r="C1387" s="5" t="s">
        <v>356</v>
      </c>
      <c r="D1387" s="35">
        <v>44013</v>
      </c>
      <c r="E1387" s="36">
        <v>190.8</v>
      </c>
      <c r="F1387" s="5" t="s">
        <v>379</v>
      </c>
    </row>
    <row r="1388" spans="1:6">
      <c r="A1388" s="4">
        <f t="shared" si="21"/>
        <v>1387</v>
      </c>
      <c r="B1388" s="4" t="s">
        <v>381</v>
      </c>
      <c r="C1388" s="5" t="s">
        <v>353</v>
      </c>
      <c r="D1388" s="35">
        <v>44013</v>
      </c>
      <c r="E1388" s="36">
        <v>192</v>
      </c>
      <c r="F1388" s="5" t="s">
        <v>379</v>
      </c>
    </row>
    <row r="1389" spans="1:6">
      <c r="A1389" s="4">
        <f t="shared" si="21"/>
        <v>1388</v>
      </c>
      <c r="B1389" s="4" t="s">
        <v>381</v>
      </c>
      <c r="C1389" s="5" t="s">
        <v>366</v>
      </c>
      <c r="D1389" s="35">
        <v>44013</v>
      </c>
      <c r="E1389" s="36">
        <v>2178</v>
      </c>
      <c r="F1389" s="5" t="s">
        <v>379</v>
      </c>
    </row>
    <row r="1390" spans="1:6">
      <c r="A1390" s="4">
        <f t="shared" si="21"/>
        <v>1389</v>
      </c>
      <c r="B1390" s="4" t="s">
        <v>381</v>
      </c>
      <c r="C1390" s="5" t="s">
        <v>358</v>
      </c>
      <c r="D1390" s="35">
        <v>44013</v>
      </c>
      <c r="E1390" s="36">
        <v>744</v>
      </c>
      <c r="F1390" s="5" t="s">
        <v>379</v>
      </c>
    </row>
    <row r="1391" spans="1:6">
      <c r="A1391" s="4">
        <f t="shared" si="21"/>
        <v>1390</v>
      </c>
      <c r="B1391" s="4" t="s">
        <v>382</v>
      </c>
      <c r="C1391" s="5" t="s">
        <v>362</v>
      </c>
      <c r="D1391" s="35">
        <v>44013</v>
      </c>
      <c r="E1391" s="36">
        <v>5808</v>
      </c>
      <c r="F1391" s="5" t="s">
        <v>379</v>
      </c>
    </row>
    <row r="1392" spans="1:6">
      <c r="A1392" s="4">
        <f t="shared" si="21"/>
        <v>1391</v>
      </c>
      <c r="B1392" s="4" t="s">
        <v>382</v>
      </c>
      <c r="C1392" s="5" t="s">
        <v>354</v>
      </c>
      <c r="D1392" s="35">
        <v>44013</v>
      </c>
      <c r="E1392" s="36">
        <v>1048</v>
      </c>
      <c r="F1392" s="5" t="s">
        <v>379</v>
      </c>
    </row>
    <row r="1393" spans="1:6">
      <c r="A1393" s="4">
        <f t="shared" si="21"/>
        <v>1392</v>
      </c>
      <c r="B1393" s="4" t="s">
        <v>382</v>
      </c>
      <c r="C1393" s="5" t="s">
        <v>366</v>
      </c>
      <c r="D1393" s="35">
        <v>44013</v>
      </c>
      <c r="E1393" s="36">
        <v>705</v>
      </c>
      <c r="F1393" s="5" t="s">
        <v>379</v>
      </c>
    </row>
    <row r="1394" spans="1:6">
      <c r="A1394" s="4">
        <f t="shared" si="21"/>
        <v>1393</v>
      </c>
      <c r="B1394" s="4" t="s">
        <v>381</v>
      </c>
      <c r="C1394" s="5" t="s">
        <v>353</v>
      </c>
      <c r="D1394" s="35">
        <v>43983</v>
      </c>
      <c r="E1394" s="36">
        <v>192</v>
      </c>
      <c r="F1394" s="5" t="s">
        <v>379</v>
      </c>
    </row>
    <row r="1395" spans="1:6">
      <c r="A1395" s="4">
        <f t="shared" si="21"/>
        <v>1394</v>
      </c>
      <c r="B1395" s="4" t="s">
        <v>381</v>
      </c>
      <c r="C1395" s="5" t="s">
        <v>366</v>
      </c>
      <c r="D1395" s="35">
        <v>43983</v>
      </c>
      <c r="E1395" s="36">
        <v>5992.5</v>
      </c>
      <c r="F1395" s="5" t="s">
        <v>379</v>
      </c>
    </row>
    <row r="1396" spans="1:6">
      <c r="A1396" s="4">
        <f t="shared" si="21"/>
        <v>1395</v>
      </c>
      <c r="B1396" s="4" t="s">
        <v>382</v>
      </c>
      <c r="C1396" s="5" t="s">
        <v>362</v>
      </c>
      <c r="D1396" s="35">
        <v>43983</v>
      </c>
      <c r="E1396" s="36">
        <v>4752</v>
      </c>
      <c r="F1396" s="5" t="s">
        <v>379</v>
      </c>
    </row>
    <row r="1397" spans="1:6">
      <c r="A1397" s="4">
        <f t="shared" si="21"/>
        <v>1396</v>
      </c>
      <c r="B1397" s="4" t="s">
        <v>381</v>
      </c>
      <c r="C1397" s="5" t="s">
        <v>366</v>
      </c>
      <c r="D1397" s="35">
        <v>43952</v>
      </c>
      <c r="E1397" s="36">
        <v>4725</v>
      </c>
      <c r="F1397" s="5" t="s">
        <v>379</v>
      </c>
    </row>
    <row r="1398" spans="1:6">
      <c r="A1398" s="4">
        <f t="shared" si="21"/>
        <v>1397</v>
      </c>
      <c r="B1398" s="4" t="s">
        <v>382</v>
      </c>
      <c r="C1398" s="5" t="s">
        <v>362</v>
      </c>
      <c r="D1398" s="35">
        <v>43952</v>
      </c>
      <c r="E1398" s="36">
        <v>5280</v>
      </c>
      <c r="F1398" s="5" t="s">
        <v>379</v>
      </c>
    </row>
    <row r="1399" spans="1:6">
      <c r="A1399" s="4">
        <f t="shared" si="21"/>
        <v>1398</v>
      </c>
      <c r="B1399" s="4" t="s">
        <v>382</v>
      </c>
      <c r="C1399" s="5" t="s">
        <v>357</v>
      </c>
      <c r="D1399" s="35">
        <v>43952</v>
      </c>
      <c r="E1399" s="36">
        <v>1376</v>
      </c>
      <c r="F1399" s="5" t="s">
        <v>379</v>
      </c>
    </row>
    <row r="1400" spans="1:6">
      <c r="A1400" s="4">
        <f t="shared" si="21"/>
        <v>1399</v>
      </c>
      <c r="B1400" s="4" t="s">
        <v>381</v>
      </c>
      <c r="C1400" s="5" t="s">
        <v>362</v>
      </c>
      <c r="D1400" s="35">
        <v>43922</v>
      </c>
      <c r="E1400" s="36">
        <v>2306.4</v>
      </c>
      <c r="F1400" s="5" t="s">
        <v>379</v>
      </c>
    </row>
    <row r="1401" spans="1:6">
      <c r="A1401" s="4">
        <f t="shared" si="21"/>
        <v>1400</v>
      </c>
      <c r="B1401" s="4" t="s">
        <v>381</v>
      </c>
      <c r="C1401" s="5" t="s">
        <v>366</v>
      </c>
      <c r="D1401" s="35">
        <v>43922</v>
      </c>
      <c r="E1401" s="36">
        <v>14061.759999999998</v>
      </c>
      <c r="F1401" s="5" t="s">
        <v>379</v>
      </c>
    </row>
    <row r="1402" spans="1:6">
      <c r="A1402" s="4">
        <f t="shared" si="21"/>
        <v>1401</v>
      </c>
      <c r="B1402" s="4" t="s">
        <v>381</v>
      </c>
      <c r="C1402" s="5" t="s">
        <v>358</v>
      </c>
      <c r="D1402" s="35">
        <v>43922</v>
      </c>
      <c r="E1402" s="36">
        <v>1182</v>
      </c>
      <c r="F1402" s="5" t="s">
        <v>379</v>
      </c>
    </row>
    <row r="1403" spans="1:6">
      <c r="A1403" s="4">
        <f t="shared" si="21"/>
        <v>1402</v>
      </c>
      <c r="B1403" s="4" t="s">
        <v>382</v>
      </c>
      <c r="C1403" s="5" t="s">
        <v>362</v>
      </c>
      <c r="D1403" s="35">
        <v>43922</v>
      </c>
      <c r="E1403" s="36">
        <v>5808</v>
      </c>
      <c r="F1403" s="5" t="s">
        <v>379</v>
      </c>
    </row>
    <row r="1404" spans="1:6">
      <c r="A1404" s="4">
        <f t="shared" si="21"/>
        <v>1403</v>
      </c>
      <c r="B1404" s="4" t="s">
        <v>381</v>
      </c>
      <c r="C1404" s="5" t="s">
        <v>362</v>
      </c>
      <c r="D1404" s="35">
        <v>43891</v>
      </c>
      <c r="E1404" s="36">
        <v>3379.74</v>
      </c>
      <c r="F1404" s="5" t="s">
        <v>379</v>
      </c>
    </row>
    <row r="1405" spans="1:6">
      <c r="A1405" s="4">
        <f t="shared" si="21"/>
        <v>1404</v>
      </c>
      <c r="B1405" s="4" t="s">
        <v>381</v>
      </c>
      <c r="C1405" s="5" t="s">
        <v>357</v>
      </c>
      <c r="D1405" s="35">
        <v>43891</v>
      </c>
      <c r="E1405" s="36">
        <v>808</v>
      </c>
      <c r="F1405" s="5" t="s">
        <v>379</v>
      </c>
    </row>
    <row r="1406" spans="1:6">
      <c r="A1406" s="4">
        <f t="shared" si="21"/>
        <v>1405</v>
      </c>
      <c r="B1406" s="4" t="s">
        <v>381</v>
      </c>
      <c r="C1406" s="5" t="s">
        <v>358</v>
      </c>
      <c r="D1406" s="35">
        <v>43891</v>
      </c>
      <c r="E1406" s="36">
        <v>2576.5100000000002</v>
      </c>
      <c r="F1406" s="5" t="s">
        <v>379</v>
      </c>
    </row>
    <row r="1407" spans="1:6">
      <c r="A1407" s="4">
        <f t="shared" si="21"/>
        <v>1406</v>
      </c>
      <c r="B1407" s="4" t="s">
        <v>382</v>
      </c>
      <c r="C1407" s="5" t="s">
        <v>362</v>
      </c>
      <c r="D1407" s="35">
        <v>43891</v>
      </c>
      <c r="E1407" s="36">
        <v>5280</v>
      </c>
      <c r="F1407" s="5" t="s">
        <v>379</v>
      </c>
    </row>
    <row r="1408" spans="1:6">
      <c r="A1408" s="4">
        <f t="shared" si="21"/>
        <v>1407</v>
      </c>
      <c r="B1408" s="4" t="s">
        <v>382</v>
      </c>
      <c r="C1408" s="5" t="s">
        <v>362</v>
      </c>
      <c r="D1408" s="35">
        <v>43862</v>
      </c>
      <c r="E1408" s="36">
        <v>5016</v>
      </c>
      <c r="F1408" s="5" t="s">
        <v>379</v>
      </c>
    </row>
    <row r="1409" spans="1:6">
      <c r="A1409" s="4">
        <f t="shared" si="21"/>
        <v>1408</v>
      </c>
      <c r="B1409" s="4" t="s">
        <v>382</v>
      </c>
      <c r="C1409" s="5" t="s">
        <v>362</v>
      </c>
      <c r="D1409" s="35">
        <v>43831</v>
      </c>
      <c r="E1409" s="36">
        <v>3696</v>
      </c>
      <c r="F1409" s="5" t="s">
        <v>379</v>
      </c>
    </row>
  </sheetData>
  <autoFilter ref="A1:F1409" xr:uid="{00000000-0001-0000-0700-000000000000}"/>
  <phoneticPr fontId="11"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J26"/>
  <sheetViews>
    <sheetView workbookViewId="0">
      <pane ySplit="1" topLeftCell="A2" activePane="bottomLeft" state="frozen"/>
      <selection pane="bottomLeft" activeCell="H12" sqref="H12"/>
    </sheetView>
  </sheetViews>
  <sheetFormatPr defaultRowHeight="16.5"/>
  <cols>
    <col min="1" max="1" width="5" bestFit="1" customWidth="1"/>
    <col min="2" max="2" width="19.25" bestFit="1" customWidth="1"/>
    <col min="3" max="4" width="16" customWidth="1"/>
    <col min="5" max="5" width="7.5" customWidth="1"/>
    <col min="6" max="7" width="31.75" bestFit="1" customWidth="1"/>
    <col min="8" max="8" width="16" customWidth="1"/>
    <col min="9" max="9" width="25.125" bestFit="1" customWidth="1"/>
    <col min="10" max="10" width="16" customWidth="1"/>
  </cols>
  <sheetData>
    <row r="1" spans="1:10" ht="26.1" customHeight="1">
      <c r="A1" s="3" t="s">
        <v>62</v>
      </c>
      <c r="B1" s="3" t="s">
        <v>98</v>
      </c>
      <c r="C1" s="3" t="s">
        <v>118</v>
      </c>
      <c r="D1" s="3" t="s">
        <v>99</v>
      </c>
      <c r="E1" s="3" t="s">
        <v>100</v>
      </c>
      <c r="F1" s="3" t="s">
        <v>119</v>
      </c>
      <c r="G1" s="3" t="s">
        <v>2848</v>
      </c>
      <c r="H1" s="3" t="s">
        <v>37</v>
      </c>
      <c r="I1" s="3" t="s">
        <v>101</v>
      </c>
      <c r="J1" s="3" t="s">
        <v>102</v>
      </c>
    </row>
    <row r="2" spans="1:10">
      <c r="A2" s="4">
        <f>ROW()-1</f>
        <v>1</v>
      </c>
      <c r="B2" s="4" t="s">
        <v>388</v>
      </c>
      <c r="C2" s="4" t="s">
        <v>389</v>
      </c>
      <c r="D2" s="4" t="s">
        <v>390</v>
      </c>
      <c r="E2" s="4" t="s">
        <v>391</v>
      </c>
      <c r="F2" s="4"/>
      <c r="G2" s="4"/>
      <c r="H2" s="4"/>
      <c r="I2" s="4"/>
      <c r="J2" s="4" t="s">
        <v>392</v>
      </c>
    </row>
    <row r="3" spans="1:10">
      <c r="A3" s="4">
        <f t="shared" ref="A3:A26" si="0">ROW()-1</f>
        <v>2</v>
      </c>
      <c r="B3" s="4" t="s">
        <v>393</v>
      </c>
      <c r="C3" s="4" t="s">
        <v>389</v>
      </c>
      <c r="D3" s="4" t="s">
        <v>390</v>
      </c>
      <c r="E3" s="4" t="s">
        <v>391</v>
      </c>
      <c r="F3" s="4" t="s">
        <v>2840</v>
      </c>
      <c r="G3" s="4" t="s">
        <v>394</v>
      </c>
      <c r="H3" s="4"/>
      <c r="I3" s="4" t="s">
        <v>395</v>
      </c>
      <c r="J3" s="4">
        <f>COUNTIFS(인력운영_세부내역!$J$2:$J$1500,인력운영_현황!$B3,인력운영_세부내역!$G$2:$G$1500,"&lt;&gt;완료",인력운영_세부내역!$G$2:$G$1500,"&lt;&gt;NA")</f>
        <v>9</v>
      </c>
    </row>
    <row r="4" spans="1:10">
      <c r="A4" s="4">
        <f t="shared" si="0"/>
        <v>3</v>
      </c>
      <c r="B4" s="4" t="s">
        <v>143</v>
      </c>
      <c r="C4" s="4" t="s">
        <v>389</v>
      </c>
      <c r="D4" s="4" t="s">
        <v>390</v>
      </c>
      <c r="E4" s="4" t="s">
        <v>391</v>
      </c>
      <c r="F4" s="4" t="s">
        <v>2841</v>
      </c>
      <c r="G4" s="4" t="s">
        <v>396</v>
      </c>
      <c r="H4" s="4" t="s">
        <v>397</v>
      </c>
      <c r="I4" s="4" t="s">
        <v>398</v>
      </c>
      <c r="J4" s="4">
        <f>COUNTIFS(인력운영_세부내역!$J$2:$J$1500,인력운영_현황!$B4,인력운영_세부내역!$G$2:$G$1500,"&lt;&gt;완료",인력운영_세부내역!$G$2:$G$1500,"&lt;&gt;NA")</f>
        <v>38</v>
      </c>
    </row>
    <row r="5" spans="1:10">
      <c r="A5" s="4">
        <f t="shared" si="0"/>
        <v>4</v>
      </c>
      <c r="B5" s="4" t="s">
        <v>399</v>
      </c>
      <c r="C5" s="4" t="s">
        <v>389</v>
      </c>
      <c r="D5" s="4" t="s">
        <v>390</v>
      </c>
      <c r="E5" s="4" t="s">
        <v>391</v>
      </c>
      <c r="F5" s="4" t="s">
        <v>2842</v>
      </c>
      <c r="G5" s="4" t="s">
        <v>400</v>
      </c>
      <c r="H5" s="4"/>
      <c r="I5" s="4" t="s">
        <v>401</v>
      </c>
      <c r="J5" s="4">
        <f>COUNTIFS(인력운영_세부내역!$J$2:$J$1500,인력운영_현황!$B5,인력운영_세부내역!$G$2:$G$1500,"&lt;&gt;완료",인력운영_세부내역!$G$2:$G$1500,"&lt;&gt;NA")</f>
        <v>46</v>
      </c>
    </row>
    <row r="6" spans="1:10">
      <c r="A6" s="4">
        <f t="shared" si="0"/>
        <v>5</v>
      </c>
      <c r="B6" s="4" t="s">
        <v>128</v>
      </c>
      <c r="C6" s="4" t="s">
        <v>389</v>
      </c>
      <c r="D6" s="4" t="s">
        <v>390</v>
      </c>
      <c r="E6" s="4" t="s">
        <v>391</v>
      </c>
      <c r="F6" s="4" t="s">
        <v>2840</v>
      </c>
      <c r="G6" s="4" t="s">
        <v>2846</v>
      </c>
      <c r="H6" s="4" t="s">
        <v>125</v>
      </c>
      <c r="I6" s="4" t="s">
        <v>402</v>
      </c>
      <c r="J6" s="4">
        <f>COUNTIFS(인력운영_세부내역!$J$2:$J$1500,인력운영_현황!$B6,인력운영_세부내역!$G$2:$G$1500,"&lt;&gt;완료",인력운영_세부내역!$G$2:$G$1500,"&lt;&gt;NA")</f>
        <v>25</v>
      </c>
    </row>
    <row r="7" spans="1:10">
      <c r="A7" s="4">
        <f t="shared" si="0"/>
        <v>6</v>
      </c>
      <c r="B7" s="4" t="s">
        <v>159</v>
      </c>
      <c r="C7" s="4" t="s">
        <v>389</v>
      </c>
      <c r="D7" s="4" t="s">
        <v>390</v>
      </c>
      <c r="E7" s="4" t="s">
        <v>391</v>
      </c>
      <c r="F7" s="4" t="s">
        <v>2843</v>
      </c>
      <c r="G7" s="4" t="s">
        <v>403</v>
      </c>
      <c r="H7" s="4" t="s">
        <v>155</v>
      </c>
      <c r="I7" s="4" t="s">
        <v>404</v>
      </c>
      <c r="J7" s="4">
        <f>COUNTIFS(인력운영_세부내역!$J$2:$J$1500,인력운영_현황!$B7,인력운영_세부내역!$G$2:$G$1500,"&lt;&gt;완료",인력운영_세부내역!$G$2:$G$1500,"&lt;&gt;NA")</f>
        <v>9</v>
      </c>
    </row>
    <row r="8" spans="1:10">
      <c r="A8" s="4">
        <f t="shared" si="0"/>
        <v>7</v>
      </c>
      <c r="B8" s="4" t="s">
        <v>405</v>
      </c>
      <c r="C8" s="4" t="s">
        <v>389</v>
      </c>
      <c r="D8" s="4" t="s">
        <v>390</v>
      </c>
      <c r="E8" s="4" t="s">
        <v>406</v>
      </c>
      <c r="F8" s="4" t="s">
        <v>2843</v>
      </c>
      <c r="G8" s="4" t="s">
        <v>403</v>
      </c>
      <c r="H8" s="4"/>
      <c r="I8" s="4" t="s">
        <v>407</v>
      </c>
      <c r="J8" s="4">
        <f>COUNTIFS(인력운영_세부내역!$J$2:$J$1500,인력운영_현황!$B8,인력운영_세부내역!$G$2:$G$1500,"&lt;&gt;완료",인력운영_세부내역!$G$2:$G$1500,"&lt;&gt;NA")</f>
        <v>16</v>
      </c>
    </row>
    <row r="9" spans="1:10">
      <c r="A9" s="4">
        <f t="shared" si="0"/>
        <v>8</v>
      </c>
      <c r="B9" s="4" t="s">
        <v>164</v>
      </c>
      <c r="C9" s="4" t="s">
        <v>389</v>
      </c>
      <c r="D9" s="4" t="s">
        <v>390</v>
      </c>
      <c r="E9" s="4" t="s">
        <v>406</v>
      </c>
      <c r="F9" s="4" t="s">
        <v>2844</v>
      </c>
      <c r="G9" s="4" t="s">
        <v>2846</v>
      </c>
      <c r="H9" s="4" t="s">
        <v>408</v>
      </c>
      <c r="I9" s="4" t="s">
        <v>409</v>
      </c>
      <c r="J9" s="4">
        <f>COUNTIFS(인력운영_세부내역!$J$2:$J$1500,인력운영_현황!$B9,인력운영_세부내역!$G$2:$G$1500,"&lt;&gt;완료",인력운영_세부내역!$G$2:$G$1500,"&lt;&gt;NA")</f>
        <v>39</v>
      </c>
    </row>
    <row r="10" spans="1:10">
      <c r="A10" s="4">
        <f t="shared" si="0"/>
        <v>9</v>
      </c>
      <c r="B10" s="4" t="s">
        <v>138</v>
      </c>
      <c r="C10" s="4" t="s">
        <v>389</v>
      </c>
      <c r="D10" s="4" t="s">
        <v>390</v>
      </c>
      <c r="E10" s="4" t="s">
        <v>406</v>
      </c>
      <c r="F10" s="4" t="s">
        <v>2841</v>
      </c>
      <c r="G10" s="4" t="s">
        <v>396</v>
      </c>
      <c r="H10" s="4" t="s">
        <v>134</v>
      </c>
      <c r="I10" s="4" t="s">
        <v>410</v>
      </c>
      <c r="J10" s="4">
        <f>COUNTIFS(인력운영_세부내역!$J$2:$J$1500,인력운영_현황!$B10,인력운영_세부내역!$G$2:$G$1500,"&lt;&gt;완료",인력운영_세부내역!$G$2:$G$1500,"&lt;&gt;NA")</f>
        <v>21</v>
      </c>
    </row>
    <row r="11" spans="1:10">
      <c r="A11" s="4">
        <f t="shared" si="0"/>
        <v>10</v>
      </c>
      <c r="B11" s="4" t="s">
        <v>154</v>
      </c>
      <c r="C11" s="4" t="s">
        <v>389</v>
      </c>
      <c r="D11" s="4" t="s">
        <v>390</v>
      </c>
      <c r="E11" s="4" t="s">
        <v>406</v>
      </c>
      <c r="F11" s="4" t="s">
        <v>2841</v>
      </c>
      <c r="G11" s="4" t="s">
        <v>396</v>
      </c>
      <c r="H11" s="4" t="s">
        <v>152</v>
      </c>
      <c r="I11" s="4" t="s">
        <v>152</v>
      </c>
      <c r="J11" s="4">
        <f>COUNTIFS(인력운영_세부내역!$J$2:$J$1500,인력운영_현황!$B11,인력운영_세부내역!$G$2:$G$1500,"&lt;&gt;완료",인력운영_세부내역!$G$2:$G$1500,"&lt;&gt;NA")</f>
        <v>17</v>
      </c>
    </row>
    <row r="12" spans="1:10">
      <c r="A12" s="4">
        <f t="shared" si="0"/>
        <v>11</v>
      </c>
      <c r="B12" s="4" t="s">
        <v>411</v>
      </c>
      <c r="C12" s="4" t="s">
        <v>389</v>
      </c>
      <c r="D12" s="4" t="s">
        <v>390</v>
      </c>
      <c r="E12" s="4" t="s">
        <v>412</v>
      </c>
      <c r="F12" s="4" t="s">
        <v>2840</v>
      </c>
      <c r="G12" s="4" t="s">
        <v>394</v>
      </c>
      <c r="H12" s="4"/>
      <c r="I12" s="4" t="s">
        <v>413</v>
      </c>
      <c r="J12" s="4">
        <f>COUNTIFS(인력운영_세부내역!$J$2:$J$1500,인력운영_현황!$B12,인력운영_세부내역!$G$2:$G$1500,"&lt;&gt;완료",인력운영_세부내역!$G$2:$G$1500,"&lt;&gt;NA")</f>
        <v>53</v>
      </c>
    </row>
    <row r="13" spans="1:10">
      <c r="A13" s="4">
        <f t="shared" si="0"/>
        <v>12</v>
      </c>
      <c r="B13" s="4" t="s">
        <v>414</v>
      </c>
      <c r="C13" s="4" t="s">
        <v>389</v>
      </c>
      <c r="D13" s="4" t="s">
        <v>390</v>
      </c>
      <c r="E13" s="4" t="s">
        <v>415</v>
      </c>
      <c r="F13" s="4" t="s">
        <v>2845</v>
      </c>
      <c r="G13" s="4" t="s">
        <v>2847</v>
      </c>
      <c r="H13" s="4"/>
      <c r="I13" s="4" t="s">
        <v>416</v>
      </c>
      <c r="J13" s="4">
        <f>COUNTIFS(인력운영_세부내역!$J$2:$J$1500,인력운영_현황!$B13,인력운영_세부내역!$G$2:$G$1500,"&lt;&gt;완료",인력운영_세부내역!$G$2:$G$1500,"&lt;&gt;NA")</f>
        <v>19</v>
      </c>
    </row>
    <row r="14" spans="1:10">
      <c r="A14" s="4">
        <f t="shared" si="0"/>
        <v>13</v>
      </c>
      <c r="B14" s="4" t="s">
        <v>417</v>
      </c>
      <c r="C14" s="4" t="s">
        <v>389</v>
      </c>
      <c r="D14" s="4" t="s">
        <v>390</v>
      </c>
      <c r="E14" s="4" t="s">
        <v>415</v>
      </c>
      <c r="F14" s="4" t="s">
        <v>2841</v>
      </c>
      <c r="G14" s="4" t="s">
        <v>396</v>
      </c>
      <c r="H14" s="4"/>
      <c r="I14" s="4" t="s">
        <v>418</v>
      </c>
      <c r="J14" s="4">
        <f>COUNTIFS(인력운영_세부내역!$J$2:$J$1500,인력운영_현황!$B14,인력운영_세부내역!$G$2:$G$1500,"&lt;&gt;완료",인력운영_세부내역!$G$2:$G$1500,"&lt;&gt;NA")</f>
        <v>24</v>
      </c>
    </row>
    <row r="15" spans="1:10">
      <c r="A15" s="4">
        <f t="shared" si="0"/>
        <v>14</v>
      </c>
      <c r="B15" s="4" t="s">
        <v>419</v>
      </c>
      <c r="C15" s="4" t="s">
        <v>389</v>
      </c>
      <c r="D15" s="4" t="s">
        <v>390</v>
      </c>
      <c r="E15" s="4" t="s">
        <v>415</v>
      </c>
      <c r="F15" s="4" t="s">
        <v>2840</v>
      </c>
      <c r="G15" s="4" t="s">
        <v>394</v>
      </c>
      <c r="H15" s="4"/>
      <c r="I15" s="4" t="s">
        <v>160</v>
      </c>
      <c r="J15" s="4">
        <f>COUNTIFS(인력운영_세부내역!$J$2:$J$1500,인력운영_현황!$B15,인력운영_세부내역!$G$2:$G$1500,"&lt;&gt;완료",인력운영_세부내역!$G$2:$G$1500,"&lt;&gt;NA")</f>
        <v>1</v>
      </c>
    </row>
    <row r="16" spans="1:10">
      <c r="A16" s="4">
        <f t="shared" si="0"/>
        <v>15</v>
      </c>
      <c r="B16" s="4" t="s">
        <v>151</v>
      </c>
      <c r="C16" s="4" t="s">
        <v>148</v>
      </c>
      <c r="D16" s="4" t="s">
        <v>420</v>
      </c>
      <c r="E16" s="4" t="s">
        <v>391</v>
      </c>
      <c r="F16" s="4" t="s">
        <v>2843</v>
      </c>
      <c r="G16" s="4"/>
      <c r="H16" s="4" t="s">
        <v>148</v>
      </c>
      <c r="I16" s="4"/>
      <c r="J16" s="4" t="s">
        <v>392</v>
      </c>
    </row>
    <row r="17" spans="1:10">
      <c r="A17" s="4">
        <f t="shared" si="0"/>
        <v>16</v>
      </c>
      <c r="B17" s="4" t="s">
        <v>421</v>
      </c>
      <c r="C17" s="4" t="s">
        <v>148</v>
      </c>
      <c r="D17" s="4" t="s">
        <v>422</v>
      </c>
      <c r="E17" s="4" t="s">
        <v>406</v>
      </c>
      <c r="F17" s="4" t="s">
        <v>2841</v>
      </c>
      <c r="G17" s="4" t="s">
        <v>396</v>
      </c>
      <c r="H17" s="4"/>
      <c r="I17" s="4" t="s">
        <v>423</v>
      </c>
      <c r="J17" s="4">
        <f>COUNTIFS(인력운영_세부내역!$J$2:$J$1500,인력운영_현황!$B17,인력운영_세부내역!$G$2:$G$1500,"&lt;&gt;완료",인력운영_세부내역!$G$2:$G$1500,"&lt;&gt;NA")</f>
        <v>28</v>
      </c>
    </row>
    <row r="18" spans="1:10">
      <c r="A18" s="4">
        <f t="shared" si="0"/>
        <v>17</v>
      </c>
      <c r="B18" s="4" t="s">
        <v>424</v>
      </c>
      <c r="C18" s="4" t="s">
        <v>148</v>
      </c>
      <c r="D18" s="4" t="s">
        <v>420</v>
      </c>
      <c r="E18" s="4" t="s">
        <v>406</v>
      </c>
      <c r="F18" s="4" t="s">
        <v>2843</v>
      </c>
      <c r="G18" s="4" t="s">
        <v>403</v>
      </c>
      <c r="H18" s="4"/>
      <c r="I18" s="4" t="s">
        <v>148</v>
      </c>
      <c r="J18" s="4">
        <f>COUNTIFS(인력운영_세부내역!$J$2:$J$1500,인력운영_현황!$B18,인력운영_세부내역!$G$2:$G$1500,"&lt;&gt;완료",인력운영_세부내역!$G$2:$G$1500,"&lt;&gt;NA")</f>
        <v>8</v>
      </c>
    </row>
    <row r="19" spans="1:10">
      <c r="A19" s="4">
        <f t="shared" si="0"/>
        <v>18</v>
      </c>
      <c r="B19" s="4" t="s">
        <v>425</v>
      </c>
      <c r="C19" s="4" t="s">
        <v>148</v>
      </c>
      <c r="D19" s="4" t="s">
        <v>420</v>
      </c>
      <c r="E19" s="4" t="s">
        <v>426</v>
      </c>
      <c r="F19" s="4" t="s">
        <v>2840</v>
      </c>
      <c r="G19" s="4" t="s">
        <v>394</v>
      </c>
      <c r="H19" s="4"/>
      <c r="I19" s="4" t="s">
        <v>148</v>
      </c>
      <c r="J19" s="4">
        <f>COUNTIFS(인력운영_세부내역!$J$2:$J$1500,인력운영_현황!$B19,인력운영_세부내역!$G$2:$G$1500,"&lt;&gt;완료",인력운영_세부내역!$G$2:$G$1500,"&lt;&gt;NA")</f>
        <v>37</v>
      </c>
    </row>
    <row r="20" spans="1:10">
      <c r="A20" s="4">
        <f t="shared" si="0"/>
        <v>19</v>
      </c>
      <c r="B20" s="4" t="s">
        <v>427</v>
      </c>
      <c r="C20" s="4" t="s">
        <v>152</v>
      </c>
      <c r="D20" s="4" t="s">
        <v>420</v>
      </c>
      <c r="E20" s="4" t="s">
        <v>428</v>
      </c>
      <c r="F20" s="4" t="s">
        <v>2840</v>
      </c>
      <c r="G20" s="4" t="s">
        <v>394</v>
      </c>
      <c r="H20" s="4"/>
      <c r="I20" s="4" t="s">
        <v>152</v>
      </c>
      <c r="J20" s="4">
        <f>COUNTIFS(인력운영_세부내역!$J$2:$J$1500,인력운영_현황!$B20,인력운영_세부내역!$G$2:$G$1500,"&lt;&gt;완료",인력운영_세부내역!$G$2:$G$1500,"&lt;&gt;NA")</f>
        <v>13</v>
      </c>
    </row>
    <row r="21" spans="1:10">
      <c r="A21" s="4">
        <f t="shared" si="0"/>
        <v>20</v>
      </c>
      <c r="B21" s="4" t="s">
        <v>429</v>
      </c>
      <c r="C21" s="4" t="s">
        <v>152</v>
      </c>
      <c r="D21" s="4" t="s">
        <v>420</v>
      </c>
      <c r="E21" s="4" t="s">
        <v>412</v>
      </c>
      <c r="F21" s="4" t="s">
        <v>2841</v>
      </c>
      <c r="G21" s="4" t="s">
        <v>2849</v>
      </c>
      <c r="H21" s="4"/>
      <c r="I21" s="4"/>
      <c r="J21" s="4" t="s">
        <v>392</v>
      </c>
    </row>
    <row r="22" spans="1:10">
      <c r="A22" s="4">
        <f t="shared" si="0"/>
        <v>21</v>
      </c>
      <c r="B22" s="4" t="s">
        <v>430</v>
      </c>
      <c r="C22" s="4" t="s">
        <v>152</v>
      </c>
      <c r="D22" s="4" t="s">
        <v>422</v>
      </c>
      <c r="E22" s="4" t="s">
        <v>431</v>
      </c>
      <c r="F22" s="4" t="s">
        <v>2840</v>
      </c>
      <c r="G22" s="4" t="s">
        <v>394</v>
      </c>
      <c r="H22" s="4"/>
      <c r="I22" s="4" t="s">
        <v>152</v>
      </c>
      <c r="J22" s="4">
        <f>COUNTIFS(인력운영_세부내역!$J$2:$J$1500,인력운영_현황!$B22,인력운영_세부내역!$G$2:$G$1500,"&lt;&gt;완료",인력운영_세부내역!$G$2:$G$1500,"&lt;&gt;NA")</f>
        <v>12</v>
      </c>
    </row>
    <row r="23" spans="1:10">
      <c r="A23" s="4">
        <f t="shared" si="0"/>
        <v>22</v>
      </c>
      <c r="B23" s="4" t="s">
        <v>432</v>
      </c>
      <c r="C23" s="4" t="s">
        <v>134</v>
      </c>
      <c r="D23" s="4" t="s">
        <v>420</v>
      </c>
      <c r="E23" s="4" t="s">
        <v>426</v>
      </c>
      <c r="F23" s="4" t="s">
        <v>2843</v>
      </c>
      <c r="G23" s="4" t="s">
        <v>403</v>
      </c>
      <c r="H23" s="4"/>
      <c r="I23" s="4" t="s">
        <v>385</v>
      </c>
      <c r="J23" s="4">
        <f>COUNTIFS(인력운영_세부내역!$J$2:$J$1500,인력운영_현황!$B23,인력운영_세부내역!$G$2:$G$1500,"&lt;&gt;완료",인력운영_세부내역!$G$2:$G$1500,"&lt;&gt;NA")</f>
        <v>1</v>
      </c>
    </row>
    <row r="24" spans="1:10">
      <c r="A24" s="4">
        <f t="shared" si="0"/>
        <v>23</v>
      </c>
      <c r="B24" s="4" t="s">
        <v>433</v>
      </c>
      <c r="C24" s="4" t="s">
        <v>148</v>
      </c>
      <c r="D24" s="4" t="s">
        <v>422</v>
      </c>
      <c r="E24" s="4" t="s">
        <v>434</v>
      </c>
      <c r="F24" s="4"/>
      <c r="G24" s="4" t="s">
        <v>435</v>
      </c>
      <c r="H24" s="4"/>
      <c r="I24" s="4"/>
      <c r="J24" s="4" t="s">
        <v>392</v>
      </c>
    </row>
    <row r="25" spans="1:10">
      <c r="A25" s="4">
        <f t="shared" si="0"/>
        <v>24</v>
      </c>
      <c r="B25" s="4" t="s">
        <v>436</v>
      </c>
      <c r="C25" s="4" t="s">
        <v>148</v>
      </c>
      <c r="D25" s="4" t="s">
        <v>422</v>
      </c>
      <c r="E25" s="4" t="s">
        <v>437</v>
      </c>
      <c r="F25" s="4"/>
      <c r="G25" s="4" t="s">
        <v>435</v>
      </c>
      <c r="H25" s="4"/>
      <c r="I25" s="4"/>
      <c r="J25" s="4" t="s">
        <v>392</v>
      </c>
    </row>
    <row r="26" spans="1:10">
      <c r="A26" s="4">
        <f t="shared" si="0"/>
        <v>25</v>
      </c>
      <c r="B26" s="4" t="s">
        <v>438</v>
      </c>
      <c r="C26" s="4" t="s">
        <v>152</v>
      </c>
      <c r="D26" s="4" t="s">
        <v>422</v>
      </c>
      <c r="E26" s="4" t="s">
        <v>437</v>
      </c>
      <c r="F26" s="4"/>
      <c r="G26" s="4" t="s">
        <v>435</v>
      </c>
      <c r="H26" s="4"/>
      <c r="I26" s="4"/>
      <c r="J26" s="4" t="s">
        <v>392</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K1038"/>
  <sheetViews>
    <sheetView workbookViewId="0">
      <pane ySplit="1" topLeftCell="A2" activePane="bottomLeft" state="frozen"/>
      <selection pane="bottomLeft" activeCell="G18" sqref="G18"/>
    </sheetView>
  </sheetViews>
  <sheetFormatPr defaultRowHeight="16.5"/>
  <cols>
    <col min="1" max="1" width="4.75" customWidth="1"/>
    <col min="2" max="2" width="8.25" customWidth="1"/>
    <col min="4" max="4" width="14.625" customWidth="1"/>
    <col min="5" max="5" width="53.75" customWidth="1"/>
    <col min="6" max="6" width="55.75" customWidth="1"/>
    <col min="7" max="7" width="19.375" customWidth="1"/>
    <col min="8" max="8" width="19.125" customWidth="1"/>
    <col min="9" max="9" width="69.75" customWidth="1"/>
    <col min="10" max="11" width="20.625" customWidth="1"/>
  </cols>
  <sheetData>
    <row r="1" spans="1:11" ht="26.1" customHeight="1">
      <c r="A1" s="3" t="s">
        <v>62</v>
      </c>
      <c r="B1" s="3" t="s">
        <v>30</v>
      </c>
      <c r="C1" s="3" t="s">
        <v>70</v>
      </c>
      <c r="D1" s="3" t="s">
        <v>103</v>
      </c>
      <c r="E1" s="3" t="s">
        <v>104</v>
      </c>
      <c r="F1" s="3" t="s">
        <v>105</v>
      </c>
      <c r="G1" s="3" t="s">
        <v>106</v>
      </c>
      <c r="H1" s="3" t="s">
        <v>107</v>
      </c>
      <c r="I1" s="3" t="s">
        <v>40</v>
      </c>
      <c r="J1" s="3" t="s">
        <v>108</v>
      </c>
      <c r="K1" s="3" t="s">
        <v>109</v>
      </c>
    </row>
    <row r="2" spans="1:11">
      <c r="A2" s="39">
        <f>ROW()-1</f>
        <v>1</v>
      </c>
      <c r="B2" s="39" t="s">
        <v>439</v>
      </c>
      <c r="C2" s="39" t="s">
        <v>440</v>
      </c>
      <c r="D2" s="40" t="s">
        <v>441</v>
      </c>
      <c r="E2" s="41" t="s">
        <v>442</v>
      </c>
      <c r="F2" s="39" t="s">
        <v>443</v>
      </c>
      <c r="G2" s="42">
        <v>46172</v>
      </c>
      <c r="H2" s="43">
        <v>0.86</v>
      </c>
      <c r="I2" s="39"/>
      <c r="J2" s="40" t="s">
        <v>444</v>
      </c>
      <c r="K2" s="40" t="s">
        <v>445</v>
      </c>
    </row>
    <row r="3" spans="1:11">
      <c r="A3" s="39">
        <f t="shared" ref="A3:A66" si="0">ROW()-1</f>
        <v>2</v>
      </c>
      <c r="B3" s="39" t="s">
        <v>439</v>
      </c>
      <c r="C3" s="39" t="s">
        <v>440</v>
      </c>
      <c r="D3" s="40" t="s">
        <v>446</v>
      </c>
      <c r="E3" s="44" t="s">
        <v>447</v>
      </c>
      <c r="F3" s="39" t="s">
        <v>448</v>
      </c>
      <c r="G3" s="42">
        <v>46203</v>
      </c>
      <c r="H3" s="43">
        <v>0.73</v>
      </c>
      <c r="I3" s="39"/>
      <c r="J3" s="40" t="s">
        <v>444</v>
      </c>
      <c r="K3" s="40" t="s">
        <v>445</v>
      </c>
    </row>
    <row r="4" spans="1:11">
      <c r="A4" s="45">
        <f t="shared" si="0"/>
        <v>3</v>
      </c>
      <c r="B4" s="45" t="s">
        <v>439</v>
      </c>
      <c r="C4" s="45" t="s">
        <v>440</v>
      </c>
      <c r="D4" s="46" t="s">
        <v>449</v>
      </c>
      <c r="E4" s="47" t="s">
        <v>450</v>
      </c>
      <c r="F4" s="45" t="s">
        <v>451</v>
      </c>
      <c r="G4" s="48" t="s">
        <v>452</v>
      </c>
      <c r="H4" s="49">
        <v>1</v>
      </c>
      <c r="I4" s="45"/>
      <c r="J4" s="46" t="s">
        <v>444</v>
      </c>
      <c r="K4" s="46" t="s">
        <v>445</v>
      </c>
    </row>
    <row r="5" spans="1:11">
      <c r="A5" s="50">
        <f t="shared" si="0"/>
        <v>4</v>
      </c>
      <c r="B5" s="50" t="s">
        <v>439</v>
      </c>
      <c r="C5" s="50" t="s">
        <v>440</v>
      </c>
      <c r="D5" s="51" t="s">
        <v>453</v>
      </c>
      <c r="E5" s="52" t="s">
        <v>454</v>
      </c>
      <c r="F5" s="50" t="s">
        <v>455</v>
      </c>
      <c r="G5" s="53" t="s">
        <v>452</v>
      </c>
      <c r="H5" s="54">
        <v>1</v>
      </c>
      <c r="I5" s="50" t="s">
        <v>456</v>
      </c>
      <c r="J5" s="51" t="s">
        <v>445</v>
      </c>
      <c r="K5" s="51" t="s">
        <v>457</v>
      </c>
    </row>
    <row r="6" spans="1:11" ht="21">
      <c r="A6" s="39">
        <f t="shared" si="0"/>
        <v>5</v>
      </c>
      <c r="B6" s="39" t="s">
        <v>439</v>
      </c>
      <c r="C6" s="39" t="s">
        <v>440</v>
      </c>
      <c r="D6" s="40" t="s">
        <v>458</v>
      </c>
      <c r="E6" s="44" t="s">
        <v>459</v>
      </c>
      <c r="F6" s="39" t="s">
        <v>460</v>
      </c>
      <c r="G6" s="42">
        <v>46203</v>
      </c>
      <c r="H6" s="43" ph="1">
        <v>0.95</v>
      </c>
      <c r="I6" s="39"/>
      <c r="J6" s="40" t="s">
        <v>444</v>
      </c>
      <c r="K6" s="40" t="s">
        <v>445</v>
      </c>
    </row>
    <row r="7" spans="1:11">
      <c r="A7" s="45">
        <f t="shared" si="0"/>
        <v>6</v>
      </c>
      <c r="B7" s="45" t="s">
        <v>439</v>
      </c>
      <c r="C7" s="45" t="s">
        <v>440</v>
      </c>
      <c r="D7" s="46" t="s">
        <v>461</v>
      </c>
      <c r="E7" s="47" t="s">
        <v>462</v>
      </c>
      <c r="F7" s="45"/>
      <c r="G7" s="48" t="s">
        <v>452</v>
      </c>
      <c r="H7" s="49">
        <v>1</v>
      </c>
      <c r="I7" s="45" t="s">
        <v>463</v>
      </c>
      <c r="J7" s="46" t="s">
        <v>445</v>
      </c>
      <c r="K7" s="46" t="s">
        <v>444</v>
      </c>
    </row>
    <row r="8" spans="1:11">
      <c r="A8" s="45">
        <f t="shared" si="0"/>
        <v>7</v>
      </c>
      <c r="B8" s="45" t="s">
        <v>439</v>
      </c>
      <c r="C8" s="45" t="s">
        <v>440</v>
      </c>
      <c r="D8" s="46" t="s">
        <v>464</v>
      </c>
      <c r="E8" s="47" t="s">
        <v>465</v>
      </c>
      <c r="F8" s="45"/>
      <c r="G8" s="48" t="s">
        <v>452</v>
      </c>
      <c r="H8" s="49">
        <v>1</v>
      </c>
      <c r="I8" s="45"/>
      <c r="J8" s="46" t="s">
        <v>445</v>
      </c>
      <c r="K8" s="46" t="s">
        <v>444</v>
      </c>
    </row>
    <row r="9" spans="1:11" ht="24">
      <c r="A9" s="39">
        <f t="shared" si="0"/>
        <v>8</v>
      </c>
      <c r="B9" s="39" t="s">
        <v>439</v>
      </c>
      <c r="C9" s="39" t="s">
        <v>440</v>
      </c>
      <c r="D9" s="40" t="s">
        <v>466</v>
      </c>
      <c r="E9" s="44" t="s">
        <v>467</v>
      </c>
      <c r="F9" s="39" t="s">
        <v>468</v>
      </c>
      <c r="G9" s="42">
        <v>46142</v>
      </c>
      <c r="H9" s="55">
        <v>1</v>
      </c>
      <c r="I9" s="56" t="s">
        <v>469</v>
      </c>
      <c r="J9" s="40" t="s">
        <v>445</v>
      </c>
      <c r="K9" s="40" t="s">
        <v>470</v>
      </c>
    </row>
    <row r="10" spans="1:11">
      <c r="A10" s="39">
        <f t="shared" si="0"/>
        <v>9</v>
      </c>
      <c r="B10" s="39" t="s">
        <v>439</v>
      </c>
      <c r="C10" s="39" t="s">
        <v>440</v>
      </c>
      <c r="D10" s="40" t="s">
        <v>471</v>
      </c>
      <c r="E10" s="44" t="s">
        <v>472</v>
      </c>
      <c r="F10" s="39" t="s">
        <v>473</v>
      </c>
      <c r="G10" s="42">
        <v>46295</v>
      </c>
      <c r="H10" s="43">
        <v>0.46</v>
      </c>
      <c r="I10" s="39"/>
      <c r="J10" s="40" t="s">
        <v>444</v>
      </c>
      <c r="K10" s="40" t="s">
        <v>445</v>
      </c>
    </row>
    <row r="11" spans="1:11">
      <c r="A11" s="45">
        <f t="shared" si="0"/>
        <v>10</v>
      </c>
      <c r="B11" s="45" t="s">
        <v>439</v>
      </c>
      <c r="C11" s="45" t="s">
        <v>440</v>
      </c>
      <c r="D11" s="46" t="s">
        <v>474</v>
      </c>
      <c r="E11" s="47" t="s">
        <v>475</v>
      </c>
      <c r="F11" s="45"/>
      <c r="G11" s="48" t="s">
        <v>452</v>
      </c>
      <c r="H11" s="49">
        <v>1</v>
      </c>
      <c r="I11" s="45" t="s">
        <v>476</v>
      </c>
      <c r="J11" s="46" t="s">
        <v>445</v>
      </c>
      <c r="K11" s="46" t="s">
        <v>444</v>
      </c>
    </row>
    <row r="12" spans="1:11">
      <c r="A12" s="45">
        <f t="shared" si="0"/>
        <v>11</v>
      </c>
      <c r="B12" s="45" t="s">
        <v>439</v>
      </c>
      <c r="C12" s="45" t="s">
        <v>440</v>
      </c>
      <c r="D12" s="46" t="s">
        <v>477</v>
      </c>
      <c r="E12" s="47" t="s">
        <v>478</v>
      </c>
      <c r="F12" s="45"/>
      <c r="G12" s="48" t="s">
        <v>452</v>
      </c>
      <c r="H12" s="49">
        <v>1</v>
      </c>
      <c r="I12" s="45" t="s">
        <v>476</v>
      </c>
      <c r="J12" s="46" t="s">
        <v>445</v>
      </c>
      <c r="K12" s="46" t="s">
        <v>444</v>
      </c>
    </row>
    <row r="13" spans="1:11">
      <c r="A13" s="45">
        <f t="shared" si="0"/>
        <v>12</v>
      </c>
      <c r="B13" s="45" t="s">
        <v>439</v>
      </c>
      <c r="C13" s="45" t="s">
        <v>440</v>
      </c>
      <c r="D13" s="46" t="s">
        <v>479</v>
      </c>
      <c r="E13" s="47" t="s">
        <v>480</v>
      </c>
      <c r="F13" s="45"/>
      <c r="G13" s="48" t="s">
        <v>452</v>
      </c>
      <c r="H13" s="49">
        <v>1</v>
      </c>
      <c r="I13" s="45" t="s">
        <v>481</v>
      </c>
      <c r="J13" s="46" t="s">
        <v>445</v>
      </c>
      <c r="K13" s="46" t="s">
        <v>444</v>
      </c>
    </row>
    <row r="14" spans="1:11">
      <c r="A14" s="45">
        <f t="shared" si="0"/>
        <v>13</v>
      </c>
      <c r="B14" s="45" t="s">
        <v>439</v>
      </c>
      <c r="C14" s="45" t="s">
        <v>440</v>
      </c>
      <c r="D14" s="46" t="s">
        <v>482</v>
      </c>
      <c r="E14" s="47" t="s">
        <v>483</v>
      </c>
      <c r="F14" s="45"/>
      <c r="G14" s="48" t="s">
        <v>452</v>
      </c>
      <c r="H14" s="49" t="s">
        <v>484</v>
      </c>
      <c r="I14" s="45" t="s">
        <v>485</v>
      </c>
      <c r="J14" s="46" t="s">
        <v>445</v>
      </c>
      <c r="K14" s="46" t="s">
        <v>444</v>
      </c>
    </row>
    <row r="15" spans="1:11">
      <c r="A15" s="39">
        <f t="shared" si="0"/>
        <v>14</v>
      </c>
      <c r="B15" s="39" t="s">
        <v>439</v>
      </c>
      <c r="C15" s="39" t="s">
        <v>440</v>
      </c>
      <c r="D15" s="40" t="s">
        <v>486</v>
      </c>
      <c r="E15" s="44" t="s">
        <v>487</v>
      </c>
      <c r="F15" s="39" t="s">
        <v>451</v>
      </c>
      <c r="G15" s="42">
        <v>46142</v>
      </c>
      <c r="H15" s="43">
        <v>1</v>
      </c>
      <c r="I15" s="39" t="s">
        <v>488</v>
      </c>
      <c r="J15" s="40" t="s">
        <v>445</v>
      </c>
      <c r="K15" s="40" t="s">
        <v>470</v>
      </c>
    </row>
    <row r="16" spans="1:11">
      <c r="A16" s="39">
        <f t="shared" si="0"/>
        <v>15</v>
      </c>
      <c r="B16" s="39" t="s">
        <v>439</v>
      </c>
      <c r="C16" s="39" t="s">
        <v>440</v>
      </c>
      <c r="D16" s="40" t="s">
        <v>489</v>
      </c>
      <c r="E16" s="44" t="s">
        <v>490</v>
      </c>
      <c r="F16" s="39" t="s">
        <v>491</v>
      </c>
      <c r="G16" s="42">
        <v>46142</v>
      </c>
      <c r="H16" s="43">
        <v>1</v>
      </c>
      <c r="I16" s="39" t="s">
        <v>492</v>
      </c>
      <c r="J16" s="40" t="s">
        <v>445</v>
      </c>
      <c r="K16" s="40" t="s">
        <v>444</v>
      </c>
    </row>
    <row r="17" spans="1:11" ht="84">
      <c r="A17" s="39">
        <f t="shared" si="0"/>
        <v>16</v>
      </c>
      <c r="B17" s="39" t="s">
        <v>439</v>
      </c>
      <c r="C17" s="39" t="s">
        <v>440</v>
      </c>
      <c r="D17" s="40" t="s">
        <v>493</v>
      </c>
      <c r="E17" s="44" t="s">
        <v>494</v>
      </c>
      <c r="F17" s="56" t="s">
        <v>495</v>
      </c>
      <c r="G17" s="42">
        <v>46204</v>
      </c>
      <c r="H17" s="43">
        <v>0.35</v>
      </c>
      <c r="I17" s="39"/>
      <c r="J17" s="40" t="s">
        <v>445</v>
      </c>
      <c r="K17" s="40" t="s">
        <v>444</v>
      </c>
    </row>
    <row r="18" spans="1:11" ht="24">
      <c r="A18" s="39">
        <f t="shared" si="0"/>
        <v>17</v>
      </c>
      <c r="B18" s="39" t="s">
        <v>439</v>
      </c>
      <c r="C18" s="39" t="s">
        <v>440</v>
      </c>
      <c r="D18" s="40" t="s">
        <v>496</v>
      </c>
      <c r="E18" s="44" t="s">
        <v>497</v>
      </c>
      <c r="F18" s="56" t="s">
        <v>498</v>
      </c>
      <c r="G18" s="42">
        <v>46172</v>
      </c>
      <c r="H18" s="43">
        <v>0.2</v>
      </c>
      <c r="I18" s="39" t="s">
        <v>499</v>
      </c>
      <c r="J18" s="40" t="s">
        <v>445</v>
      </c>
      <c r="K18" s="40" t="s">
        <v>470</v>
      </c>
    </row>
    <row r="19" spans="1:11" ht="48">
      <c r="A19" s="39">
        <f t="shared" si="0"/>
        <v>18</v>
      </c>
      <c r="B19" s="39" t="s">
        <v>439</v>
      </c>
      <c r="C19" s="39" t="s">
        <v>440</v>
      </c>
      <c r="D19" s="40" t="s">
        <v>500</v>
      </c>
      <c r="E19" s="44" t="s">
        <v>501</v>
      </c>
      <c r="F19" s="56" t="s">
        <v>502</v>
      </c>
      <c r="G19" s="42">
        <v>46203</v>
      </c>
      <c r="H19" s="43">
        <v>0.2</v>
      </c>
      <c r="I19" s="56" t="s">
        <v>503</v>
      </c>
      <c r="J19" s="40" t="s">
        <v>445</v>
      </c>
      <c r="K19" s="40" t="s">
        <v>504</v>
      </c>
    </row>
    <row r="20" spans="1:11" ht="72">
      <c r="A20" s="39">
        <f t="shared" si="0"/>
        <v>19</v>
      </c>
      <c r="B20" s="39" t="s">
        <v>439</v>
      </c>
      <c r="C20" s="39" t="s">
        <v>440</v>
      </c>
      <c r="D20" s="40" t="s">
        <v>505</v>
      </c>
      <c r="E20" s="44" t="s">
        <v>506</v>
      </c>
      <c r="F20" s="56" t="s">
        <v>507</v>
      </c>
      <c r="G20" s="42">
        <v>46172</v>
      </c>
      <c r="H20" s="43">
        <v>0.43</v>
      </c>
      <c r="I20" s="56" t="s">
        <v>508</v>
      </c>
      <c r="J20" s="40" t="s">
        <v>445</v>
      </c>
      <c r="K20" s="40" t="s">
        <v>504</v>
      </c>
    </row>
    <row r="21" spans="1:11" ht="60">
      <c r="A21" s="39">
        <f t="shared" si="0"/>
        <v>20</v>
      </c>
      <c r="B21" s="39" t="s">
        <v>439</v>
      </c>
      <c r="C21" s="39" t="s">
        <v>440</v>
      </c>
      <c r="D21" s="40" t="s">
        <v>509</v>
      </c>
      <c r="E21" s="44" t="s">
        <v>510</v>
      </c>
      <c r="F21" s="56" t="s">
        <v>511</v>
      </c>
      <c r="G21" s="42">
        <v>46266</v>
      </c>
      <c r="H21" s="43">
        <v>0</v>
      </c>
      <c r="I21" s="39"/>
      <c r="J21" s="40" t="s">
        <v>445</v>
      </c>
      <c r="K21" s="40" t="s">
        <v>444</v>
      </c>
    </row>
    <row r="22" spans="1:11">
      <c r="A22" s="45">
        <f t="shared" si="0"/>
        <v>21</v>
      </c>
      <c r="B22" s="45" t="s">
        <v>439</v>
      </c>
      <c r="C22" s="45" t="s">
        <v>440</v>
      </c>
      <c r="D22" s="46" t="s">
        <v>512</v>
      </c>
      <c r="E22" s="47" t="s">
        <v>513</v>
      </c>
      <c r="F22" s="45"/>
      <c r="G22" s="48" t="s">
        <v>514</v>
      </c>
      <c r="H22" s="49">
        <v>1</v>
      </c>
      <c r="I22" s="45" t="s">
        <v>476</v>
      </c>
      <c r="J22" s="46" t="s">
        <v>445</v>
      </c>
      <c r="K22" s="46" t="s">
        <v>444</v>
      </c>
    </row>
    <row r="23" spans="1:11">
      <c r="A23" s="39">
        <f t="shared" si="0"/>
        <v>22</v>
      </c>
      <c r="B23" s="39" t="s">
        <v>439</v>
      </c>
      <c r="C23" s="39" t="s">
        <v>440</v>
      </c>
      <c r="D23" s="40" t="s">
        <v>515</v>
      </c>
      <c r="E23" s="57" t="s">
        <v>516</v>
      </c>
      <c r="F23" s="58" t="s">
        <v>517</v>
      </c>
      <c r="G23" s="42">
        <v>46233</v>
      </c>
      <c r="H23" s="43">
        <v>0.32700000000000001</v>
      </c>
      <c r="I23" s="39" t="s">
        <v>518</v>
      </c>
      <c r="J23" s="40" t="s">
        <v>444</v>
      </c>
      <c r="K23" s="40" t="s">
        <v>519</v>
      </c>
    </row>
    <row r="24" spans="1:11">
      <c r="A24" s="39">
        <f t="shared" si="0"/>
        <v>23</v>
      </c>
      <c r="B24" s="39" t="s">
        <v>439</v>
      </c>
      <c r="C24" s="39" t="s">
        <v>520</v>
      </c>
      <c r="D24" s="40" t="s">
        <v>521</v>
      </c>
      <c r="E24" s="44" t="s">
        <v>522</v>
      </c>
      <c r="F24" s="39" t="s">
        <v>523</v>
      </c>
      <c r="G24" s="42">
        <v>46233</v>
      </c>
      <c r="H24" s="55">
        <v>0.77</v>
      </c>
      <c r="I24" s="39" t="s">
        <v>524</v>
      </c>
      <c r="J24" s="40" t="s">
        <v>444</v>
      </c>
      <c r="K24" s="40" t="s">
        <v>519</v>
      </c>
    </row>
    <row r="25" spans="1:11">
      <c r="A25" s="39">
        <f t="shared" si="0"/>
        <v>24</v>
      </c>
      <c r="B25" s="39" t="s">
        <v>439</v>
      </c>
      <c r="C25" s="39" t="s">
        <v>520</v>
      </c>
      <c r="D25" s="40" t="s">
        <v>525</v>
      </c>
      <c r="E25" s="44" t="s">
        <v>526</v>
      </c>
      <c r="F25" s="39" t="s">
        <v>527</v>
      </c>
      <c r="G25" s="42">
        <v>46233</v>
      </c>
      <c r="H25" s="55">
        <v>0.26</v>
      </c>
      <c r="I25" s="39" t="s">
        <v>528</v>
      </c>
      <c r="J25" s="40" t="s">
        <v>444</v>
      </c>
      <c r="K25" s="40" t="s">
        <v>519</v>
      </c>
    </row>
    <row r="26" spans="1:11" ht="48">
      <c r="A26" s="39">
        <f t="shared" si="0"/>
        <v>25</v>
      </c>
      <c r="B26" s="39" t="s">
        <v>439</v>
      </c>
      <c r="C26" s="39" t="s">
        <v>529</v>
      </c>
      <c r="D26" s="40" t="s">
        <v>530</v>
      </c>
      <c r="E26" s="44" t="s">
        <v>531</v>
      </c>
      <c r="F26" s="56" t="s">
        <v>532</v>
      </c>
      <c r="G26" s="42">
        <v>46172</v>
      </c>
      <c r="H26" s="59" t="s">
        <v>533</v>
      </c>
      <c r="I26" s="39" t="s">
        <v>534</v>
      </c>
      <c r="J26" s="40" t="s">
        <v>535</v>
      </c>
      <c r="K26" s="40" t="s">
        <v>536</v>
      </c>
    </row>
    <row r="27" spans="1:11" ht="24">
      <c r="A27" s="39">
        <f t="shared" si="0"/>
        <v>26</v>
      </c>
      <c r="B27" s="39" t="s">
        <v>439</v>
      </c>
      <c r="C27" s="39" t="s">
        <v>529</v>
      </c>
      <c r="D27" s="40" t="s">
        <v>537</v>
      </c>
      <c r="E27" s="44" t="s">
        <v>538</v>
      </c>
      <c r="F27" s="56" t="s">
        <v>539</v>
      </c>
      <c r="G27" s="42">
        <v>46172</v>
      </c>
      <c r="H27" s="59" t="s">
        <v>540</v>
      </c>
      <c r="I27" s="39" t="s">
        <v>534</v>
      </c>
      <c r="J27" s="40" t="s">
        <v>535</v>
      </c>
      <c r="K27" s="40" t="s">
        <v>536</v>
      </c>
    </row>
    <row r="28" spans="1:11" ht="24">
      <c r="A28" s="39">
        <f t="shared" si="0"/>
        <v>27</v>
      </c>
      <c r="B28" s="39" t="s">
        <v>439</v>
      </c>
      <c r="C28" s="39" t="s">
        <v>529</v>
      </c>
      <c r="D28" s="40" t="s">
        <v>541</v>
      </c>
      <c r="E28" s="44" t="s">
        <v>542</v>
      </c>
      <c r="F28" s="56" t="s">
        <v>543</v>
      </c>
      <c r="G28" s="42">
        <v>46172</v>
      </c>
      <c r="H28" s="60" t="s">
        <v>540</v>
      </c>
      <c r="I28" s="39" t="s">
        <v>544</v>
      </c>
      <c r="J28" s="40" t="s">
        <v>535</v>
      </c>
      <c r="K28" s="40" t="s">
        <v>536</v>
      </c>
    </row>
    <row r="29" spans="1:11" ht="24">
      <c r="A29" s="39">
        <f t="shared" si="0"/>
        <v>28</v>
      </c>
      <c r="B29" s="39" t="s">
        <v>439</v>
      </c>
      <c r="C29" s="39" t="s">
        <v>529</v>
      </c>
      <c r="D29" s="40" t="s">
        <v>545</v>
      </c>
      <c r="E29" s="44" t="s">
        <v>546</v>
      </c>
      <c r="F29" s="56" t="s">
        <v>547</v>
      </c>
      <c r="G29" s="42">
        <v>46172</v>
      </c>
      <c r="H29" s="60" t="s">
        <v>540</v>
      </c>
      <c r="I29" s="56" t="s">
        <v>544</v>
      </c>
      <c r="J29" s="40" t="s">
        <v>535</v>
      </c>
      <c r="K29" s="40" t="s">
        <v>536</v>
      </c>
    </row>
    <row r="30" spans="1:11" ht="24">
      <c r="A30" s="39">
        <f t="shared" si="0"/>
        <v>29</v>
      </c>
      <c r="B30" s="39" t="s">
        <v>439</v>
      </c>
      <c r="C30" s="39" t="s">
        <v>529</v>
      </c>
      <c r="D30" s="40" t="s">
        <v>548</v>
      </c>
      <c r="E30" s="44" t="s">
        <v>549</v>
      </c>
      <c r="F30" s="56" t="s">
        <v>550</v>
      </c>
      <c r="G30" s="42">
        <v>46172</v>
      </c>
      <c r="H30" s="60" t="s">
        <v>540</v>
      </c>
      <c r="I30" s="39" t="s">
        <v>534</v>
      </c>
      <c r="J30" s="40" t="s">
        <v>535</v>
      </c>
      <c r="K30" s="40" t="s">
        <v>536</v>
      </c>
    </row>
    <row r="31" spans="1:11" ht="24">
      <c r="A31" s="39">
        <f t="shared" si="0"/>
        <v>30</v>
      </c>
      <c r="B31" s="39" t="s">
        <v>439</v>
      </c>
      <c r="C31" s="39" t="s">
        <v>529</v>
      </c>
      <c r="D31" s="40" t="s">
        <v>551</v>
      </c>
      <c r="E31" s="44" t="s">
        <v>552</v>
      </c>
      <c r="F31" s="56" t="s">
        <v>553</v>
      </c>
      <c r="G31" s="42">
        <v>46172</v>
      </c>
      <c r="H31" s="59" t="s">
        <v>540</v>
      </c>
      <c r="I31" s="61" t="s">
        <v>554</v>
      </c>
      <c r="J31" s="40" t="s">
        <v>535</v>
      </c>
      <c r="K31" s="40" t="s">
        <v>536</v>
      </c>
    </row>
    <row r="32" spans="1:11">
      <c r="A32" s="39">
        <f t="shared" si="0"/>
        <v>31</v>
      </c>
      <c r="B32" s="39" t="s">
        <v>439</v>
      </c>
      <c r="C32" s="39" t="s">
        <v>529</v>
      </c>
      <c r="D32" s="40" t="s">
        <v>555</v>
      </c>
      <c r="E32" s="44" t="s">
        <v>552</v>
      </c>
      <c r="F32" s="56" t="s">
        <v>556</v>
      </c>
      <c r="G32" s="42">
        <v>46172</v>
      </c>
      <c r="H32" s="59">
        <v>0</v>
      </c>
      <c r="I32" s="39" t="s">
        <v>557</v>
      </c>
      <c r="J32" s="40" t="s">
        <v>535</v>
      </c>
      <c r="K32" s="40" t="s">
        <v>536</v>
      </c>
    </row>
    <row r="33" spans="1:11">
      <c r="A33" s="39">
        <f t="shared" si="0"/>
        <v>32</v>
      </c>
      <c r="B33" s="39" t="s">
        <v>439</v>
      </c>
      <c r="C33" s="39" t="s">
        <v>529</v>
      </c>
      <c r="D33" s="40" t="s">
        <v>558</v>
      </c>
      <c r="E33" s="44" t="s">
        <v>559</v>
      </c>
      <c r="F33" s="56" t="s">
        <v>560</v>
      </c>
      <c r="G33" s="42">
        <v>46386</v>
      </c>
      <c r="H33" s="55">
        <v>0.6</v>
      </c>
      <c r="I33" s="39" t="s">
        <v>561</v>
      </c>
      <c r="J33" s="40" t="s">
        <v>535</v>
      </c>
      <c r="K33" s="40" t="s">
        <v>536</v>
      </c>
    </row>
    <row r="34" spans="1:11">
      <c r="A34" s="39">
        <f t="shared" si="0"/>
        <v>33</v>
      </c>
      <c r="B34" s="39" t="s">
        <v>439</v>
      </c>
      <c r="C34" s="39" t="s">
        <v>529</v>
      </c>
      <c r="D34" s="40" t="s">
        <v>562</v>
      </c>
      <c r="E34" s="44" t="s">
        <v>563</v>
      </c>
      <c r="F34" s="56" t="s">
        <v>564</v>
      </c>
      <c r="G34" s="42">
        <v>46172</v>
      </c>
      <c r="H34" s="55">
        <v>1</v>
      </c>
      <c r="I34" s="62" t="s">
        <v>565</v>
      </c>
      <c r="J34" s="40" t="s">
        <v>535</v>
      </c>
      <c r="K34" s="40" t="s">
        <v>536</v>
      </c>
    </row>
    <row r="35" spans="1:11">
      <c r="A35" s="39">
        <f t="shared" si="0"/>
        <v>34</v>
      </c>
      <c r="B35" s="39" t="s">
        <v>439</v>
      </c>
      <c r="C35" s="39" t="s">
        <v>529</v>
      </c>
      <c r="D35" s="40" t="s">
        <v>566</v>
      </c>
      <c r="E35" s="44" t="s">
        <v>563</v>
      </c>
      <c r="F35" s="56" t="s">
        <v>564</v>
      </c>
      <c r="G35" s="42">
        <v>46361</v>
      </c>
      <c r="H35" s="55">
        <v>0.5</v>
      </c>
      <c r="I35" s="62" t="s">
        <v>567</v>
      </c>
      <c r="J35" s="40" t="s">
        <v>535</v>
      </c>
      <c r="K35" s="40" t="s">
        <v>536</v>
      </c>
    </row>
    <row r="36" spans="1:11" ht="24">
      <c r="A36" s="39">
        <f t="shared" si="0"/>
        <v>35</v>
      </c>
      <c r="B36" s="39" t="s">
        <v>439</v>
      </c>
      <c r="C36" s="39" t="s">
        <v>529</v>
      </c>
      <c r="D36" s="40" t="s">
        <v>568</v>
      </c>
      <c r="E36" s="44" t="s">
        <v>569</v>
      </c>
      <c r="F36" s="39" t="s">
        <v>570</v>
      </c>
      <c r="G36" s="42">
        <v>46203</v>
      </c>
      <c r="H36" s="55">
        <v>1</v>
      </c>
      <c r="I36" s="56" t="s">
        <v>571</v>
      </c>
      <c r="J36" s="40" t="s">
        <v>535</v>
      </c>
      <c r="K36" s="40" t="s">
        <v>536</v>
      </c>
    </row>
    <row r="37" spans="1:11" ht="24">
      <c r="A37" s="39">
        <f t="shared" si="0"/>
        <v>36</v>
      </c>
      <c r="B37" s="39" t="s">
        <v>439</v>
      </c>
      <c r="C37" s="39" t="s">
        <v>529</v>
      </c>
      <c r="D37" s="40" t="s">
        <v>572</v>
      </c>
      <c r="E37" s="44" t="s">
        <v>573</v>
      </c>
      <c r="F37" s="56" t="s">
        <v>574</v>
      </c>
      <c r="G37" s="42">
        <v>46172</v>
      </c>
      <c r="H37" s="60" t="s">
        <v>540</v>
      </c>
      <c r="I37" s="39" t="s">
        <v>575</v>
      </c>
      <c r="J37" s="40" t="s">
        <v>535</v>
      </c>
      <c r="K37" s="40" t="s">
        <v>536</v>
      </c>
    </row>
    <row r="38" spans="1:11" ht="24">
      <c r="A38" s="39">
        <f t="shared" si="0"/>
        <v>37</v>
      </c>
      <c r="B38" s="39" t="s">
        <v>439</v>
      </c>
      <c r="C38" s="39" t="s">
        <v>529</v>
      </c>
      <c r="D38" s="40" t="s">
        <v>576</v>
      </c>
      <c r="E38" s="44" t="s">
        <v>577</v>
      </c>
      <c r="F38" s="56" t="s">
        <v>578</v>
      </c>
      <c r="G38" s="42">
        <v>46172</v>
      </c>
      <c r="H38" s="55">
        <v>1</v>
      </c>
      <c r="I38" s="39" t="s">
        <v>534</v>
      </c>
      <c r="J38" s="40" t="s">
        <v>535</v>
      </c>
      <c r="K38" s="40" t="s">
        <v>536</v>
      </c>
    </row>
    <row r="39" spans="1:11">
      <c r="A39" s="39">
        <f t="shared" si="0"/>
        <v>38</v>
      </c>
      <c r="B39" s="39" t="s">
        <v>439</v>
      </c>
      <c r="C39" s="39" t="s">
        <v>529</v>
      </c>
      <c r="D39" s="40" t="s">
        <v>579</v>
      </c>
      <c r="E39" s="44" t="s">
        <v>580</v>
      </c>
      <c r="F39" s="56" t="s">
        <v>581</v>
      </c>
      <c r="G39" s="42">
        <v>46203</v>
      </c>
      <c r="H39" s="43">
        <v>0.95</v>
      </c>
      <c r="I39" s="39" t="s">
        <v>582</v>
      </c>
      <c r="J39" s="40" t="s">
        <v>535</v>
      </c>
      <c r="K39" s="40" t="s">
        <v>536</v>
      </c>
    </row>
    <row r="40" spans="1:11">
      <c r="A40" s="39">
        <f t="shared" si="0"/>
        <v>39</v>
      </c>
      <c r="B40" s="39" t="s">
        <v>439</v>
      </c>
      <c r="C40" s="39" t="s">
        <v>529</v>
      </c>
      <c r="D40" s="40" t="s">
        <v>583</v>
      </c>
      <c r="E40" s="44" t="s">
        <v>584</v>
      </c>
      <c r="F40" s="39" t="s">
        <v>585</v>
      </c>
      <c r="G40" s="42">
        <v>46142</v>
      </c>
      <c r="H40" s="55">
        <v>1</v>
      </c>
      <c r="I40" s="39" t="s">
        <v>586</v>
      </c>
      <c r="J40" s="40" t="s">
        <v>535</v>
      </c>
      <c r="K40" s="40" t="s">
        <v>536</v>
      </c>
    </row>
    <row r="41" spans="1:11">
      <c r="A41" s="39">
        <f t="shared" si="0"/>
        <v>40</v>
      </c>
      <c r="B41" s="39" t="s">
        <v>439</v>
      </c>
      <c r="C41" s="39" t="s">
        <v>529</v>
      </c>
      <c r="D41" s="40" t="s">
        <v>587</v>
      </c>
      <c r="E41" s="44" t="s">
        <v>588</v>
      </c>
      <c r="F41" s="56" t="s">
        <v>589</v>
      </c>
      <c r="G41" s="42">
        <v>46172</v>
      </c>
      <c r="H41" s="43">
        <v>0</v>
      </c>
      <c r="I41" s="39"/>
      <c r="J41" s="40" t="s">
        <v>535</v>
      </c>
      <c r="K41" s="40" t="s">
        <v>536</v>
      </c>
    </row>
    <row r="42" spans="1:11">
      <c r="A42" s="39">
        <f t="shared" si="0"/>
        <v>41</v>
      </c>
      <c r="B42" s="39" t="s">
        <v>439</v>
      </c>
      <c r="C42" s="39" t="s">
        <v>529</v>
      </c>
      <c r="D42" s="40" t="s">
        <v>590</v>
      </c>
      <c r="E42" s="44" t="s">
        <v>591</v>
      </c>
      <c r="F42" s="39" t="s">
        <v>592</v>
      </c>
      <c r="G42" s="42">
        <v>46172</v>
      </c>
      <c r="H42" s="55">
        <v>1</v>
      </c>
      <c r="I42" s="39" t="s">
        <v>593</v>
      </c>
      <c r="J42" s="40" t="s">
        <v>535</v>
      </c>
      <c r="K42" s="40" t="s">
        <v>536</v>
      </c>
    </row>
    <row r="43" spans="1:11">
      <c r="A43" s="39">
        <f t="shared" si="0"/>
        <v>42</v>
      </c>
      <c r="B43" s="63" t="s">
        <v>439</v>
      </c>
      <c r="C43" s="63" t="s">
        <v>529</v>
      </c>
      <c r="D43" s="64" t="s">
        <v>594</v>
      </c>
      <c r="E43" s="65" t="s">
        <v>595</v>
      </c>
      <c r="F43" s="63" t="s">
        <v>585</v>
      </c>
      <c r="G43" s="66">
        <v>46341</v>
      </c>
      <c r="H43" s="67">
        <v>0</v>
      </c>
      <c r="I43" s="63" t="s">
        <v>596</v>
      </c>
      <c r="J43" s="40" t="s">
        <v>535</v>
      </c>
      <c r="K43" s="40" t="s">
        <v>536</v>
      </c>
    </row>
    <row r="44" spans="1:11">
      <c r="A44" s="39">
        <f t="shared" si="0"/>
        <v>43</v>
      </c>
      <c r="B44" s="63" t="s">
        <v>439</v>
      </c>
      <c r="C44" s="63" t="s">
        <v>529</v>
      </c>
      <c r="D44" s="64" t="s">
        <v>597</v>
      </c>
      <c r="E44" s="65" t="s">
        <v>598</v>
      </c>
      <c r="F44" s="63" t="s">
        <v>599</v>
      </c>
      <c r="G44" s="66">
        <v>46349</v>
      </c>
      <c r="H44" s="67">
        <v>0</v>
      </c>
      <c r="I44" s="63" t="s">
        <v>596</v>
      </c>
      <c r="J44" s="40" t="s">
        <v>535</v>
      </c>
      <c r="K44" s="40" t="s">
        <v>536</v>
      </c>
    </row>
    <row r="45" spans="1:11">
      <c r="A45" s="39">
        <f t="shared" si="0"/>
        <v>44</v>
      </c>
      <c r="B45" s="39" t="s">
        <v>439</v>
      </c>
      <c r="C45" s="39" t="s">
        <v>600</v>
      </c>
      <c r="D45" s="40" t="s">
        <v>601</v>
      </c>
      <c r="E45" s="44" t="s">
        <v>602</v>
      </c>
      <c r="F45" s="39" t="s">
        <v>603</v>
      </c>
      <c r="G45" s="42">
        <v>46172</v>
      </c>
      <c r="H45" s="43">
        <v>0.9</v>
      </c>
      <c r="I45" s="39" t="s">
        <v>604</v>
      </c>
      <c r="J45" s="40" t="s">
        <v>535</v>
      </c>
      <c r="K45" s="40" t="s">
        <v>536</v>
      </c>
    </row>
    <row r="46" spans="1:11">
      <c r="A46" s="39">
        <f t="shared" si="0"/>
        <v>45</v>
      </c>
      <c r="B46" s="39" t="s">
        <v>439</v>
      </c>
      <c r="C46" s="39" t="s">
        <v>600</v>
      </c>
      <c r="D46" s="40" t="s">
        <v>605</v>
      </c>
      <c r="E46" s="44" t="s">
        <v>606</v>
      </c>
      <c r="F46" s="39" t="s">
        <v>603</v>
      </c>
      <c r="G46" s="42">
        <v>46172</v>
      </c>
      <c r="H46" s="55">
        <v>0.9</v>
      </c>
      <c r="I46" s="39" t="s">
        <v>604</v>
      </c>
      <c r="J46" s="40" t="s">
        <v>535</v>
      </c>
      <c r="K46" s="40" t="s">
        <v>536</v>
      </c>
    </row>
    <row r="47" spans="1:11">
      <c r="A47" s="39">
        <f t="shared" si="0"/>
        <v>46</v>
      </c>
      <c r="B47" s="39" t="s">
        <v>439</v>
      </c>
      <c r="C47" s="39" t="s">
        <v>607</v>
      </c>
      <c r="D47" s="40" t="s">
        <v>608</v>
      </c>
      <c r="E47" s="44" t="s">
        <v>609</v>
      </c>
      <c r="F47" s="39" t="s">
        <v>603</v>
      </c>
      <c r="G47" s="42">
        <v>46172</v>
      </c>
      <c r="H47" s="55">
        <v>0.9</v>
      </c>
      <c r="I47" s="39" t="s">
        <v>604</v>
      </c>
      <c r="J47" s="40" t="s">
        <v>535</v>
      </c>
      <c r="K47" s="40" t="s">
        <v>536</v>
      </c>
    </row>
    <row r="48" spans="1:11">
      <c r="A48" s="39">
        <f t="shared" si="0"/>
        <v>47</v>
      </c>
      <c r="B48" s="39" t="s">
        <v>439</v>
      </c>
      <c r="C48" s="39" t="s">
        <v>610</v>
      </c>
      <c r="D48" s="40" t="s">
        <v>611</v>
      </c>
      <c r="E48" s="44" t="s">
        <v>612</v>
      </c>
      <c r="F48" s="39"/>
      <c r="G48" s="55" t="s">
        <v>484</v>
      </c>
      <c r="H48" s="55" t="s">
        <v>484</v>
      </c>
      <c r="I48" s="39" t="s">
        <v>485</v>
      </c>
      <c r="J48" s="40" t="s">
        <v>535</v>
      </c>
      <c r="K48" s="40" t="s">
        <v>536</v>
      </c>
    </row>
    <row r="49" spans="1:11">
      <c r="A49" s="39">
        <f t="shared" si="0"/>
        <v>48</v>
      </c>
      <c r="B49" s="39" t="s">
        <v>439</v>
      </c>
      <c r="C49" s="39" t="s">
        <v>610</v>
      </c>
      <c r="D49" s="40" t="s">
        <v>613</v>
      </c>
      <c r="E49" s="44" t="s">
        <v>614</v>
      </c>
      <c r="F49" s="39"/>
      <c r="G49" s="55" t="s">
        <v>484</v>
      </c>
      <c r="H49" s="55" t="s">
        <v>484</v>
      </c>
      <c r="I49" s="39" t="s">
        <v>485</v>
      </c>
      <c r="J49" s="40" t="s">
        <v>535</v>
      </c>
      <c r="K49" s="40" t="s">
        <v>536</v>
      </c>
    </row>
    <row r="50" spans="1:11">
      <c r="A50" s="39">
        <f t="shared" si="0"/>
        <v>49</v>
      </c>
      <c r="B50" s="39" t="s">
        <v>439</v>
      </c>
      <c r="C50" s="39" t="s">
        <v>615</v>
      </c>
      <c r="D50" s="40" t="s">
        <v>616</v>
      </c>
      <c r="E50" s="44" t="s">
        <v>617</v>
      </c>
      <c r="F50" s="39" t="s">
        <v>618</v>
      </c>
      <c r="G50" s="42">
        <v>46357</v>
      </c>
      <c r="H50" s="43">
        <v>0.96</v>
      </c>
      <c r="I50" s="39"/>
      <c r="J50" s="40" t="s">
        <v>619</v>
      </c>
      <c r="K50" s="40" t="s">
        <v>519</v>
      </c>
    </row>
    <row r="51" spans="1:11">
      <c r="A51" s="39">
        <f t="shared" si="0"/>
        <v>50</v>
      </c>
      <c r="B51" s="39" t="s">
        <v>439</v>
      </c>
      <c r="C51" s="39" t="s">
        <v>615</v>
      </c>
      <c r="D51" s="40" t="s">
        <v>620</v>
      </c>
      <c r="E51" s="44" t="s">
        <v>621</v>
      </c>
      <c r="F51" s="39" t="s">
        <v>622</v>
      </c>
      <c r="G51" s="42">
        <v>46143</v>
      </c>
      <c r="H51" s="43">
        <v>0.99</v>
      </c>
      <c r="I51" s="39" t="s">
        <v>623</v>
      </c>
      <c r="J51" s="40" t="s">
        <v>619</v>
      </c>
      <c r="K51" s="40" t="s">
        <v>519</v>
      </c>
    </row>
    <row r="52" spans="1:11">
      <c r="A52" s="39">
        <f t="shared" si="0"/>
        <v>51</v>
      </c>
      <c r="B52" s="39" t="s">
        <v>439</v>
      </c>
      <c r="C52" s="39" t="s">
        <v>615</v>
      </c>
      <c r="D52" s="40" t="s">
        <v>624</v>
      </c>
      <c r="E52" s="44" t="s">
        <v>625</v>
      </c>
      <c r="F52" s="39" t="s">
        <v>626</v>
      </c>
      <c r="G52" s="42">
        <v>46204</v>
      </c>
      <c r="H52" s="43">
        <v>0.95</v>
      </c>
      <c r="I52" s="39"/>
      <c r="J52" s="40" t="s">
        <v>619</v>
      </c>
      <c r="K52" s="40" t="s">
        <v>519</v>
      </c>
    </row>
    <row r="53" spans="1:11">
      <c r="A53" s="39">
        <f t="shared" si="0"/>
        <v>52</v>
      </c>
      <c r="B53" s="39" t="s">
        <v>439</v>
      </c>
      <c r="C53" s="39" t="s">
        <v>615</v>
      </c>
      <c r="D53" s="40" t="s">
        <v>627</v>
      </c>
      <c r="E53" s="44" t="s">
        <v>628</v>
      </c>
      <c r="F53" s="39" t="s">
        <v>629</v>
      </c>
      <c r="G53" s="42">
        <v>46204</v>
      </c>
      <c r="H53" s="43">
        <v>0.99</v>
      </c>
      <c r="I53" s="39"/>
      <c r="J53" s="40" t="s">
        <v>619</v>
      </c>
      <c r="K53" s="40" t="s">
        <v>519</v>
      </c>
    </row>
    <row r="54" spans="1:11">
      <c r="A54" s="39">
        <f t="shared" si="0"/>
        <v>53</v>
      </c>
      <c r="B54" s="39" t="s">
        <v>439</v>
      </c>
      <c r="C54" s="39" t="s">
        <v>615</v>
      </c>
      <c r="D54" s="40" t="s">
        <v>630</v>
      </c>
      <c r="E54" s="44" t="s">
        <v>631</v>
      </c>
      <c r="F54" s="39" t="s">
        <v>632</v>
      </c>
      <c r="G54" s="42">
        <v>46204</v>
      </c>
      <c r="H54" s="43">
        <v>0.98</v>
      </c>
      <c r="I54" s="39"/>
      <c r="J54" s="40" t="s">
        <v>619</v>
      </c>
      <c r="K54" s="40" t="s">
        <v>519</v>
      </c>
    </row>
    <row r="55" spans="1:11">
      <c r="A55" s="45">
        <f t="shared" si="0"/>
        <v>54</v>
      </c>
      <c r="B55" s="45" t="s">
        <v>439</v>
      </c>
      <c r="C55" s="45" t="s">
        <v>615</v>
      </c>
      <c r="D55" s="46" t="s">
        <v>633</v>
      </c>
      <c r="E55" s="47" t="s">
        <v>634</v>
      </c>
      <c r="F55" s="45" t="s">
        <v>635</v>
      </c>
      <c r="G55" s="48" t="s">
        <v>452</v>
      </c>
      <c r="H55" s="49">
        <v>1</v>
      </c>
      <c r="I55" s="45" t="s">
        <v>636</v>
      </c>
      <c r="J55" s="46" t="s">
        <v>619</v>
      </c>
      <c r="K55" s="46" t="s">
        <v>519</v>
      </c>
    </row>
    <row r="56" spans="1:11">
      <c r="A56" s="45">
        <f t="shared" si="0"/>
        <v>55</v>
      </c>
      <c r="B56" s="45" t="s">
        <v>439</v>
      </c>
      <c r="C56" s="45" t="s">
        <v>615</v>
      </c>
      <c r="D56" s="46" t="s">
        <v>637</v>
      </c>
      <c r="E56" s="47" t="s">
        <v>638</v>
      </c>
      <c r="F56" s="45" t="s">
        <v>639</v>
      </c>
      <c r="G56" s="48" t="s">
        <v>514</v>
      </c>
      <c r="H56" s="49">
        <v>1</v>
      </c>
      <c r="I56" s="45" t="s">
        <v>636</v>
      </c>
      <c r="J56" s="46" t="s">
        <v>619</v>
      </c>
      <c r="K56" s="46" t="s">
        <v>519</v>
      </c>
    </row>
    <row r="57" spans="1:11">
      <c r="A57" s="45">
        <f t="shared" si="0"/>
        <v>56</v>
      </c>
      <c r="B57" s="45" t="s">
        <v>439</v>
      </c>
      <c r="C57" s="45" t="s">
        <v>615</v>
      </c>
      <c r="D57" s="46" t="s">
        <v>640</v>
      </c>
      <c r="E57" s="47" t="s">
        <v>641</v>
      </c>
      <c r="F57" s="45" t="s">
        <v>642</v>
      </c>
      <c r="G57" s="48" t="s">
        <v>514</v>
      </c>
      <c r="H57" s="49">
        <v>1</v>
      </c>
      <c r="I57" s="45" t="s">
        <v>636</v>
      </c>
      <c r="J57" s="46" t="s">
        <v>619</v>
      </c>
      <c r="K57" s="46" t="s">
        <v>519</v>
      </c>
    </row>
    <row r="58" spans="1:11">
      <c r="A58" s="39">
        <f t="shared" si="0"/>
        <v>57</v>
      </c>
      <c r="B58" s="39" t="s">
        <v>439</v>
      </c>
      <c r="C58" s="39" t="s">
        <v>615</v>
      </c>
      <c r="D58" s="40" t="s">
        <v>643</v>
      </c>
      <c r="E58" s="44" t="s">
        <v>644</v>
      </c>
      <c r="F58" s="39" t="s">
        <v>645</v>
      </c>
      <c r="G58" s="42">
        <v>46174</v>
      </c>
      <c r="H58" s="43">
        <v>0.95</v>
      </c>
      <c r="I58" s="39"/>
      <c r="J58" s="40" t="s">
        <v>619</v>
      </c>
      <c r="K58" s="40" t="s">
        <v>519</v>
      </c>
    </row>
    <row r="59" spans="1:11">
      <c r="A59" s="39">
        <f t="shared" si="0"/>
        <v>58</v>
      </c>
      <c r="B59" s="39" t="s">
        <v>439</v>
      </c>
      <c r="C59" s="39" t="s">
        <v>615</v>
      </c>
      <c r="D59" s="40" t="s">
        <v>646</v>
      </c>
      <c r="E59" s="44" t="s">
        <v>647</v>
      </c>
      <c r="F59" s="39" t="s">
        <v>648</v>
      </c>
      <c r="G59" s="42">
        <v>46174</v>
      </c>
      <c r="H59" s="43">
        <v>0.98</v>
      </c>
      <c r="I59" s="39" t="s">
        <v>649</v>
      </c>
      <c r="J59" s="40" t="s">
        <v>619</v>
      </c>
      <c r="K59" s="40" t="s">
        <v>519</v>
      </c>
    </row>
    <row r="60" spans="1:11">
      <c r="A60" s="45">
        <f t="shared" si="0"/>
        <v>59</v>
      </c>
      <c r="B60" s="45" t="s">
        <v>439</v>
      </c>
      <c r="C60" s="45" t="s">
        <v>615</v>
      </c>
      <c r="D60" s="46" t="s">
        <v>650</v>
      </c>
      <c r="E60" s="47" t="s">
        <v>651</v>
      </c>
      <c r="F60" s="45" t="s">
        <v>652</v>
      </c>
      <c r="G60" s="48" t="s">
        <v>452</v>
      </c>
      <c r="H60" s="49">
        <v>1</v>
      </c>
      <c r="I60" s="45" t="s">
        <v>636</v>
      </c>
      <c r="J60" s="46" t="s">
        <v>619</v>
      </c>
      <c r="K60" s="46" t="s">
        <v>519</v>
      </c>
    </row>
    <row r="61" spans="1:11">
      <c r="A61" s="39">
        <f t="shared" si="0"/>
        <v>60</v>
      </c>
      <c r="B61" s="39" t="s">
        <v>439</v>
      </c>
      <c r="C61" s="39" t="s">
        <v>615</v>
      </c>
      <c r="D61" s="40" t="s">
        <v>653</v>
      </c>
      <c r="E61" s="44" t="s">
        <v>654</v>
      </c>
      <c r="F61" s="39" t="s">
        <v>655</v>
      </c>
      <c r="G61" s="42">
        <v>46235</v>
      </c>
      <c r="H61" s="43">
        <v>0.9</v>
      </c>
      <c r="I61" s="39" t="s">
        <v>656</v>
      </c>
      <c r="J61" s="40" t="s">
        <v>619</v>
      </c>
      <c r="K61" s="40" t="s">
        <v>519</v>
      </c>
    </row>
    <row r="62" spans="1:11">
      <c r="A62" s="39">
        <f t="shared" si="0"/>
        <v>61</v>
      </c>
      <c r="B62" s="39" t="s">
        <v>439</v>
      </c>
      <c r="C62" s="39" t="s">
        <v>615</v>
      </c>
      <c r="D62" s="40" t="s">
        <v>657</v>
      </c>
      <c r="E62" s="44" t="s">
        <v>658</v>
      </c>
      <c r="F62" s="39" t="s">
        <v>659</v>
      </c>
      <c r="G62" s="42">
        <v>46174</v>
      </c>
      <c r="H62" s="43">
        <v>1</v>
      </c>
      <c r="I62" s="39" t="s">
        <v>660</v>
      </c>
      <c r="J62" s="40" t="s">
        <v>619</v>
      </c>
      <c r="K62" s="40" t="s">
        <v>519</v>
      </c>
    </row>
    <row r="63" spans="1:11">
      <c r="A63" s="39">
        <f t="shared" si="0"/>
        <v>62</v>
      </c>
      <c r="B63" s="39" t="s">
        <v>439</v>
      </c>
      <c r="C63" s="39" t="s">
        <v>615</v>
      </c>
      <c r="D63" s="40" t="s">
        <v>661</v>
      </c>
      <c r="E63" s="44" t="s">
        <v>662</v>
      </c>
      <c r="F63" s="39" t="s">
        <v>663</v>
      </c>
      <c r="G63" s="42">
        <v>46357</v>
      </c>
      <c r="H63" s="43">
        <v>0.96</v>
      </c>
      <c r="I63" s="39"/>
      <c r="J63" s="40" t="s">
        <v>619</v>
      </c>
      <c r="K63" s="40" t="s">
        <v>519</v>
      </c>
    </row>
    <row r="64" spans="1:11">
      <c r="A64" s="39">
        <f t="shared" si="0"/>
        <v>63</v>
      </c>
      <c r="B64" s="39" t="s">
        <v>439</v>
      </c>
      <c r="C64" s="39" t="s">
        <v>615</v>
      </c>
      <c r="D64" s="40" t="s">
        <v>664</v>
      </c>
      <c r="E64" s="44" t="s">
        <v>665</v>
      </c>
      <c r="F64" s="39" t="s">
        <v>666</v>
      </c>
      <c r="G64" s="42">
        <v>46174</v>
      </c>
      <c r="H64" s="43">
        <v>0.93</v>
      </c>
      <c r="I64" s="39" t="s">
        <v>518</v>
      </c>
      <c r="J64" s="40" t="s">
        <v>619</v>
      </c>
      <c r="K64" s="40" t="s">
        <v>519</v>
      </c>
    </row>
    <row r="65" spans="1:11">
      <c r="A65" s="39">
        <f t="shared" si="0"/>
        <v>64</v>
      </c>
      <c r="B65" s="39" t="s">
        <v>439</v>
      </c>
      <c r="C65" s="39" t="s">
        <v>615</v>
      </c>
      <c r="D65" s="40" t="s">
        <v>667</v>
      </c>
      <c r="E65" s="44" t="s">
        <v>668</v>
      </c>
      <c r="F65" s="39" t="s">
        <v>669</v>
      </c>
      <c r="G65" s="42">
        <v>46296</v>
      </c>
      <c r="H65" s="43">
        <v>0.9</v>
      </c>
      <c r="I65" s="39" t="s">
        <v>649</v>
      </c>
      <c r="J65" s="40" t="s">
        <v>619</v>
      </c>
      <c r="K65" s="40" t="s">
        <v>519</v>
      </c>
    </row>
    <row r="66" spans="1:11">
      <c r="A66" s="39">
        <f t="shared" si="0"/>
        <v>65</v>
      </c>
      <c r="B66" s="39" t="s">
        <v>439</v>
      </c>
      <c r="C66" s="39" t="s">
        <v>615</v>
      </c>
      <c r="D66" s="40" t="s">
        <v>670</v>
      </c>
      <c r="E66" s="44" t="s">
        <v>671</v>
      </c>
      <c r="F66" s="39" t="s">
        <v>672</v>
      </c>
      <c r="G66" s="42">
        <v>46235</v>
      </c>
      <c r="H66" s="43">
        <v>0.9</v>
      </c>
      <c r="I66" s="39" t="s">
        <v>649</v>
      </c>
      <c r="J66" s="40" t="s">
        <v>619</v>
      </c>
      <c r="K66" s="40" t="s">
        <v>519</v>
      </c>
    </row>
    <row r="67" spans="1:11">
      <c r="A67" s="39">
        <f t="shared" ref="A67:A130" si="1">ROW()-1</f>
        <v>66</v>
      </c>
      <c r="B67" s="39" t="s">
        <v>439</v>
      </c>
      <c r="C67" s="39" t="s">
        <v>615</v>
      </c>
      <c r="D67" s="40" t="s">
        <v>673</v>
      </c>
      <c r="E67" s="44" t="s">
        <v>674</v>
      </c>
      <c r="F67" s="39" t="s">
        <v>675</v>
      </c>
      <c r="G67" s="42">
        <v>46357</v>
      </c>
      <c r="H67" s="43">
        <v>0.9</v>
      </c>
      <c r="I67" s="39" t="s">
        <v>649</v>
      </c>
      <c r="J67" s="40" t="s">
        <v>619</v>
      </c>
      <c r="K67" s="40" t="s">
        <v>519</v>
      </c>
    </row>
    <row r="68" spans="1:11">
      <c r="A68" s="39">
        <f t="shared" si="1"/>
        <v>67</v>
      </c>
      <c r="B68" s="39" t="s">
        <v>439</v>
      </c>
      <c r="C68" s="39" t="s">
        <v>615</v>
      </c>
      <c r="D68" s="40" t="s">
        <v>676</v>
      </c>
      <c r="E68" s="44" t="s">
        <v>677</v>
      </c>
      <c r="F68" s="39" t="s">
        <v>678</v>
      </c>
      <c r="G68" s="42">
        <v>46357</v>
      </c>
      <c r="H68" s="43">
        <v>0.95</v>
      </c>
      <c r="I68" s="39" t="s">
        <v>660</v>
      </c>
      <c r="J68" s="40" t="s">
        <v>619</v>
      </c>
      <c r="K68" s="40" t="s">
        <v>519</v>
      </c>
    </row>
    <row r="69" spans="1:11">
      <c r="A69" s="39">
        <f t="shared" si="1"/>
        <v>68</v>
      </c>
      <c r="B69" s="39" t="s">
        <v>439</v>
      </c>
      <c r="C69" s="39" t="s">
        <v>615</v>
      </c>
      <c r="D69" s="40" t="s">
        <v>679</v>
      </c>
      <c r="E69" s="44" t="s">
        <v>680</v>
      </c>
      <c r="F69" s="39" t="s">
        <v>681</v>
      </c>
      <c r="G69" s="42">
        <v>46174</v>
      </c>
      <c r="H69" s="43">
        <v>0.79</v>
      </c>
      <c r="I69" s="39"/>
      <c r="J69" s="40" t="s">
        <v>619</v>
      </c>
      <c r="K69" s="40" t="s">
        <v>519</v>
      </c>
    </row>
    <row r="70" spans="1:11">
      <c r="A70" s="39">
        <f t="shared" si="1"/>
        <v>69</v>
      </c>
      <c r="B70" s="39" t="s">
        <v>439</v>
      </c>
      <c r="C70" s="39" t="s">
        <v>615</v>
      </c>
      <c r="D70" s="40" t="s">
        <v>682</v>
      </c>
      <c r="E70" s="44" t="s">
        <v>683</v>
      </c>
      <c r="F70" s="39" t="s">
        <v>684</v>
      </c>
      <c r="G70" s="42">
        <v>46296</v>
      </c>
      <c r="H70" s="43">
        <v>0.75</v>
      </c>
      <c r="I70" s="39" t="s">
        <v>649</v>
      </c>
      <c r="J70" s="40" t="s">
        <v>619</v>
      </c>
      <c r="K70" s="40" t="s">
        <v>519</v>
      </c>
    </row>
    <row r="71" spans="1:11">
      <c r="A71" s="39">
        <f t="shared" si="1"/>
        <v>70</v>
      </c>
      <c r="B71" s="39" t="s">
        <v>439</v>
      </c>
      <c r="C71" s="39" t="s">
        <v>615</v>
      </c>
      <c r="D71" s="40" t="s">
        <v>685</v>
      </c>
      <c r="E71" s="44" t="s">
        <v>686</v>
      </c>
      <c r="F71" s="39" t="s">
        <v>687</v>
      </c>
      <c r="G71" s="42">
        <v>46235</v>
      </c>
      <c r="H71" s="43">
        <v>0.9</v>
      </c>
      <c r="I71" s="39" t="s">
        <v>649</v>
      </c>
      <c r="J71" s="40" t="s">
        <v>619</v>
      </c>
      <c r="K71" s="40" t="s">
        <v>519</v>
      </c>
    </row>
    <row r="72" spans="1:11">
      <c r="A72" s="45">
        <f t="shared" si="1"/>
        <v>71</v>
      </c>
      <c r="B72" s="45" t="s">
        <v>439</v>
      </c>
      <c r="C72" s="45" t="s">
        <v>615</v>
      </c>
      <c r="D72" s="46" t="s">
        <v>688</v>
      </c>
      <c r="E72" s="47" t="s">
        <v>689</v>
      </c>
      <c r="F72" s="45" t="s">
        <v>585</v>
      </c>
      <c r="G72" s="48" t="s">
        <v>452</v>
      </c>
      <c r="H72" s="49">
        <v>1</v>
      </c>
      <c r="I72" s="45" t="s">
        <v>636</v>
      </c>
      <c r="J72" s="46" t="s">
        <v>619</v>
      </c>
      <c r="K72" s="46" t="s">
        <v>519</v>
      </c>
    </row>
    <row r="73" spans="1:11">
      <c r="A73" s="39">
        <f t="shared" si="1"/>
        <v>72</v>
      </c>
      <c r="B73" s="39" t="s">
        <v>439</v>
      </c>
      <c r="C73" s="39" t="s">
        <v>615</v>
      </c>
      <c r="D73" s="40" t="s">
        <v>690</v>
      </c>
      <c r="E73" s="44" t="s">
        <v>691</v>
      </c>
      <c r="F73" s="39" t="s">
        <v>692</v>
      </c>
      <c r="G73" s="42">
        <v>46296</v>
      </c>
      <c r="H73" s="43">
        <v>0.95</v>
      </c>
      <c r="I73" s="39" t="s">
        <v>693</v>
      </c>
      <c r="J73" s="40" t="s">
        <v>619</v>
      </c>
      <c r="K73" s="40" t="s">
        <v>519</v>
      </c>
    </row>
    <row r="74" spans="1:11">
      <c r="A74" s="39">
        <f t="shared" si="1"/>
        <v>73</v>
      </c>
      <c r="B74" s="39" t="s">
        <v>439</v>
      </c>
      <c r="C74" s="39" t="s">
        <v>615</v>
      </c>
      <c r="D74" s="40" t="s">
        <v>694</v>
      </c>
      <c r="E74" s="44" t="s">
        <v>695</v>
      </c>
      <c r="F74" s="39" t="s">
        <v>696</v>
      </c>
      <c r="G74" s="42">
        <v>46296</v>
      </c>
      <c r="H74" s="43">
        <v>0.8</v>
      </c>
      <c r="I74" s="39" t="s">
        <v>693</v>
      </c>
      <c r="J74" s="40" t="s">
        <v>619</v>
      </c>
      <c r="K74" s="40" t="s">
        <v>519</v>
      </c>
    </row>
    <row r="75" spans="1:11">
      <c r="A75" s="39">
        <f t="shared" si="1"/>
        <v>74</v>
      </c>
      <c r="B75" s="39" t="s">
        <v>439</v>
      </c>
      <c r="C75" s="39" t="s">
        <v>615</v>
      </c>
      <c r="D75" s="40" t="s">
        <v>697</v>
      </c>
      <c r="E75" s="44" t="s">
        <v>698</v>
      </c>
      <c r="F75" s="39" t="s">
        <v>699</v>
      </c>
      <c r="G75" s="42">
        <v>46174</v>
      </c>
      <c r="H75" s="43">
        <v>0</v>
      </c>
      <c r="I75" s="39" t="s">
        <v>693</v>
      </c>
      <c r="J75" s="40" t="s">
        <v>619</v>
      </c>
      <c r="K75" s="40" t="s">
        <v>519</v>
      </c>
    </row>
    <row r="76" spans="1:11">
      <c r="A76" s="45">
        <f t="shared" si="1"/>
        <v>75</v>
      </c>
      <c r="B76" s="45" t="s">
        <v>439</v>
      </c>
      <c r="C76" s="45" t="s">
        <v>615</v>
      </c>
      <c r="D76" s="46" t="s">
        <v>700</v>
      </c>
      <c r="E76" s="47" t="s">
        <v>701</v>
      </c>
      <c r="F76" s="45" t="s">
        <v>702</v>
      </c>
      <c r="G76" s="48" t="s">
        <v>452</v>
      </c>
      <c r="H76" s="49">
        <v>1</v>
      </c>
      <c r="I76" s="45" t="s">
        <v>636</v>
      </c>
      <c r="J76" s="46" t="s">
        <v>619</v>
      </c>
      <c r="K76" s="46" t="s">
        <v>519</v>
      </c>
    </row>
    <row r="77" spans="1:11">
      <c r="A77" s="39">
        <f t="shared" si="1"/>
        <v>76</v>
      </c>
      <c r="B77" s="39" t="s">
        <v>439</v>
      </c>
      <c r="C77" s="39" t="s">
        <v>615</v>
      </c>
      <c r="D77" s="40" t="s">
        <v>703</v>
      </c>
      <c r="E77" s="44" t="s">
        <v>704</v>
      </c>
      <c r="F77" s="39" t="s">
        <v>705</v>
      </c>
      <c r="G77" s="42">
        <v>46143</v>
      </c>
      <c r="H77" s="43">
        <v>0.8</v>
      </c>
      <c r="I77" s="39" t="s">
        <v>693</v>
      </c>
      <c r="J77" s="40" t="s">
        <v>619</v>
      </c>
      <c r="K77" s="40" t="s">
        <v>519</v>
      </c>
    </row>
    <row r="78" spans="1:11">
      <c r="A78" s="39">
        <f t="shared" si="1"/>
        <v>77</v>
      </c>
      <c r="B78" s="39" t="s">
        <v>439</v>
      </c>
      <c r="C78" s="39" t="s">
        <v>615</v>
      </c>
      <c r="D78" s="40" t="s">
        <v>706</v>
      </c>
      <c r="E78" s="44" t="s">
        <v>707</v>
      </c>
      <c r="F78" s="39" t="s">
        <v>708</v>
      </c>
      <c r="G78" s="42">
        <v>46174</v>
      </c>
      <c r="H78" s="43">
        <v>0.95</v>
      </c>
      <c r="I78" s="39"/>
      <c r="J78" s="40" t="s">
        <v>619</v>
      </c>
      <c r="K78" s="40" t="s">
        <v>519</v>
      </c>
    </row>
    <row r="79" spans="1:11">
      <c r="A79" s="45">
        <f t="shared" si="1"/>
        <v>78</v>
      </c>
      <c r="B79" s="45" t="s">
        <v>439</v>
      </c>
      <c r="C79" s="45" t="s">
        <v>615</v>
      </c>
      <c r="D79" s="46" t="s">
        <v>709</v>
      </c>
      <c r="E79" s="47" t="s">
        <v>710</v>
      </c>
      <c r="F79" s="45" t="s">
        <v>585</v>
      </c>
      <c r="G79" s="48" t="s">
        <v>452</v>
      </c>
      <c r="H79" s="49">
        <v>1</v>
      </c>
      <c r="I79" s="45" t="s">
        <v>711</v>
      </c>
      <c r="J79" s="46" t="s">
        <v>619</v>
      </c>
      <c r="K79" s="46" t="s">
        <v>519</v>
      </c>
    </row>
    <row r="80" spans="1:11">
      <c r="A80" s="39">
        <f t="shared" si="1"/>
        <v>79</v>
      </c>
      <c r="B80" s="39" t="s">
        <v>439</v>
      </c>
      <c r="C80" s="39" t="s">
        <v>615</v>
      </c>
      <c r="D80" s="40" t="s">
        <v>712</v>
      </c>
      <c r="E80" s="44" t="s">
        <v>713</v>
      </c>
      <c r="F80" s="39">
        <v>9238</v>
      </c>
      <c r="G80" s="42">
        <v>46235</v>
      </c>
      <c r="H80" s="43">
        <v>0.75</v>
      </c>
      <c r="I80" s="39"/>
      <c r="J80" s="40" t="s">
        <v>619</v>
      </c>
      <c r="K80" s="40" t="s">
        <v>519</v>
      </c>
    </row>
    <row r="81" spans="1:11">
      <c r="A81" s="39">
        <f t="shared" si="1"/>
        <v>80</v>
      </c>
      <c r="B81" s="39" t="s">
        <v>439</v>
      </c>
      <c r="C81" s="39" t="s">
        <v>615</v>
      </c>
      <c r="D81" s="40" t="s">
        <v>714</v>
      </c>
      <c r="E81" s="44" t="s">
        <v>715</v>
      </c>
      <c r="F81" s="39">
        <v>73</v>
      </c>
      <c r="G81" s="42">
        <v>46174</v>
      </c>
      <c r="H81" s="43">
        <v>0</v>
      </c>
      <c r="I81" s="39" t="s">
        <v>693</v>
      </c>
      <c r="J81" s="40" t="s">
        <v>619</v>
      </c>
      <c r="K81" s="40" t="s">
        <v>519</v>
      </c>
    </row>
    <row r="82" spans="1:11">
      <c r="A82" s="39">
        <f t="shared" si="1"/>
        <v>81</v>
      </c>
      <c r="B82" s="39" t="s">
        <v>439</v>
      </c>
      <c r="C82" s="39" t="s">
        <v>615</v>
      </c>
      <c r="D82" s="40" t="s">
        <v>716</v>
      </c>
      <c r="E82" s="44" t="s">
        <v>717</v>
      </c>
      <c r="F82" s="39" t="s">
        <v>718</v>
      </c>
      <c r="G82" s="42">
        <v>46143</v>
      </c>
      <c r="H82" s="55">
        <v>1</v>
      </c>
      <c r="I82" s="39" t="s">
        <v>693</v>
      </c>
      <c r="J82" s="40" t="s">
        <v>619</v>
      </c>
      <c r="K82" s="40" t="s">
        <v>519</v>
      </c>
    </row>
    <row r="83" spans="1:11">
      <c r="A83" s="39">
        <f t="shared" si="1"/>
        <v>82</v>
      </c>
      <c r="B83" s="39" t="s">
        <v>439</v>
      </c>
      <c r="C83" s="39" t="s">
        <v>615</v>
      </c>
      <c r="D83" s="40" t="s">
        <v>719</v>
      </c>
      <c r="E83" s="44" t="s">
        <v>720</v>
      </c>
      <c r="F83" s="39" t="s">
        <v>721</v>
      </c>
      <c r="G83" s="42">
        <v>46143</v>
      </c>
      <c r="H83" s="55">
        <v>0.95</v>
      </c>
      <c r="I83" s="39" t="s">
        <v>693</v>
      </c>
      <c r="J83" s="40" t="s">
        <v>619</v>
      </c>
      <c r="K83" s="40" t="s">
        <v>519</v>
      </c>
    </row>
    <row r="84" spans="1:11">
      <c r="A84" s="39">
        <f t="shared" si="1"/>
        <v>83</v>
      </c>
      <c r="B84" s="39" t="s">
        <v>439</v>
      </c>
      <c r="C84" s="39" t="s">
        <v>615</v>
      </c>
      <c r="D84" s="40" t="s">
        <v>722</v>
      </c>
      <c r="E84" s="44" t="s">
        <v>723</v>
      </c>
      <c r="F84" s="39" t="s">
        <v>724</v>
      </c>
      <c r="G84" s="42">
        <v>46296</v>
      </c>
      <c r="H84" s="43">
        <v>0.93</v>
      </c>
      <c r="I84" s="39"/>
      <c r="J84" s="40" t="s">
        <v>619</v>
      </c>
      <c r="K84" s="40" t="s">
        <v>519</v>
      </c>
    </row>
    <row r="85" spans="1:11">
      <c r="A85" s="39">
        <f t="shared" si="1"/>
        <v>84</v>
      </c>
      <c r="B85" s="39" t="s">
        <v>439</v>
      </c>
      <c r="C85" s="39" t="s">
        <v>615</v>
      </c>
      <c r="D85" s="40" t="s">
        <v>725</v>
      </c>
      <c r="E85" s="44" t="s">
        <v>726</v>
      </c>
      <c r="F85" s="39" t="s">
        <v>727</v>
      </c>
      <c r="G85" s="42">
        <v>46174</v>
      </c>
      <c r="H85" s="43">
        <v>0.96</v>
      </c>
      <c r="I85" s="39"/>
      <c r="J85" s="40" t="s">
        <v>619</v>
      </c>
      <c r="K85" s="40" t="s">
        <v>519</v>
      </c>
    </row>
    <row r="86" spans="1:11">
      <c r="A86" s="45">
        <f t="shared" si="1"/>
        <v>85</v>
      </c>
      <c r="B86" s="45" t="s">
        <v>439</v>
      </c>
      <c r="C86" s="45" t="s">
        <v>615</v>
      </c>
      <c r="D86" s="46" t="s">
        <v>728</v>
      </c>
      <c r="E86" s="47" t="s">
        <v>729</v>
      </c>
      <c r="F86" s="45" t="s">
        <v>730</v>
      </c>
      <c r="G86" s="48" t="s">
        <v>452</v>
      </c>
      <c r="H86" s="49">
        <v>1</v>
      </c>
      <c r="I86" s="45" t="s">
        <v>636</v>
      </c>
      <c r="J86" s="46" t="s">
        <v>619</v>
      </c>
      <c r="K86" s="46" t="s">
        <v>519</v>
      </c>
    </row>
    <row r="87" spans="1:11">
      <c r="A87" s="45">
        <f t="shared" si="1"/>
        <v>86</v>
      </c>
      <c r="B87" s="45" t="s">
        <v>439</v>
      </c>
      <c r="C87" s="45" t="s">
        <v>615</v>
      </c>
      <c r="D87" s="46" t="s">
        <v>731</v>
      </c>
      <c r="E87" s="47" t="s">
        <v>732</v>
      </c>
      <c r="F87" s="45" t="s">
        <v>733</v>
      </c>
      <c r="G87" s="48" t="s">
        <v>452</v>
      </c>
      <c r="H87" s="49">
        <v>1</v>
      </c>
      <c r="I87" s="45" t="s">
        <v>711</v>
      </c>
      <c r="J87" s="46" t="s">
        <v>619</v>
      </c>
      <c r="K87" s="46" t="s">
        <v>519</v>
      </c>
    </row>
    <row r="88" spans="1:11">
      <c r="A88" s="39">
        <f t="shared" si="1"/>
        <v>87</v>
      </c>
      <c r="B88" s="39" t="s">
        <v>439</v>
      </c>
      <c r="C88" s="39" t="s">
        <v>734</v>
      </c>
      <c r="D88" s="40" t="s">
        <v>735</v>
      </c>
      <c r="E88" s="44" t="s">
        <v>736</v>
      </c>
      <c r="F88" s="39" t="s">
        <v>737</v>
      </c>
      <c r="G88" s="42">
        <v>46143</v>
      </c>
      <c r="H88" s="55">
        <v>1</v>
      </c>
      <c r="I88" s="56" t="s">
        <v>738</v>
      </c>
      <c r="J88" s="40" t="s">
        <v>739</v>
      </c>
      <c r="K88" s="40" t="s">
        <v>740</v>
      </c>
    </row>
    <row r="89" spans="1:11">
      <c r="A89" s="45">
        <f t="shared" si="1"/>
        <v>88</v>
      </c>
      <c r="B89" s="45" t="s">
        <v>439</v>
      </c>
      <c r="C89" s="45" t="s">
        <v>734</v>
      </c>
      <c r="D89" s="46" t="s">
        <v>741</v>
      </c>
      <c r="E89" s="47" t="s">
        <v>742</v>
      </c>
      <c r="F89" s="45" t="s">
        <v>743</v>
      </c>
      <c r="G89" s="48" t="s">
        <v>452</v>
      </c>
      <c r="H89" s="49">
        <v>1</v>
      </c>
      <c r="I89" s="45" t="s">
        <v>744</v>
      </c>
      <c r="J89" s="46" t="s">
        <v>739</v>
      </c>
      <c r="K89" s="46" t="s">
        <v>740</v>
      </c>
    </row>
    <row r="90" spans="1:11">
      <c r="A90" s="45">
        <f t="shared" si="1"/>
        <v>89</v>
      </c>
      <c r="B90" s="45" t="s">
        <v>439</v>
      </c>
      <c r="C90" s="45" t="s">
        <v>734</v>
      </c>
      <c r="D90" s="46" t="s">
        <v>745</v>
      </c>
      <c r="E90" s="47" t="s">
        <v>746</v>
      </c>
      <c r="F90" s="45" t="s">
        <v>747</v>
      </c>
      <c r="G90" s="48" t="s">
        <v>452</v>
      </c>
      <c r="H90" s="49">
        <v>1</v>
      </c>
      <c r="I90" s="45" t="s">
        <v>744</v>
      </c>
      <c r="J90" s="46" t="s">
        <v>739</v>
      </c>
      <c r="K90" s="46" t="s">
        <v>740</v>
      </c>
    </row>
    <row r="91" spans="1:11">
      <c r="A91" s="39">
        <f t="shared" si="1"/>
        <v>90</v>
      </c>
      <c r="B91" s="39" t="s">
        <v>439</v>
      </c>
      <c r="C91" s="39" t="s">
        <v>734</v>
      </c>
      <c r="D91" s="40" t="s">
        <v>748</v>
      </c>
      <c r="E91" s="44" t="s">
        <v>749</v>
      </c>
      <c r="F91" s="39" t="s">
        <v>750</v>
      </c>
      <c r="G91" s="42">
        <v>46143</v>
      </c>
      <c r="H91" s="55">
        <v>1</v>
      </c>
      <c r="I91" s="39" t="s">
        <v>751</v>
      </c>
      <c r="J91" s="40" t="s">
        <v>752</v>
      </c>
      <c r="K91" s="40" t="s">
        <v>740</v>
      </c>
    </row>
    <row r="92" spans="1:11">
      <c r="A92" s="39">
        <f t="shared" si="1"/>
        <v>91</v>
      </c>
      <c r="B92" s="39" t="s">
        <v>439</v>
      </c>
      <c r="C92" s="39" t="s">
        <v>734</v>
      </c>
      <c r="D92" s="40" t="s">
        <v>753</v>
      </c>
      <c r="E92" s="44" t="s">
        <v>754</v>
      </c>
      <c r="F92" s="39" t="s">
        <v>743</v>
      </c>
      <c r="G92" s="42">
        <v>46143</v>
      </c>
      <c r="H92" s="55">
        <v>1</v>
      </c>
      <c r="I92" s="56" t="s">
        <v>755</v>
      </c>
      <c r="J92" s="40" t="s">
        <v>752</v>
      </c>
      <c r="K92" s="40" t="s">
        <v>740</v>
      </c>
    </row>
    <row r="93" spans="1:11">
      <c r="A93" s="39">
        <f t="shared" si="1"/>
        <v>92</v>
      </c>
      <c r="B93" s="39" t="s">
        <v>439</v>
      </c>
      <c r="C93" s="39" t="s">
        <v>734</v>
      </c>
      <c r="D93" s="40" t="s">
        <v>756</v>
      </c>
      <c r="E93" s="44" t="s">
        <v>757</v>
      </c>
      <c r="F93" s="39" t="s">
        <v>758</v>
      </c>
      <c r="G93" s="42">
        <v>46143</v>
      </c>
      <c r="H93" s="55">
        <v>1</v>
      </c>
      <c r="I93" s="39" t="s">
        <v>759</v>
      </c>
      <c r="J93" s="40" t="s">
        <v>739</v>
      </c>
      <c r="K93" s="40" t="s">
        <v>740</v>
      </c>
    </row>
    <row r="94" spans="1:11">
      <c r="A94" s="39">
        <f t="shared" si="1"/>
        <v>93</v>
      </c>
      <c r="B94" s="39" t="s">
        <v>439</v>
      </c>
      <c r="C94" s="39" t="s">
        <v>734</v>
      </c>
      <c r="D94" s="40" t="s">
        <v>760</v>
      </c>
      <c r="E94" s="44" t="s">
        <v>761</v>
      </c>
      <c r="F94" s="39" t="s">
        <v>762</v>
      </c>
      <c r="G94" s="42">
        <v>46143</v>
      </c>
      <c r="H94" s="55">
        <v>1</v>
      </c>
      <c r="I94" s="39" t="s">
        <v>763</v>
      </c>
      <c r="J94" s="40" t="s">
        <v>752</v>
      </c>
      <c r="K94" s="40" t="s">
        <v>740</v>
      </c>
    </row>
    <row r="95" spans="1:11">
      <c r="A95" s="39">
        <f t="shared" si="1"/>
        <v>94</v>
      </c>
      <c r="B95" s="39" t="s">
        <v>439</v>
      </c>
      <c r="C95" s="39" t="s">
        <v>734</v>
      </c>
      <c r="D95" s="40" t="s">
        <v>764</v>
      </c>
      <c r="E95" s="44" t="s">
        <v>765</v>
      </c>
      <c r="F95" s="39" t="s">
        <v>766</v>
      </c>
      <c r="G95" s="42">
        <v>46143</v>
      </c>
      <c r="H95" s="55">
        <v>1</v>
      </c>
      <c r="I95" s="39" t="s">
        <v>763</v>
      </c>
      <c r="J95" s="40" t="s">
        <v>752</v>
      </c>
      <c r="K95" s="40" t="s">
        <v>740</v>
      </c>
    </row>
    <row r="96" spans="1:11">
      <c r="A96" s="39">
        <f t="shared" si="1"/>
        <v>95</v>
      </c>
      <c r="B96" s="39" t="s">
        <v>439</v>
      </c>
      <c r="C96" s="39" t="s">
        <v>734</v>
      </c>
      <c r="D96" s="40" t="s">
        <v>767</v>
      </c>
      <c r="E96" s="44" t="s">
        <v>768</v>
      </c>
      <c r="F96" s="39" t="s">
        <v>769</v>
      </c>
      <c r="G96" s="42">
        <v>46143</v>
      </c>
      <c r="H96" s="55">
        <v>1</v>
      </c>
      <c r="I96" s="39" t="s">
        <v>763</v>
      </c>
      <c r="J96" s="40" t="s">
        <v>752</v>
      </c>
      <c r="K96" s="40" t="s">
        <v>740</v>
      </c>
    </row>
    <row r="97" spans="1:11">
      <c r="A97" s="39">
        <f t="shared" si="1"/>
        <v>96</v>
      </c>
      <c r="B97" s="39" t="s">
        <v>439</v>
      </c>
      <c r="C97" s="39" t="s">
        <v>734</v>
      </c>
      <c r="D97" s="40" t="s">
        <v>770</v>
      </c>
      <c r="E97" s="44" t="s">
        <v>771</v>
      </c>
      <c r="F97" s="39" t="s">
        <v>772</v>
      </c>
      <c r="G97" s="42">
        <v>46143</v>
      </c>
      <c r="H97" s="43">
        <v>1</v>
      </c>
      <c r="I97" s="39" t="s">
        <v>773</v>
      </c>
      <c r="J97" s="40" t="s">
        <v>774</v>
      </c>
      <c r="K97" s="40" t="s">
        <v>740</v>
      </c>
    </row>
    <row r="98" spans="1:11">
      <c r="A98" s="39">
        <f t="shared" si="1"/>
        <v>97</v>
      </c>
      <c r="B98" s="39" t="s">
        <v>439</v>
      </c>
      <c r="C98" s="39" t="s">
        <v>734</v>
      </c>
      <c r="D98" s="40" t="s">
        <v>775</v>
      </c>
      <c r="E98" s="44" t="s">
        <v>776</v>
      </c>
      <c r="F98" s="39" t="s">
        <v>777</v>
      </c>
      <c r="G98" s="42">
        <v>46143</v>
      </c>
      <c r="H98" s="55">
        <v>1</v>
      </c>
      <c r="I98" s="56" t="s">
        <v>755</v>
      </c>
      <c r="J98" s="40" t="s">
        <v>752</v>
      </c>
      <c r="K98" s="40" t="s">
        <v>740</v>
      </c>
    </row>
    <row r="99" spans="1:11">
      <c r="A99" s="39">
        <f t="shared" si="1"/>
        <v>98</v>
      </c>
      <c r="B99" s="39" t="s">
        <v>439</v>
      </c>
      <c r="C99" s="39" t="s">
        <v>734</v>
      </c>
      <c r="D99" s="40" t="s">
        <v>778</v>
      </c>
      <c r="E99" s="44" t="s">
        <v>779</v>
      </c>
      <c r="F99" s="39" t="s">
        <v>780</v>
      </c>
      <c r="G99" s="42">
        <v>46143</v>
      </c>
      <c r="H99" s="43">
        <v>1</v>
      </c>
      <c r="I99" s="39" t="s">
        <v>781</v>
      </c>
      <c r="J99" s="40" t="s">
        <v>740</v>
      </c>
      <c r="K99" s="40" t="s">
        <v>739</v>
      </c>
    </row>
    <row r="100" spans="1:11">
      <c r="A100" s="39">
        <f t="shared" si="1"/>
        <v>99</v>
      </c>
      <c r="B100" s="39" t="s">
        <v>439</v>
      </c>
      <c r="C100" s="39" t="s">
        <v>734</v>
      </c>
      <c r="D100" s="40" t="s">
        <v>782</v>
      </c>
      <c r="E100" s="44" t="s">
        <v>783</v>
      </c>
      <c r="F100" s="39" t="s">
        <v>766</v>
      </c>
      <c r="G100" s="42">
        <v>46143</v>
      </c>
      <c r="H100" s="55">
        <v>1</v>
      </c>
      <c r="I100" s="39" t="s">
        <v>784</v>
      </c>
      <c r="J100" s="40" t="s">
        <v>739</v>
      </c>
      <c r="K100" s="40" t="s">
        <v>740</v>
      </c>
    </row>
    <row r="101" spans="1:11">
      <c r="A101" s="39">
        <f t="shared" si="1"/>
        <v>100</v>
      </c>
      <c r="B101" s="39" t="s">
        <v>439</v>
      </c>
      <c r="C101" s="39" t="s">
        <v>734</v>
      </c>
      <c r="D101" s="40" t="s">
        <v>785</v>
      </c>
      <c r="E101" s="44" t="s">
        <v>786</v>
      </c>
      <c r="F101" s="39" t="s">
        <v>603</v>
      </c>
      <c r="G101" s="42">
        <v>46174</v>
      </c>
      <c r="H101" s="43">
        <v>0.4</v>
      </c>
      <c r="I101" s="39" t="s">
        <v>787</v>
      </c>
      <c r="J101" s="40" t="s">
        <v>740</v>
      </c>
      <c r="K101" s="40" t="s">
        <v>739</v>
      </c>
    </row>
    <row r="102" spans="1:11">
      <c r="A102" s="39">
        <f t="shared" si="1"/>
        <v>101</v>
      </c>
      <c r="B102" s="39" t="s">
        <v>439</v>
      </c>
      <c r="C102" s="39" t="s">
        <v>734</v>
      </c>
      <c r="D102" s="40" t="s">
        <v>788</v>
      </c>
      <c r="E102" s="44" t="s">
        <v>789</v>
      </c>
      <c r="F102" s="39" t="s">
        <v>603</v>
      </c>
      <c r="G102" s="42">
        <v>46143</v>
      </c>
      <c r="H102" s="55">
        <v>1</v>
      </c>
      <c r="I102" s="39" t="s">
        <v>787</v>
      </c>
      <c r="J102" s="40" t="s">
        <v>739</v>
      </c>
      <c r="K102" s="40" t="s">
        <v>740</v>
      </c>
    </row>
    <row r="103" spans="1:11">
      <c r="A103" s="39">
        <f t="shared" si="1"/>
        <v>102</v>
      </c>
      <c r="B103" s="39" t="s">
        <v>439</v>
      </c>
      <c r="C103" s="39" t="s">
        <v>734</v>
      </c>
      <c r="D103" s="40" t="s">
        <v>790</v>
      </c>
      <c r="E103" s="44" t="s">
        <v>791</v>
      </c>
      <c r="F103" s="39" t="s">
        <v>603</v>
      </c>
      <c r="G103" s="42" t="s">
        <v>792</v>
      </c>
      <c r="H103" s="42" t="s">
        <v>792</v>
      </c>
      <c r="I103" s="39" t="s">
        <v>793</v>
      </c>
      <c r="J103" s="40" t="s">
        <v>740</v>
      </c>
      <c r="K103" s="40" t="s">
        <v>740</v>
      </c>
    </row>
    <row r="104" spans="1:11">
      <c r="A104" s="39">
        <f t="shared" si="1"/>
        <v>103</v>
      </c>
      <c r="B104" s="39" t="s">
        <v>439</v>
      </c>
      <c r="C104" s="39" t="s">
        <v>734</v>
      </c>
      <c r="D104" s="40" t="s">
        <v>794</v>
      </c>
      <c r="E104" s="44" t="s">
        <v>795</v>
      </c>
      <c r="F104" s="39" t="s">
        <v>796</v>
      </c>
      <c r="G104" s="42">
        <v>46172</v>
      </c>
      <c r="H104" s="55">
        <v>0.95</v>
      </c>
      <c r="I104" s="39" t="s">
        <v>797</v>
      </c>
      <c r="J104" s="40" t="s">
        <v>740</v>
      </c>
      <c r="K104" s="40" t="s">
        <v>739</v>
      </c>
    </row>
    <row r="105" spans="1:11">
      <c r="A105" s="39">
        <f t="shared" si="1"/>
        <v>104</v>
      </c>
      <c r="B105" s="39" t="s">
        <v>439</v>
      </c>
      <c r="C105" s="39" t="s">
        <v>734</v>
      </c>
      <c r="D105" s="40" t="s">
        <v>798</v>
      </c>
      <c r="E105" s="44" t="s">
        <v>799</v>
      </c>
      <c r="F105" s="39" t="s">
        <v>603</v>
      </c>
      <c r="G105" s="42">
        <v>46143</v>
      </c>
      <c r="H105" s="55">
        <v>0.93</v>
      </c>
      <c r="I105" s="39" t="s">
        <v>800</v>
      </c>
      <c r="J105" s="40" t="s">
        <v>740</v>
      </c>
      <c r="K105" s="40" t="s">
        <v>801</v>
      </c>
    </row>
    <row r="106" spans="1:11">
      <c r="A106" s="39">
        <f t="shared" si="1"/>
        <v>105</v>
      </c>
      <c r="B106" s="39" t="s">
        <v>439</v>
      </c>
      <c r="C106" s="39" t="s">
        <v>734</v>
      </c>
      <c r="D106" s="40" t="s">
        <v>802</v>
      </c>
      <c r="E106" s="44" t="s">
        <v>803</v>
      </c>
      <c r="F106" s="39" t="s">
        <v>804</v>
      </c>
      <c r="G106" s="42">
        <v>46143</v>
      </c>
      <c r="H106" s="55">
        <v>0</v>
      </c>
      <c r="I106" s="39" t="s">
        <v>805</v>
      </c>
      <c r="J106" s="40" t="s">
        <v>740</v>
      </c>
      <c r="K106" s="40" t="s">
        <v>806</v>
      </c>
    </row>
    <row r="107" spans="1:11">
      <c r="A107" s="39">
        <f t="shared" si="1"/>
        <v>106</v>
      </c>
      <c r="B107" s="39" t="s">
        <v>439</v>
      </c>
      <c r="C107" s="39" t="s">
        <v>734</v>
      </c>
      <c r="D107" s="40" t="s">
        <v>807</v>
      </c>
      <c r="E107" s="44" t="s">
        <v>808</v>
      </c>
      <c r="F107" s="39" t="s">
        <v>809</v>
      </c>
      <c r="G107" s="42">
        <v>46174</v>
      </c>
      <c r="H107" s="55">
        <v>0</v>
      </c>
      <c r="I107" s="39" t="s">
        <v>810</v>
      </c>
      <c r="J107" s="40" t="s">
        <v>740</v>
      </c>
      <c r="K107" s="40" t="s">
        <v>806</v>
      </c>
    </row>
    <row r="108" spans="1:11">
      <c r="A108" s="39">
        <f t="shared" si="1"/>
        <v>107</v>
      </c>
      <c r="B108" s="39" t="s">
        <v>439</v>
      </c>
      <c r="C108" s="39" t="s">
        <v>734</v>
      </c>
      <c r="D108" s="40" t="s">
        <v>811</v>
      </c>
      <c r="E108" s="44" t="s">
        <v>812</v>
      </c>
      <c r="F108" s="39" t="s">
        <v>813</v>
      </c>
      <c r="G108" s="42" t="s">
        <v>792</v>
      </c>
      <c r="H108" s="42" t="s">
        <v>792</v>
      </c>
      <c r="I108" s="39" t="s">
        <v>793</v>
      </c>
      <c r="J108" s="40" t="s">
        <v>740</v>
      </c>
      <c r="K108" s="40" t="s">
        <v>740</v>
      </c>
    </row>
    <row r="109" spans="1:11">
      <c r="A109" s="39">
        <f t="shared" si="1"/>
        <v>108</v>
      </c>
      <c r="B109" s="39" t="s">
        <v>439</v>
      </c>
      <c r="C109" s="39" t="s">
        <v>734</v>
      </c>
      <c r="D109" s="40" t="s">
        <v>814</v>
      </c>
      <c r="E109" s="44" t="s">
        <v>815</v>
      </c>
      <c r="F109" s="39" t="s">
        <v>603</v>
      </c>
      <c r="G109" s="42" t="s">
        <v>792</v>
      </c>
      <c r="H109" s="42" t="s">
        <v>792</v>
      </c>
      <c r="I109" s="39" t="s">
        <v>793</v>
      </c>
      <c r="J109" s="40" t="s">
        <v>740</v>
      </c>
      <c r="K109" s="40" t="s">
        <v>740</v>
      </c>
    </row>
    <row r="110" spans="1:11">
      <c r="A110" s="39">
        <f t="shared" si="1"/>
        <v>109</v>
      </c>
      <c r="B110" s="39" t="s">
        <v>439</v>
      </c>
      <c r="C110" s="39" t="s">
        <v>734</v>
      </c>
      <c r="D110" s="40" t="s">
        <v>816</v>
      </c>
      <c r="E110" s="44" t="s">
        <v>817</v>
      </c>
      <c r="F110" s="39" t="s">
        <v>603</v>
      </c>
      <c r="G110" s="42" t="s">
        <v>792</v>
      </c>
      <c r="H110" s="42" t="s">
        <v>792</v>
      </c>
      <c r="I110" s="39" t="s">
        <v>793</v>
      </c>
      <c r="J110" s="40" t="s">
        <v>740</v>
      </c>
      <c r="K110" s="40" t="s">
        <v>740</v>
      </c>
    </row>
    <row r="111" spans="1:11">
      <c r="A111" s="39">
        <f t="shared" si="1"/>
        <v>110</v>
      </c>
      <c r="B111" s="39" t="s">
        <v>439</v>
      </c>
      <c r="C111" s="39" t="s">
        <v>734</v>
      </c>
      <c r="D111" s="40" t="s">
        <v>818</v>
      </c>
      <c r="E111" s="44" t="s">
        <v>819</v>
      </c>
      <c r="F111" s="39" t="s">
        <v>603</v>
      </c>
      <c r="G111" s="42" t="s">
        <v>792</v>
      </c>
      <c r="H111" s="42" t="s">
        <v>792</v>
      </c>
      <c r="I111" s="39" t="s">
        <v>793</v>
      </c>
      <c r="J111" s="40" t="s">
        <v>740</v>
      </c>
      <c r="K111" s="40" t="s">
        <v>740</v>
      </c>
    </row>
    <row r="112" spans="1:11">
      <c r="A112" s="39">
        <f t="shared" si="1"/>
        <v>111</v>
      </c>
      <c r="B112" s="39" t="s">
        <v>439</v>
      </c>
      <c r="C112" s="39" t="s">
        <v>734</v>
      </c>
      <c r="D112" s="40" t="s">
        <v>820</v>
      </c>
      <c r="E112" s="44" t="s">
        <v>821</v>
      </c>
      <c r="F112" s="39" t="s">
        <v>603</v>
      </c>
      <c r="G112" s="42" t="s">
        <v>792</v>
      </c>
      <c r="H112" s="42" t="s">
        <v>792</v>
      </c>
      <c r="I112" s="39" t="s">
        <v>793</v>
      </c>
      <c r="J112" s="40" t="s">
        <v>740</v>
      </c>
      <c r="K112" s="40" t="s">
        <v>740</v>
      </c>
    </row>
    <row r="113" spans="1:11">
      <c r="A113" s="39">
        <f t="shared" si="1"/>
        <v>112</v>
      </c>
      <c r="B113" s="39" t="s">
        <v>439</v>
      </c>
      <c r="C113" s="39" t="s">
        <v>734</v>
      </c>
      <c r="D113" s="40" t="s">
        <v>822</v>
      </c>
      <c r="E113" s="44" t="s">
        <v>823</v>
      </c>
      <c r="F113" s="39" t="s">
        <v>603</v>
      </c>
      <c r="G113" s="42" t="s">
        <v>792</v>
      </c>
      <c r="H113" s="42" t="s">
        <v>792</v>
      </c>
      <c r="I113" s="39" t="s">
        <v>793</v>
      </c>
      <c r="J113" s="40" t="s">
        <v>740</v>
      </c>
      <c r="K113" s="40" t="s">
        <v>740</v>
      </c>
    </row>
    <row r="114" spans="1:11">
      <c r="A114" s="39">
        <f t="shared" si="1"/>
        <v>113</v>
      </c>
      <c r="B114" s="39" t="s">
        <v>439</v>
      </c>
      <c r="C114" s="39" t="s">
        <v>734</v>
      </c>
      <c r="D114" s="40" t="s">
        <v>824</v>
      </c>
      <c r="E114" s="44" t="s">
        <v>825</v>
      </c>
      <c r="F114" s="39" t="s">
        <v>603</v>
      </c>
      <c r="G114" s="42" t="s">
        <v>792</v>
      </c>
      <c r="H114" s="42" t="s">
        <v>792</v>
      </c>
      <c r="I114" s="39" t="s">
        <v>793</v>
      </c>
      <c r="J114" s="40" t="s">
        <v>740</v>
      </c>
      <c r="K114" s="40" t="s">
        <v>740</v>
      </c>
    </row>
    <row r="115" spans="1:11">
      <c r="A115" s="39">
        <f t="shared" si="1"/>
        <v>114</v>
      </c>
      <c r="B115" s="39" t="s">
        <v>439</v>
      </c>
      <c r="C115" s="39" t="s">
        <v>734</v>
      </c>
      <c r="D115" s="40" t="s">
        <v>826</v>
      </c>
      <c r="E115" s="44" t="s">
        <v>827</v>
      </c>
      <c r="F115" s="39" t="s">
        <v>603</v>
      </c>
      <c r="G115" s="42" t="s">
        <v>792</v>
      </c>
      <c r="H115" s="42" t="s">
        <v>792</v>
      </c>
      <c r="I115" s="39" t="s">
        <v>793</v>
      </c>
      <c r="J115" s="40" t="s">
        <v>740</v>
      </c>
      <c r="K115" s="40" t="s">
        <v>740</v>
      </c>
    </row>
    <row r="116" spans="1:11">
      <c r="A116" s="39">
        <f t="shared" si="1"/>
        <v>115</v>
      </c>
      <c r="B116" s="39" t="s">
        <v>439</v>
      </c>
      <c r="C116" s="39" t="s">
        <v>734</v>
      </c>
      <c r="D116" s="40" t="s">
        <v>828</v>
      </c>
      <c r="E116" s="44" t="s">
        <v>829</v>
      </c>
      <c r="F116" s="39" t="s">
        <v>830</v>
      </c>
      <c r="G116" s="42">
        <v>46172</v>
      </c>
      <c r="H116" s="43">
        <v>0.97599999999999998</v>
      </c>
      <c r="I116" s="39" t="s">
        <v>810</v>
      </c>
      <c r="J116" s="40" t="s">
        <v>740</v>
      </c>
      <c r="K116" s="40" t="s">
        <v>801</v>
      </c>
    </row>
    <row r="117" spans="1:11">
      <c r="A117" s="39">
        <f t="shared" si="1"/>
        <v>116</v>
      </c>
      <c r="B117" s="39" t="s">
        <v>439</v>
      </c>
      <c r="C117" s="39" t="s">
        <v>734</v>
      </c>
      <c r="D117" s="40" t="s">
        <v>831</v>
      </c>
      <c r="E117" s="44" t="s">
        <v>832</v>
      </c>
      <c r="F117" s="39" t="s">
        <v>833</v>
      </c>
      <c r="G117" s="42">
        <v>46143</v>
      </c>
      <c r="H117" s="55">
        <v>0.95</v>
      </c>
      <c r="I117" s="39" t="s">
        <v>834</v>
      </c>
      <c r="J117" s="40" t="s">
        <v>740</v>
      </c>
      <c r="K117" s="40" t="s">
        <v>801</v>
      </c>
    </row>
    <row r="118" spans="1:11">
      <c r="A118" s="45">
        <f t="shared" si="1"/>
        <v>117</v>
      </c>
      <c r="B118" s="45" t="s">
        <v>439</v>
      </c>
      <c r="C118" s="45" t="s">
        <v>734</v>
      </c>
      <c r="D118" s="46" t="s">
        <v>835</v>
      </c>
      <c r="E118" s="47" t="s">
        <v>836</v>
      </c>
      <c r="F118" s="45" t="s">
        <v>603</v>
      </c>
      <c r="G118" s="48" t="s">
        <v>452</v>
      </c>
      <c r="H118" s="49">
        <v>1</v>
      </c>
      <c r="I118" s="45" t="s">
        <v>837</v>
      </c>
      <c r="J118" s="46" t="s">
        <v>740</v>
      </c>
      <c r="K118" s="46" t="s">
        <v>801</v>
      </c>
    </row>
    <row r="119" spans="1:11">
      <c r="A119" s="39">
        <f t="shared" si="1"/>
        <v>118</v>
      </c>
      <c r="B119" s="39" t="s">
        <v>439</v>
      </c>
      <c r="C119" s="39" t="s">
        <v>734</v>
      </c>
      <c r="D119" s="40" t="s">
        <v>838</v>
      </c>
      <c r="E119" s="44" t="s">
        <v>839</v>
      </c>
      <c r="F119" s="39" t="s">
        <v>603</v>
      </c>
      <c r="G119" s="42" t="s">
        <v>792</v>
      </c>
      <c r="H119" s="42" t="s">
        <v>792</v>
      </c>
      <c r="I119" s="39" t="s">
        <v>793</v>
      </c>
      <c r="J119" s="40" t="s">
        <v>740</v>
      </c>
      <c r="K119" s="40" t="s">
        <v>740</v>
      </c>
    </row>
    <row r="120" spans="1:11">
      <c r="A120" s="39">
        <f t="shared" si="1"/>
        <v>119</v>
      </c>
      <c r="B120" s="39" t="s">
        <v>439</v>
      </c>
      <c r="C120" s="39" t="s">
        <v>840</v>
      </c>
      <c r="D120" s="40" t="s">
        <v>841</v>
      </c>
      <c r="E120" s="44" t="s">
        <v>842</v>
      </c>
      <c r="F120" s="39" t="s">
        <v>603</v>
      </c>
      <c r="G120" s="42" t="s">
        <v>792</v>
      </c>
      <c r="H120" s="42" t="s">
        <v>792</v>
      </c>
      <c r="I120" s="39" t="s">
        <v>793</v>
      </c>
      <c r="J120" s="40" t="s">
        <v>740</v>
      </c>
      <c r="K120" s="40" t="s">
        <v>740</v>
      </c>
    </row>
    <row r="121" spans="1:11" ht="48">
      <c r="A121" s="39">
        <f t="shared" si="1"/>
        <v>120</v>
      </c>
      <c r="B121" s="39" t="s">
        <v>439</v>
      </c>
      <c r="C121" s="39" t="s">
        <v>843</v>
      </c>
      <c r="D121" s="40" t="s">
        <v>844</v>
      </c>
      <c r="E121" s="44" t="s">
        <v>845</v>
      </c>
      <c r="F121" s="39" t="s">
        <v>846</v>
      </c>
      <c r="G121" s="42">
        <v>46143</v>
      </c>
      <c r="H121" s="43">
        <v>0.93</v>
      </c>
      <c r="I121" s="68" t="s">
        <v>847</v>
      </c>
      <c r="J121" s="40" t="s">
        <v>752</v>
      </c>
      <c r="K121" s="40" t="s">
        <v>774</v>
      </c>
    </row>
    <row r="122" spans="1:11">
      <c r="A122" s="39">
        <f t="shared" si="1"/>
        <v>121</v>
      </c>
      <c r="B122" s="39" t="s">
        <v>439</v>
      </c>
      <c r="C122" s="39" t="s">
        <v>843</v>
      </c>
      <c r="D122" s="40" t="s">
        <v>848</v>
      </c>
      <c r="E122" s="44" t="s">
        <v>849</v>
      </c>
      <c r="F122" s="39" t="s">
        <v>850</v>
      </c>
      <c r="G122" s="42">
        <v>46174</v>
      </c>
      <c r="H122" s="43">
        <v>0</v>
      </c>
      <c r="I122" s="39"/>
      <c r="J122" s="40" t="s">
        <v>740</v>
      </c>
      <c r="K122" s="40" t="s">
        <v>752</v>
      </c>
    </row>
    <row r="123" spans="1:11">
      <c r="A123" s="39">
        <f t="shared" si="1"/>
        <v>122</v>
      </c>
      <c r="B123" s="39" t="s">
        <v>439</v>
      </c>
      <c r="C123" s="39" t="s">
        <v>843</v>
      </c>
      <c r="D123" s="40" t="s">
        <v>851</v>
      </c>
      <c r="E123" s="44" t="s">
        <v>852</v>
      </c>
      <c r="F123" s="39" t="s">
        <v>853</v>
      </c>
      <c r="G123" s="42" t="s">
        <v>792</v>
      </c>
      <c r="H123" s="43" t="s">
        <v>484</v>
      </c>
      <c r="I123" s="39" t="s">
        <v>793</v>
      </c>
      <c r="J123" s="40" t="s">
        <v>740</v>
      </c>
      <c r="K123" s="40" t="s">
        <v>752</v>
      </c>
    </row>
    <row r="124" spans="1:11">
      <c r="A124" s="39">
        <f t="shared" si="1"/>
        <v>123</v>
      </c>
      <c r="B124" s="39" t="s">
        <v>439</v>
      </c>
      <c r="C124" s="39" t="s">
        <v>843</v>
      </c>
      <c r="D124" s="40" t="s">
        <v>854</v>
      </c>
      <c r="E124" s="44" t="s">
        <v>855</v>
      </c>
      <c r="F124" s="39" t="s">
        <v>856</v>
      </c>
      <c r="G124" s="42">
        <v>46174</v>
      </c>
      <c r="H124" s="43">
        <v>0.85</v>
      </c>
      <c r="I124" s="39"/>
      <c r="J124" s="40" t="s">
        <v>619</v>
      </c>
      <c r="K124" s="40" t="s">
        <v>519</v>
      </c>
    </row>
    <row r="125" spans="1:11">
      <c r="A125" s="39">
        <f t="shared" si="1"/>
        <v>124</v>
      </c>
      <c r="B125" s="39" t="s">
        <v>439</v>
      </c>
      <c r="C125" s="39" t="s">
        <v>843</v>
      </c>
      <c r="D125" s="40" t="s">
        <v>857</v>
      </c>
      <c r="E125" s="44" t="s">
        <v>858</v>
      </c>
      <c r="F125" s="39" t="s">
        <v>473</v>
      </c>
      <c r="G125" s="42">
        <v>46174</v>
      </c>
      <c r="H125" s="43">
        <v>0.12</v>
      </c>
      <c r="I125" s="39"/>
      <c r="J125" s="40" t="s">
        <v>619</v>
      </c>
      <c r="K125" s="40" t="s">
        <v>519</v>
      </c>
    </row>
    <row r="126" spans="1:11">
      <c r="A126" s="39">
        <f t="shared" si="1"/>
        <v>125</v>
      </c>
      <c r="B126" s="39" t="s">
        <v>439</v>
      </c>
      <c r="C126" s="39" t="s">
        <v>843</v>
      </c>
      <c r="D126" s="40" t="s">
        <v>859</v>
      </c>
      <c r="E126" s="44" t="s">
        <v>860</v>
      </c>
      <c r="F126" s="39" t="s">
        <v>861</v>
      </c>
      <c r="G126" s="42">
        <v>46388</v>
      </c>
      <c r="H126" s="43">
        <v>0.86</v>
      </c>
      <c r="I126" s="39"/>
      <c r="J126" s="40" t="s">
        <v>619</v>
      </c>
      <c r="K126" s="40" t="s">
        <v>519</v>
      </c>
    </row>
    <row r="127" spans="1:11">
      <c r="A127" s="39">
        <f t="shared" si="1"/>
        <v>126</v>
      </c>
      <c r="B127" s="39" t="s">
        <v>439</v>
      </c>
      <c r="C127" s="39" t="s">
        <v>843</v>
      </c>
      <c r="D127" s="40" t="s">
        <v>862</v>
      </c>
      <c r="E127" s="44" t="s">
        <v>863</v>
      </c>
      <c r="F127" s="39" t="s">
        <v>864</v>
      </c>
      <c r="G127" s="42">
        <v>46388</v>
      </c>
      <c r="H127" s="43">
        <v>0.6</v>
      </c>
      <c r="I127" s="39"/>
      <c r="J127" s="40" t="s">
        <v>619</v>
      </c>
      <c r="K127" s="40" t="s">
        <v>519</v>
      </c>
    </row>
    <row r="128" spans="1:11">
      <c r="A128" s="39">
        <f t="shared" si="1"/>
        <v>127</v>
      </c>
      <c r="B128" s="39" t="s">
        <v>439</v>
      </c>
      <c r="C128" s="39" t="s">
        <v>843</v>
      </c>
      <c r="D128" s="40" t="s">
        <v>865</v>
      </c>
      <c r="E128" s="44" t="s">
        <v>866</v>
      </c>
      <c r="F128" s="39" t="s">
        <v>867</v>
      </c>
      <c r="G128" s="42">
        <v>46174</v>
      </c>
      <c r="H128" s="43">
        <v>0.6</v>
      </c>
      <c r="I128" s="39" t="s">
        <v>693</v>
      </c>
      <c r="J128" s="40" t="s">
        <v>619</v>
      </c>
      <c r="K128" s="40" t="s">
        <v>519</v>
      </c>
    </row>
    <row r="129" spans="1:11">
      <c r="A129" s="39">
        <f t="shared" si="1"/>
        <v>128</v>
      </c>
      <c r="B129" s="39" t="s">
        <v>439</v>
      </c>
      <c r="C129" s="39" t="s">
        <v>843</v>
      </c>
      <c r="D129" s="40" t="s">
        <v>868</v>
      </c>
      <c r="E129" s="44" t="s">
        <v>869</v>
      </c>
      <c r="F129" s="39" t="s">
        <v>870</v>
      </c>
      <c r="G129" s="42">
        <v>46143</v>
      </c>
      <c r="H129" s="55">
        <v>1</v>
      </c>
      <c r="I129" s="39" t="s">
        <v>693</v>
      </c>
      <c r="J129" s="40" t="s">
        <v>619</v>
      </c>
      <c r="K129" s="40" t="s">
        <v>519</v>
      </c>
    </row>
    <row r="130" spans="1:11">
      <c r="A130" s="39">
        <f t="shared" si="1"/>
        <v>129</v>
      </c>
      <c r="B130" s="39" t="s">
        <v>439</v>
      </c>
      <c r="C130" s="39" t="s">
        <v>843</v>
      </c>
      <c r="D130" s="40" t="s">
        <v>871</v>
      </c>
      <c r="E130" s="44" t="s">
        <v>872</v>
      </c>
      <c r="F130" s="39" t="s">
        <v>681</v>
      </c>
      <c r="G130" s="42">
        <v>46143</v>
      </c>
      <c r="H130" s="55">
        <v>0.95</v>
      </c>
      <c r="I130" s="39"/>
      <c r="J130" s="40" t="s">
        <v>619</v>
      </c>
      <c r="K130" s="40" t="s">
        <v>519</v>
      </c>
    </row>
    <row r="131" spans="1:11">
      <c r="A131" s="39">
        <f t="shared" ref="A131:A194" si="2">ROW()-1</f>
        <v>130</v>
      </c>
      <c r="B131" s="39" t="s">
        <v>439</v>
      </c>
      <c r="C131" s="39" t="s">
        <v>843</v>
      </c>
      <c r="D131" s="40" t="s">
        <v>873</v>
      </c>
      <c r="E131" s="44" t="s">
        <v>874</v>
      </c>
      <c r="F131" s="39" t="s">
        <v>585</v>
      </c>
      <c r="G131" s="42">
        <v>46143</v>
      </c>
      <c r="H131" s="55">
        <v>1</v>
      </c>
      <c r="I131" s="39" t="s">
        <v>875</v>
      </c>
      <c r="J131" s="40" t="s">
        <v>739</v>
      </c>
      <c r="K131" s="40" t="s">
        <v>740</v>
      </c>
    </row>
    <row r="132" spans="1:11">
      <c r="A132" s="39">
        <f t="shared" si="2"/>
        <v>131</v>
      </c>
      <c r="B132" s="39" t="s">
        <v>439</v>
      </c>
      <c r="C132" s="39" t="s">
        <v>843</v>
      </c>
      <c r="D132" s="40" t="s">
        <v>876</v>
      </c>
      <c r="E132" s="44" t="s">
        <v>877</v>
      </c>
      <c r="F132" s="39" t="s">
        <v>878</v>
      </c>
      <c r="G132" s="42">
        <v>46143</v>
      </c>
      <c r="H132" s="55">
        <v>1</v>
      </c>
      <c r="I132" s="39" t="s">
        <v>879</v>
      </c>
      <c r="J132" s="40" t="s">
        <v>739</v>
      </c>
      <c r="K132" s="40" t="s">
        <v>740</v>
      </c>
    </row>
    <row r="133" spans="1:11">
      <c r="A133" s="39">
        <f t="shared" si="2"/>
        <v>132</v>
      </c>
      <c r="B133" s="39" t="s">
        <v>439</v>
      </c>
      <c r="C133" s="39" t="s">
        <v>843</v>
      </c>
      <c r="D133" s="40" t="s">
        <v>880</v>
      </c>
      <c r="E133" s="44" t="s">
        <v>881</v>
      </c>
      <c r="F133" s="39" t="s">
        <v>882</v>
      </c>
      <c r="G133" s="42">
        <v>46143</v>
      </c>
      <c r="H133" s="55">
        <v>0.9</v>
      </c>
      <c r="I133" s="39" t="s">
        <v>883</v>
      </c>
      <c r="J133" s="40" t="s">
        <v>739</v>
      </c>
      <c r="K133" s="40" t="s">
        <v>740</v>
      </c>
    </row>
    <row r="134" spans="1:11">
      <c r="A134" s="39">
        <f t="shared" si="2"/>
        <v>133</v>
      </c>
      <c r="B134" s="39" t="s">
        <v>439</v>
      </c>
      <c r="C134" s="39" t="s">
        <v>843</v>
      </c>
      <c r="D134" s="40" t="s">
        <v>884</v>
      </c>
      <c r="E134" s="44" t="s">
        <v>885</v>
      </c>
      <c r="F134" s="39" t="s">
        <v>886</v>
      </c>
      <c r="G134" s="42">
        <v>46143</v>
      </c>
      <c r="H134" s="43">
        <v>0</v>
      </c>
      <c r="I134" s="39" t="s">
        <v>875</v>
      </c>
      <c r="J134" s="40" t="s">
        <v>740</v>
      </c>
      <c r="K134" s="40" t="s">
        <v>739</v>
      </c>
    </row>
    <row r="135" spans="1:11">
      <c r="A135" s="39">
        <f t="shared" si="2"/>
        <v>134</v>
      </c>
      <c r="B135" s="39" t="s">
        <v>439</v>
      </c>
      <c r="C135" s="39" t="s">
        <v>843</v>
      </c>
      <c r="D135" s="40" t="s">
        <v>887</v>
      </c>
      <c r="E135" s="44" t="s">
        <v>888</v>
      </c>
      <c r="F135" s="39" t="s">
        <v>889</v>
      </c>
      <c r="G135" s="42">
        <v>46172</v>
      </c>
      <c r="H135" s="43">
        <v>0.7</v>
      </c>
      <c r="I135" s="39" t="s">
        <v>883</v>
      </c>
      <c r="J135" s="40" t="s">
        <v>739</v>
      </c>
      <c r="K135" s="40" t="s">
        <v>740</v>
      </c>
    </row>
    <row r="136" spans="1:11">
      <c r="A136" s="39">
        <f t="shared" si="2"/>
        <v>135</v>
      </c>
      <c r="B136" s="39" t="s">
        <v>439</v>
      </c>
      <c r="C136" s="39" t="s">
        <v>843</v>
      </c>
      <c r="D136" s="40" t="s">
        <v>890</v>
      </c>
      <c r="E136" s="44" t="s">
        <v>891</v>
      </c>
      <c r="F136" s="39" t="s">
        <v>892</v>
      </c>
      <c r="G136" s="42">
        <v>46143</v>
      </c>
      <c r="H136" s="43">
        <v>0.05</v>
      </c>
      <c r="I136" s="39" t="s">
        <v>883</v>
      </c>
      <c r="J136" s="40" t="s">
        <v>740</v>
      </c>
      <c r="K136" s="40" t="s">
        <v>739</v>
      </c>
    </row>
    <row r="137" spans="1:11">
      <c r="A137" s="39">
        <f t="shared" si="2"/>
        <v>136</v>
      </c>
      <c r="B137" s="39" t="s">
        <v>439</v>
      </c>
      <c r="C137" s="39" t="s">
        <v>843</v>
      </c>
      <c r="D137" s="40" t="s">
        <v>893</v>
      </c>
      <c r="E137" s="44" t="s">
        <v>894</v>
      </c>
      <c r="F137" s="39" t="s">
        <v>603</v>
      </c>
      <c r="G137" s="42">
        <v>46143</v>
      </c>
      <c r="H137" s="43">
        <v>0.94</v>
      </c>
      <c r="I137" s="39" t="s">
        <v>883</v>
      </c>
      <c r="J137" s="40" t="s">
        <v>740</v>
      </c>
      <c r="K137" s="40" t="s">
        <v>739</v>
      </c>
    </row>
    <row r="138" spans="1:11">
      <c r="A138" s="39">
        <f t="shared" si="2"/>
        <v>137</v>
      </c>
      <c r="B138" s="39" t="s">
        <v>439</v>
      </c>
      <c r="C138" s="39" t="s">
        <v>843</v>
      </c>
      <c r="D138" s="40" t="s">
        <v>895</v>
      </c>
      <c r="E138" s="44" t="s">
        <v>896</v>
      </c>
      <c r="F138" s="39" t="s">
        <v>897</v>
      </c>
      <c r="G138" s="42">
        <v>46174</v>
      </c>
      <c r="H138" s="55">
        <v>0.45</v>
      </c>
      <c r="I138" s="39" t="s">
        <v>883</v>
      </c>
      <c r="J138" s="40" t="s">
        <v>739</v>
      </c>
      <c r="K138" s="40" t="s">
        <v>740</v>
      </c>
    </row>
    <row r="139" spans="1:11">
      <c r="A139" s="39">
        <f t="shared" si="2"/>
        <v>138</v>
      </c>
      <c r="B139" s="39" t="s">
        <v>439</v>
      </c>
      <c r="C139" s="39" t="s">
        <v>843</v>
      </c>
      <c r="D139" s="40" t="s">
        <v>898</v>
      </c>
      <c r="E139" s="44" t="s">
        <v>899</v>
      </c>
      <c r="F139" s="39" t="s">
        <v>900</v>
      </c>
      <c r="G139" s="42">
        <v>46174</v>
      </c>
      <c r="H139" s="55">
        <v>0.8</v>
      </c>
      <c r="I139" s="39" t="s">
        <v>883</v>
      </c>
      <c r="J139" s="40" t="s">
        <v>739</v>
      </c>
      <c r="K139" s="40" t="s">
        <v>740</v>
      </c>
    </row>
    <row r="140" spans="1:11">
      <c r="A140" s="39">
        <f t="shared" si="2"/>
        <v>139</v>
      </c>
      <c r="B140" s="39" t="s">
        <v>439</v>
      </c>
      <c r="C140" s="39" t="s">
        <v>843</v>
      </c>
      <c r="D140" s="40" t="s">
        <v>901</v>
      </c>
      <c r="E140" s="44" t="s">
        <v>902</v>
      </c>
      <c r="F140" s="39" t="s">
        <v>603</v>
      </c>
      <c r="G140" s="42" t="s">
        <v>792</v>
      </c>
      <c r="H140" s="42" t="s">
        <v>792</v>
      </c>
      <c r="I140" s="39" t="s">
        <v>485</v>
      </c>
      <c r="J140" s="40" t="s">
        <v>740</v>
      </c>
      <c r="K140" s="40" t="s">
        <v>740</v>
      </c>
    </row>
    <row r="141" spans="1:11">
      <c r="A141" s="39">
        <f t="shared" si="2"/>
        <v>140</v>
      </c>
      <c r="B141" s="39" t="s">
        <v>439</v>
      </c>
      <c r="C141" s="39" t="s">
        <v>843</v>
      </c>
      <c r="D141" s="40" t="s">
        <v>903</v>
      </c>
      <c r="E141" s="44" t="s">
        <v>904</v>
      </c>
      <c r="F141" s="39" t="s">
        <v>603</v>
      </c>
      <c r="G141" s="42" t="s">
        <v>792</v>
      </c>
      <c r="H141" s="42" t="s">
        <v>792</v>
      </c>
      <c r="I141" s="39" t="s">
        <v>485</v>
      </c>
      <c r="J141" s="40" t="s">
        <v>740</v>
      </c>
      <c r="K141" s="40" t="s">
        <v>740</v>
      </c>
    </row>
    <row r="142" spans="1:11">
      <c r="A142" s="39">
        <f t="shared" si="2"/>
        <v>141</v>
      </c>
      <c r="B142" s="39" t="s">
        <v>439</v>
      </c>
      <c r="C142" s="39" t="s">
        <v>843</v>
      </c>
      <c r="D142" s="40" t="s">
        <v>905</v>
      </c>
      <c r="E142" s="44" t="s">
        <v>906</v>
      </c>
      <c r="F142" s="39" t="s">
        <v>907</v>
      </c>
      <c r="G142" s="42">
        <v>46143</v>
      </c>
      <c r="H142" s="43">
        <v>0.95</v>
      </c>
      <c r="I142" s="39" t="s">
        <v>883</v>
      </c>
      <c r="J142" s="40" t="s">
        <v>740</v>
      </c>
      <c r="K142" s="40" t="s">
        <v>908</v>
      </c>
    </row>
    <row r="143" spans="1:11">
      <c r="A143" s="45">
        <f t="shared" si="2"/>
        <v>142</v>
      </c>
      <c r="B143" s="45" t="s">
        <v>439</v>
      </c>
      <c r="C143" s="45" t="s">
        <v>843</v>
      </c>
      <c r="D143" s="46" t="s">
        <v>909</v>
      </c>
      <c r="E143" s="47" t="s">
        <v>910</v>
      </c>
      <c r="F143" s="50" t="s">
        <v>603</v>
      </c>
      <c r="G143" s="48" t="s">
        <v>452</v>
      </c>
      <c r="H143" s="49">
        <v>1</v>
      </c>
      <c r="I143" s="45" t="s">
        <v>837</v>
      </c>
      <c r="J143" s="46" t="s">
        <v>740</v>
      </c>
      <c r="K143" s="46" t="s">
        <v>908</v>
      </c>
    </row>
    <row r="144" spans="1:11">
      <c r="A144" s="39">
        <f t="shared" si="2"/>
        <v>143</v>
      </c>
      <c r="B144" s="39" t="s">
        <v>439</v>
      </c>
      <c r="C144" s="39" t="s">
        <v>843</v>
      </c>
      <c r="D144" s="40" t="s">
        <v>911</v>
      </c>
      <c r="E144" s="44" t="s">
        <v>912</v>
      </c>
      <c r="F144" s="39" t="s">
        <v>913</v>
      </c>
      <c r="G144" s="42" t="s">
        <v>792</v>
      </c>
      <c r="H144" s="43" t="s">
        <v>484</v>
      </c>
      <c r="I144" s="39" t="s">
        <v>485</v>
      </c>
      <c r="J144" s="40" t="s">
        <v>740</v>
      </c>
      <c r="K144" s="40" t="s">
        <v>801</v>
      </c>
    </row>
    <row r="145" spans="1:11">
      <c r="A145" s="39">
        <f t="shared" si="2"/>
        <v>144</v>
      </c>
      <c r="B145" s="39" t="s">
        <v>439</v>
      </c>
      <c r="C145" s="39" t="s">
        <v>843</v>
      </c>
      <c r="D145" s="40" t="s">
        <v>914</v>
      </c>
      <c r="E145" s="44" t="s">
        <v>915</v>
      </c>
      <c r="F145" s="39" t="s">
        <v>603</v>
      </c>
      <c r="G145" s="42" t="s">
        <v>792</v>
      </c>
      <c r="H145" s="43" t="s">
        <v>484</v>
      </c>
      <c r="I145" s="39" t="s">
        <v>485</v>
      </c>
      <c r="J145" s="40" t="s">
        <v>740</v>
      </c>
      <c r="K145" s="40" t="s">
        <v>801</v>
      </c>
    </row>
    <row r="146" spans="1:11">
      <c r="A146" s="45">
        <f t="shared" si="2"/>
        <v>145</v>
      </c>
      <c r="B146" s="45" t="s">
        <v>439</v>
      </c>
      <c r="C146" s="45" t="s">
        <v>843</v>
      </c>
      <c r="D146" s="46" t="s">
        <v>916</v>
      </c>
      <c r="E146" s="47" t="s">
        <v>917</v>
      </c>
      <c r="F146" s="45" t="s">
        <v>603</v>
      </c>
      <c r="G146" s="48" t="s">
        <v>452</v>
      </c>
      <c r="H146" s="49">
        <v>1</v>
      </c>
      <c r="I146" s="45" t="s">
        <v>918</v>
      </c>
      <c r="J146" s="46" t="s">
        <v>740</v>
      </c>
      <c r="K146" s="46" t="s">
        <v>801</v>
      </c>
    </row>
    <row r="147" spans="1:11">
      <c r="A147" s="39">
        <f t="shared" si="2"/>
        <v>146</v>
      </c>
      <c r="B147" s="39" t="s">
        <v>439</v>
      </c>
      <c r="C147" s="39" t="s">
        <v>843</v>
      </c>
      <c r="D147" s="40" t="s">
        <v>919</v>
      </c>
      <c r="E147" s="44" t="s">
        <v>920</v>
      </c>
      <c r="F147" s="39" t="s">
        <v>603</v>
      </c>
      <c r="G147" s="42">
        <v>46143</v>
      </c>
      <c r="H147" s="55">
        <v>1</v>
      </c>
      <c r="I147" s="39" t="s">
        <v>921</v>
      </c>
      <c r="J147" s="40" t="s">
        <v>740</v>
      </c>
      <c r="K147" s="40" t="s">
        <v>801</v>
      </c>
    </row>
    <row r="148" spans="1:11">
      <c r="A148" s="39">
        <f t="shared" si="2"/>
        <v>147</v>
      </c>
      <c r="B148" s="39" t="s">
        <v>439</v>
      </c>
      <c r="C148" s="39" t="s">
        <v>843</v>
      </c>
      <c r="D148" s="40" t="s">
        <v>922</v>
      </c>
      <c r="E148" s="44" t="s">
        <v>923</v>
      </c>
      <c r="F148" s="39" t="s">
        <v>603</v>
      </c>
      <c r="G148" s="42" t="s">
        <v>792</v>
      </c>
      <c r="H148" s="43" t="s">
        <v>484</v>
      </c>
      <c r="I148" s="39" t="s">
        <v>485</v>
      </c>
      <c r="J148" s="40" t="s">
        <v>740</v>
      </c>
      <c r="K148" s="40" t="s">
        <v>801</v>
      </c>
    </row>
    <row r="149" spans="1:11">
      <c r="A149" s="39">
        <f t="shared" si="2"/>
        <v>148</v>
      </c>
      <c r="B149" s="39" t="s">
        <v>439</v>
      </c>
      <c r="C149" s="39" t="s">
        <v>843</v>
      </c>
      <c r="D149" s="40" t="s">
        <v>924</v>
      </c>
      <c r="E149" s="44" t="s">
        <v>925</v>
      </c>
      <c r="F149" s="39" t="s">
        <v>603</v>
      </c>
      <c r="G149" s="42">
        <v>46143</v>
      </c>
      <c r="H149" s="55">
        <v>1</v>
      </c>
      <c r="I149" s="39" t="s">
        <v>921</v>
      </c>
      <c r="J149" s="40" t="s">
        <v>740</v>
      </c>
      <c r="K149" s="40" t="s">
        <v>908</v>
      </c>
    </row>
    <row r="150" spans="1:11">
      <c r="A150" s="39">
        <f t="shared" si="2"/>
        <v>149</v>
      </c>
      <c r="B150" s="39" t="s">
        <v>439</v>
      </c>
      <c r="C150" s="39" t="s">
        <v>843</v>
      </c>
      <c r="D150" s="40" t="s">
        <v>926</v>
      </c>
      <c r="E150" s="44" t="s">
        <v>927</v>
      </c>
      <c r="F150" s="39" t="s">
        <v>603</v>
      </c>
      <c r="G150" s="42" t="s">
        <v>792</v>
      </c>
      <c r="H150" s="43" t="s">
        <v>484</v>
      </c>
      <c r="I150" s="39" t="s">
        <v>485</v>
      </c>
      <c r="J150" s="40" t="s">
        <v>740</v>
      </c>
      <c r="K150" s="40" t="s">
        <v>801</v>
      </c>
    </row>
    <row r="151" spans="1:11">
      <c r="A151" s="45">
        <f t="shared" si="2"/>
        <v>150</v>
      </c>
      <c r="B151" s="45" t="s">
        <v>439</v>
      </c>
      <c r="C151" s="45" t="s">
        <v>843</v>
      </c>
      <c r="D151" s="46" t="s">
        <v>928</v>
      </c>
      <c r="E151" s="47" t="s">
        <v>929</v>
      </c>
      <c r="F151" s="45" t="s">
        <v>603</v>
      </c>
      <c r="G151" s="48" t="s">
        <v>452</v>
      </c>
      <c r="H151" s="49">
        <v>1</v>
      </c>
      <c r="I151" s="45" t="s">
        <v>918</v>
      </c>
      <c r="J151" s="46" t="s">
        <v>740</v>
      </c>
      <c r="K151" s="46" t="s">
        <v>908</v>
      </c>
    </row>
    <row r="152" spans="1:11">
      <c r="A152" s="39">
        <f t="shared" si="2"/>
        <v>151</v>
      </c>
      <c r="B152" s="39" t="s">
        <v>439</v>
      </c>
      <c r="C152" s="39" t="s">
        <v>843</v>
      </c>
      <c r="D152" s="40" t="s">
        <v>930</v>
      </c>
      <c r="E152" s="44" t="s">
        <v>931</v>
      </c>
      <c r="F152" s="39">
        <v>14</v>
      </c>
      <c r="G152" s="42">
        <v>46143</v>
      </c>
      <c r="H152" s="43">
        <v>0.9</v>
      </c>
      <c r="I152" s="39"/>
      <c r="J152" s="40" t="s">
        <v>619</v>
      </c>
      <c r="K152" s="40" t="s">
        <v>519</v>
      </c>
    </row>
    <row r="153" spans="1:11" ht="96">
      <c r="A153" s="45">
        <f t="shared" si="2"/>
        <v>152</v>
      </c>
      <c r="B153" s="45" t="s">
        <v>932</v>
      </c>
      <c r="C153" s="45" t="s">
        <v>440</v>
      </c>
      <c r="D153" s="46" t="s">
        <v>933</v>
      </c>
      <c r="E153" s="47" t="s">
        <v>934</v>
      </c>
      <c r="F153" s="69" t="s">
        <v>935</v>
      </c>
      <c r="G153" s="48" t="s">
        <v>452</v>
      </c>
      <c r="H153" s="49">
        <v>1</v>
      </c>
      <c r="I153" s="45" t="s">
        <v>936</v>
      </c>
      <c r="J153" s="46" t="s">
        <v>937</v>
      </c>
      <c r="K153" s="46" t="s">
        <v>938</v>
      </c>
    </row>
    <row r="154" spans="1:11" ht="96">
      <c r="A154" s="39">
        <f t="shared" si="2"/>
        <v>153</v>
      </c>
      <c r="B154" s="39" t="s">
        <v>932</v>
      </c>
      <c r="C154" s="39" t="s">
        <v>440</v>
      </c>
      <c r="D154" s="40" t="s">
        <v>939</v>
      </c>
      <c r="E154" s="44" t="s">
        <v>940</v>
      </c>
      <c r="F154" s="56" t="s">
        <v>941</v>
      </c>
      <c r="G154" s="42">
        <v>46142</v>
      </c>
      <c r="H154" s="43">
        <v>0.999</v>
      </c>
      <c r="I154" s="39" t="s">
        <v>942</v>
      </c>
      <c r="J154" s="40" t="s">
        <v>937</v>
      </c>
      <c r="K154" s="40" t="s">
        <v>938</v>
      </c>
    </row>
    <row r="155" spans="1:11">
      <c r="A155" s="39">
        <f t="shared" si="2"/>
        <v>154</v>
      </c>
      <c r="B155" s="39" t="s">
        <v>932</v>
      </c>
      <c r="C155" s="39" t="s">
        <v>440</v>
      </c>
      <c r="D155" s="40" t="s">
        <v>943</v>
      </c>
      <c r="E155" s="44" t="s">
        <v>944</v>
      </c>
      <c r="F155" s="39"/>
      <c r="G155" s="42">
        <v>46122</v>
      </c>
      <c r="H155" s="43">
        <v>1</v>
      </c>
      <c r="I155" s="39" t="s">
        <v>945</v>
      </c>
      <c r="J155" s="40" t="s">
        <v>938</v>
      </c>
      <c r="K155" s="40" t="s">
        <v>937</v>
      </c>
    </row>
    <row r="156" spans="1:11">
      <c r="A156" s="45">
        <f t="shared" si="2"/>
        <v>155</v>
      </c>
      <c r="B156" s="45" t="s">
        <v>932</v>
      </c>
      <c r="C156" s="45" t="s">
        <v>440</v>
      </c>
      <c r="D156" s="46" t="s">
        <v>946</v>
      </c>
      <c r="E156" s="47" t="s">
        <v>472</v>
      </c>
      <c r="F156" s="45" t="s">
        <v>947</v>
      </c>
      <c r="G156" s="48" t="s">
        <v>452</v>
      </c>
      <c r="H156" s="49">
        <v>1</v>
      </c>
      <c r="I156" s="45" t="s">
        <v>948</v>
      </c>
      <c r="J156" s="46" t="s">
        <v>937</v>
      </c>
      <c r="K156" s="46" t="s">
        <v>938</v>
      </c>
    </row>
    <row r="157" spans="1:11">
      <c r="A157" s="45">
        <f t="shared" si="2"/>
        <v>156</v>
      </c>
      <c r="B157" s="45" t="s">
        <v>932</v>
      </c>
      <c r="C157" s="45" t="s">
        <v>529</v>
      </c>
      <c r="D157" s="46" t="s">
        <v>949</v>
      </c>
      <c r="E157" s="47" t="s">
        <v>950</v>
      </c>
      <c r="F157" s="45" t="s">
        <v>951</v>
      </c>
      <c r="G157" s="48" t="s">
        <v>452</v>
      </c>
      <c r="H157" s="49">
        <v>1</v>
      </c>
      <c r="I157" s="45" t="s">
        <v>952</v>
      </c>
      <c r="J157" s="46" t="s">
        <v>938</v>
      </c>
      <c r="K157" s="46" t="s">
        <v>937</v>
      </c>
    </row>
    <row r="158" spans="1:11">
      <c r="A158" s="50">
        <f t="shared" si="2"/>
        <v>157</v>
      </c>
      <c r="B158" s="50" t="s">
        <v>932</v>
      </c>
      <c r="C158" s="50" t="s">
        <v>529</v>
      </c>
      <c r="D158" s="51" t="s">
        <v>953</v>
      </c>
      <c r="E158" s="52" t="s">
        <v>577</v>
      </c>
      <c r="F158" s="50"/>
      <c r="G158" s="53" t="s">
        <v>452</v>
      </c>
      <c r="H158" s="54">
        <v>1</v>
      </c>
      <c r="I158" s="50" t="s">
        <v>952</v>
      </c>
      <c r="J158" s="51" t="s">
        <v>938</v>
      </c>
      <c r="K158" s="51" t="s">
        <v>937</v>
      </c>
    </row>
    <row r="159" spans="1:11">
      <c r="A159" s="45">
        <f t="shared" si="2"/>
        <v>158</v>
      </c>
      <c r="B159" s="45" t="s">
        <v>932</v>
      </c>
      <c r="C159" s="45" t="s">
        <v>734</v>
      </c>
      <c r="D159" s="46" t="s">
        <v>954</v>
      </c>
      <c r="E159" s="47" t="s">
        <v>955</v>
      </c>
      <c r="F159" s="45" t="s">
        <v>956</v>
      </c>
      <c r="G159" s="48" t="s">
        <v>452</v>
      </c>
      <c r="H159" s="49">
        <v>1</v>
      </c>
      <c r="I159" s="45"/>
      <c r="J159" s="46" t="s">
        <v>752</v>
      </c>
      <c r="K159" s="46" t="s">
        <v>957</v>
      </c>
    </row>
    <row r="160" spans="1:11" ht="36">
      <c r="A160" s="45">
        <f t="shared" si="2"/>
        <v>159</v>
      </c>
      <c r="B160" s="45" t="s">
        <v>932</v>
      </c>
      <c r="C160" s="45" t="s">
        <v>734</v>
      </c>
      <c r="D160" s="46" t="s">
        <v>958</v>
      </c>
      <c r="E160" s="47" t="s">
        <v>959</v>
      </c>
      <c r="F160" s="69" t="s">
        <v>960</v>
      </c>
      <c r="G160" s="48" t="s">
        <v>452</v>
      </c>
      <c r="H160" s="49">
        <v>1</v>
      </c>
      <c r="I160" s="45" t="s">
        <v>961</v>
      </c>
      <c r="J160" s="46" t="s">
        <v>752</v>
      </c>
      <c r="K160" s="46" t="s">
        <v>957</v>
      </c>
    </row>
    <row r="161" spans="1:11">
      <c r="A161" s="39">
        <f t="shared" si="2"/>
        <v>160</v>
      </c>
      <c r="B161" s="39" t="s">
        <v>932</v>
      </c>
      <c r="C161" s="39" t="s">
        <v>734</v>
      </c>
      <c r="D161" s="40" t="s">
        <v>962</v>
      </c>
      <c r="E161" s="44" t="s">
        <v>963</v>
      </c>
      <c r="F161" s="39" t="s">
        <v>964</v>
      </c>
      <c r="G161" s="42">
        <v>46142</v>
      </c>
      <c r="H161" s="55">
        <v>1</v>
      </c>
      <c r="I161" s="39" t="s">
        <v>965</v>
      </c>
      <c r="J161" s="40" t="s">
        <v>752</v>
      </c>
      <c r="K161" s="40" t="s">
        <v>957</v>
      </c>
    </row>
    <row r="162" spans="1:11">
      <c r="A162" s="45">
        <f t="shared" si="2"/>
        <v>161</v>
      </c>
      <c r="B162" s="45" t="s">
        <v>932</v>
      </c>
      <c r="C162" s="45" t="s">
        <v>734</v>
      </c>
      <c r="D162" s="46" t="s">
        <v>966</v>
      </c>
      <c r="E162" s="47" t="s">
        <v>967</v>
      </c>
      <c r="F162" s="45" t="s">
        <v>968</v>
      </c>
      <c r="G162" s="48" t="s">
        <v>452</v>
      </c>
      <c r="H162" s="49">
        <v>1</v>
      </c>
      <c r="I162" s="45" t="s">
        <v>961</v>
      </c>
      <c r="J162" s="46" t="s">
        <v>752</v>
      </c>
      <c r="K162" s="46" t="s">
        <v>957</v>
      </c>
    </row>
    <row r="163" spans="1:11">
      <c r="A163" s="39">
        <f t="shared" si="2"/>
        <v>162</v>
      </c>
      <c r="B163" s="39" t="s">
        <v>932</v>
      </c>
      <c r="C163" s="39" t="s">
        <v>734</v>
      </c>
      <c r="D163" s="40" t="s">
        <v>969</v>
      </c>
      <c r="E163" s="44" t="s">
        <v>970</v>
      </c>
      <c r="F163" s="39" t="s">
        <v>971</v>
      </c>
      <c r="G163" s="42">
        <v>46142</v>
      </c>
      <c r="H163" s="43">
        <v>0.9</v>
      </c>
      <c r="I163" s="39" t="s">
        <v>972</v>
      </c>
      <c r="J163" s="40" t="s">
        <v>752</v>
      </c>
      <c r="K163" s="40" t="s">
        <v>957</v>
      </c>
    </row>
    <row r="164" spans="1:11">
      <c r="A164" s="39">
        <f t="shared" si="2"/>
        <v>163</v>
      </c>
      <c r="B164" s="39" t="s">
        <v>932</v>
      </c>
      <c r="C164" s="39" t="s">
        <v>734</v>
      </c>
      <c r="D164" s="40" t="s">
        <v>973</v>
      </c>
      <c r="E164" s="44" t="s">
        <v>974</v>
      </c>
      <c r="F164" s="39" t="s">
        <v>975</v>
      </c>
      <c r="G164" s="42">
        <v>46142</v>
      </c>
      <c r="H164" s="55">
        <v>1</v>
      </c>
      <c r="I164" s="39" t="s">
        <v>972</v>
      </c>
      <c r="J164" s="40" t="s">
        <v>752</v>
      </c>
      <c r="K164" s="40" t="s">
        <v>957</v>
      </c>
    </row>
    <row r="165" spans="1:11">
      <c r="A165" s="39">
        <f t="shared" si="2"/>
        <v>164</v>
      </c>
      <c r="B165" s="39" t="s">
        <v>932</v>
      </c>
      <c r="C165" s="39" t="s">
        <v>734</v>
      </c>
      <c r="D165" s="40" t="s">
        <v>976</v>
      </c>
      <c r="E165" s="44" t="s">
        <v>977</v>
      </c>
      <c r="F165" s="39" t="s">
        <v>978</v>
      </c>
      <c r="G165" s="42">
        <v>46142</v>
      </c>
      <c r="H165" s="55">
        <v>0.99</v>
      </c>
      <c r="I165" s="39" t="s">
        <v>979</v>
      </c>
      <c r="J165" s="40" t="s">
        <v>752</v>
      </c>
      <c r="K165" s="40" t="s">
        <v>957</v>
      </c>
    </row>
    <row r="166" spans="1:11">
      <c r="A166" s="39">
        <f t="shared" si="2"/>
        <v>165</v>
      </c>
      <c r="B166" s="39" t="s">
        <v>932</v>
      </c>
      <c r="C166" s="39" t="s">
        <v>734</v>
      </c>
      <c r="D166" s="40" t="s">
        <v>980</v>
      </c>
      <c r="E166" s="44" t="s">
        <v>786</v>
      </c>
      <c r="F166" s="39" t="s">
        <v>603</v>
      </c>
      <c r="G166" s="42">
        <v>46172</v>
      </c>
      <c r="H166" s="55">
        <v>0.9</v>
      </c>
      <c r="I166" s="39" t="s">
        <v>981</v>
      </c>
      <c r="J166" s="40" t="s">
        <v>752</v>
      </c>
      <c r="K166" s="40" t="s">
        <v>957</v>
      </c>
    </row>
    <row r="167" spans="1:11" ht="120">
      <c r="A167" s="39">
        <f t="shared" si="2"/>
        <v>166</v>
      </c>
      <c r="B167" s="39" t="s">
        <v>932</v>
      </c>
      <c r="C167" s="39" t="s">
        <v>734</v>
      </c>
      <c r="D167" s="40" t="s">
        <v>982</v>
      </c>
      <c r="E167" s="44" t="s">
        <v>983</v>
      </c>
      <c r="F167" s="56" t="s">
        <v>984</v>
      </c>
      <c r="G167" s="42">
        <v>46142</v>
      </c>
      <c r="H167" s="55">
        <v>1</v>
      </c>
      <c r="I167" s="39" t="s">
        <v>985</v>
      </c>
      <c r="J167" s="40" t="s">
        <v>752</v>
      </c>
      <c r="K167" s="40" t="s">
        <v>957</v>
      </c>
    </row>
    <row r="168" spans="1:11" ht="24">
      <c r="A168" s="39">
        <f t="shared" si="2"/>
        <v>167</v>
      </c>
      <c r="B168" s="39" t="s">
        <v>932</v>
      </c>
      <c r="C168" s="39" t="s">
        <v>734</v>
      </c>
      <c r="D168" s="40" t="s">
        <v>986</v>
      </c>
      <c r="E168" s="44" t="s">
        <v>987</v>
      </c>
      <c r="F168" s="39" t="s">
        <v>603</v>
      </c>
      <c r="G168" s="42">
        <v>46172</v>
      </c>
      <c r="H168" s="55">
        <v>0.97</v>
      </c>
      <c r="I168" s="70" t="s">
        <v>988</v>
      </c>
      <c r="J168" s="40" t="s">
        <v>752</v>
      </c>
      <c r="K168" s="40" t="s">
        <v>957</v>
      </c>
    </row>
    <row r="169" spans="1:11">
      <c r="A169" s="39">
        <f t="shared" si="2"/>
        <v>168</v>
      </c>
      <c r="B169" s="39" t="s">
        <v>932</v>
      </c>
      <c r="C169" s="39" t="s">
        <v>734</v>
      </c>
      <c r="D169" s="40" t="s">
        <v>989</v>
      </c>
      <c r="E169" s="44" t="s">
        <v>990</v>
      </c>
      <c r="F169" s="39" t="s">
        <v>603</v>
      </c>
      <c r="G169" s="42">
        <v>46142</v>
      </c>
      <c r="H169" s="55">
        <v>1</v>
      </c>
      <c r="I169" s="39" t="s">
        <v>991</v>
      </c>
      <c r="J169" s="40" t="s">
        <v>752</v>
      </c>
      <c r="K169" s="40" t="s">
        <v>957</v>
      </c>
    </row>
    <row r="170" spans="1:11">
      <c r="A170" s="39">
        <f t="shared" si="2"/>
        <v>169</v>
      </c>
      <c r="B170" s="39" t="s">
        <v>932</v>
      </c>
      <c r="C170" s="39" t="s">
        <v>734</v>
      </c>
      <c r="D170" s="40" t="s">
        <v>992</v>
      </c>
      <c r="E170" s="44" t="s">
        <v>993</v>
      </c>
      <c r="F170" s="39" t="s">
        <v>603</v>
      </c>
      <c r="G170" s="42">
        <v>46172</v>
      </c>
      <c r="H170" s="55">
        <v>0.73</v>
      </c>
      <c r="I170" s="39" t="s">
        <v>994</v>
      </c>
      <c r="J170" s="40" t="s">
        <v>752</v>
      </c>
      <c r="K170" s="40" t="s">
        <v>957</v>
      </c>
    </row>
    <row r="171" spans="1:11">
      <c r="A171" s="39">
        <f t="shared" si="2"/>
        <v>170</v>
      </c>
      <c r="B171" s="39" t="s">
        <v>932</v>
      </c>
      <c r="C171" s="39" t="s">
        <v>734</v>
      </c>
      <c r="D171" s="40" t="s">
        <v>995</v>
      </c>
      <c r="E171" s="44" t="s">
        <v>996</v>
      </c>
      <c r="F171" s="39" t="s">
        <v>603</v>
      </c>
      <c r="G171" s="42">
        <v>46172</v>
      </c>
      <c r="H171" s="55">
        <v>0.99</v>
      </c>
      <c r="I171" s="39" t="s">
        <v>997</v>
      </c>
      <c r="J171" s="40" t="s">
        <v>752</v>
      </c>
      <c r="K171" s="40" t="s">
        <v>957</v>
      </c>
    </row>
    <row r="172" spans="1:11">
      <c r="A172" s="39">
        <f t="shared" si="2"/>
        <v>171</v>
      </c>
      <c r="B172" s="39" t="s">
        <v>932</v>
      </c>
      <c r="C172" s="39" t="s">
        <v>734</v>
      </c>
      <c r="D172" s="40" t="s">
        <v>998</v>
      </c>
      <c r="E172" s="44" t="s">
        <v>999</v>
      </c>
      <c r="F172" s="39" t="s">
        <v>1000</v>
      </c>
      <c r="G172" s="42">
        <v>46142</v>
      </c>
      <c r="H172" s="55">
        <v>1</v>
      </c>
      <c r="I172" s="39" t="s">
        <v>1001</v>
      </c>
      <c r="J172" s="40" t="s">
        <v>752</v>
      </c>
      <c r="K172" s="40" t="s">
        <v>957</v>
      </c>
    </row>
    <row r="173" spans="1:11">
      <c r="A173" s="45">
        <f t="shared" si="2"/>
        <v>172</v>
      </c>
      <c r="B173" s="45" t="s">
        <v>932</v>
      </c>
      <c r="C173" s="45" t="s">
        <v>843</v>
      </c>
      <c r="D173" s="46" t="s">
        <v>1002</v>
      </c>
      <c r="E173" s="47" t="s">
        <v>1003</v>
      </c>
      <c r="F173" s="45" t="s">
        <v>1004</v>
      </c>
      <c r="G173" s="48" t="s">
        <v>452</v>
      </c>
      <c r="H173" s="49">
        <v>1</v>
      </c>
      <c r="I173" s="45" t="s">
        <v>961</v>
      </c>
      <c r="J173" s="46" t="s">
        <v>752</v>
      </c>
      <c r="K173" s="46" t="s">
        <v>957</v>
      </c>
    </row>
    <row r="174" spans="1:11">
      <c r="A174" s="39">
        <f t="shared" si="2"/>
        <v>173</v>
      </c>
      <c r="B174" s="39" t="s">
        <v>932</v>
      </c>
      <c r="C174" s="39" t="s">
        <v>843</v>
      </c>
      <c r="D174" s="40" t="s">
        <v>1005</v>
      </c>
      <c r="E174" s="44" t="s">
        <v>1006</v>
      </c>
      <c r="F174" s="39" t="s">
        <v>603</v>
      </c>
      <c r="G174" s="42">
        <v>46143</v>
      </c>
      <c r="H174" s="55">
        <v>0</v>
      </c>
      <c r="I174" s="39" t="s">
        <v>1007</v>
      </c>
      <c r="J174" s="40" t="s">
        <v>752</v>
      </c>
      <c r="K174" s="40" t="s">
        <v>957</v>
      </c>
    </row>
    <row r="175" spans="1:11">
      <c r="A175" s="39">
        <f t="shared" si="2"/>
        <v>174</v>
      </c>
      <c r="B175" s="39" t="s">
        <v>932</v>
      </c>
      <c r="C175" s="39" t="s">
        <v>610</v>
      </c>
      <c r="D175" s="40" t="s">
        <v>1008</v>
      </c>
      <c r="E175" s="44" t="s">
        <v>1009</v>
      </c>
      <c r="F175" s="39" t="s">
        <v>603</v>
      </c>
      <c r="G175" s="42">
        <v>46113</v>
      </c>
      <c r="H175" s="55">
        <v>0.99</v>
      </c>
      <c r="I175" s="39" t="s">
        <v>1010</v>
      </c>
      <c r="J175" s="40" t="s">
        <v>752</v>
      </c>
      <c r="K175" s="40"/>
    </row>
    <row r="176" spans="1:11">
      <c r="A176" s="39">
        <f t="shared" si="2"/>
        <v>175</v>
      </c>
      <c r="B176" s="39" t="s">
        <v>932</v>
      </c>
      <c r="C176" s="39" t="s">
        <v>610</v>
      </c>
      <c r="D176" s="40" t="s">
        <v>1011</v>
      </c>
      <c r="E176" s="44" t="s">
        <v>1012</v>
      </c>
      <c r="F176" s="39" t="s">
        <v>603</v>
      </c>
      <c r="G176" s="42">
        <v>46113</v>
      </c>
      <c r="H176" s="55">
        <v>1</v>
      </c>
      <c r="I176" s="39" t="s">
        <v>985</v>
      </c>
      <c r="J176" s="40" t="s">
        <v>752</v>
      </c>
      <c r="K176" s="40"/>
    </row>
    <row r="177" spans="1:11">
      <c r="A177" s="39">
        <f t="shared" si="2"/>
        <v>176</v>
      </c>
      <c r="B177" s="39" t="s">
        <v>1013</v>
      </c>
      <c r="C177" s="39" t="s">
        <v>529</v>
      </c>
      <c r="D177" s="40" t="s">
        <v>1014</v>
      </c>
      <c r="E177" s="44" t="s">
        <v>1015</v>
      </c>
      <c r="F177" s="39" t="s">
        <v>1016</v>
      </c>
      <c r="G177" s="42"/>
      <c r="H177" s="55">
        <v>0</v>
      </c>
      <c r="I177" s="39"/>
      <c r="J177" s="40" t="s">
        <v>1017</v>
      </c>
      <c r="K177" s="40" t="s">
        <v>938</v>
      </c>
    </row>
    <row r="178" spans="1:11">
      <c r="A178" s="45">
        <f t="shared" si="2"/>
        <v>177</v>
      </c>
      <c r="B178" s="45" t="s">
        <v>1018</v>
      </c>
      <c r="C178" s="45" t="s">
        <v>440</v>
      </c>
      <c r="D178" s="46" t="s">
        <v>1019</v>
      </c>
      <c r="E178" s="47" t="s">
        <v>1020</v>
      </c>
      <c r="F178" s="45"/>
      <c r="G178" s="48" t="s">
        <v>452</v>
      </c>
      <c r="H178" s="49">
        <v>1</v>
      </c>
      <c r="I178" s="69" t="s">
        <v>1021</v>
      </c>
      <c r="J178" s="46" t="s">
        <v>470</v>
      </c>
      <c r="K178" s="46"/>
    </row>
    <row r="179" spans="1:11">
      <c r="A179" s="45">
        <f t="shared" si="2"/>
        <v>178</v>
      </c>
      <c r="B179" s="45" t="s">
        <v>1018</v>
      </c>
      <c r="C179" s="45" t="s">
        <v>440</v>
      </c>
      <c r="D179" s="46" t="s">
        <v>1022</v>
      </c>
      <c r="E179" s="47" t="s">
        <v>1023</v>
      </c>
      <c r="F179" s="45"/>
      <c r="G179" s="48" t="s">
        <v>452</v>
      </c>
      <c r="H179" s="49">
        <v>1</v>
      </c>
      <c r="I179" s="45" t="s">
        <v>1021</v>
      </c>
      <c r="J179" s="46" t="s">
        <v>470</v>
      </c>
      <c r="K179" s="46"/>
    </row>
    <row r="180" spans="1:11">
      <c r="A180" s="45">
        <f t="shared" si="2"/>
        <v>179</v>
      </c>
      <c r="B180" s="45" t="s">
        <v>1018</v>
      </c>
      <c r="C180" s="45" t="s">
        <v>440</v>
      </c>
      <c r="D180" s="46" t="s">
        <v>1024</v>
      </c>
      <c r="E180" s="47" t="s">
        <v>1025</v>
      </c>
      <c r="F180" s="45"/>
      <c r="G180" s="48" t="s">
        <v>452</v>
      </c>
      <c r="H180" s="49">
        <v>1</v>
      </c>
      <c r="I180" s="45" t="s">
        <v>1021</v>
      </c>
      <c r="J180" s="46" t="s">
        <v>470</v>
      </c>
      <c r="K180" s="46"/>
    </row>
    <row r="181" spans="1:11">
      <c r="A181" s="45">
        <f t="shared" si="2"/>
        <v>180</v>
      </c>
      <c r="B181" s="45" t="s">
        <v>1018</v>
      </c>
      <c r="C181" s="45" t="s">
        <v>440</v>
      </c>
      <c r="D181" s="46" t="s">
        <v>1026</v>
      </c>
      <c r="E181" s="47" t="s">
        <v>1027</v>
      </c>
      <c r="F181" s="45"/>
      <c r="G181" s="48" t="s">
        <v>452</v>
      </c>
      <c r="H181" s="49">
        <v>1</v>
      </c>
      <c r="I181" s="69" t="s">
        <v>1021</v>
      </c>
      <c r="J181" s="46" t="s">
        <v>470</v>
      </c>
      <c r="K181" s="46"/>
    </row>
    <row r="182" spans="1:11">
      <c r="A182" s="45">
        <f t="shared" si="2"/>
        <v>181</v>
      </c>
      <c r="B182" s="45" t="s">
        <v>1018</v>
      </c>
      <c r="C182" s="45" t="s">
        <v>440</v>
      </c>
      <c r="D182" s="46" t="s">
        <v>1028</v>
      </c>
      <c r="E182" s="47" t="s">
        <v>1029</v>
      </c>
      <c r="F182" s="45"/>
      <c r="G182" s="48" t="s">
        <v>452</v>
      </c>
      <c r="H182" s="49">
        <v>1</v>
      </c>
      <c r="I182" s="69" t="s">
        <v>1021</v>
      </c>
      <c r="J182" s="46" t="s">
        <v>470</v>
      </c>
      <c r="K182" s="46"/>
    </row>
    <row r="183" spans="1:11">
      <c r="A183" s="45">
        <f t="shared" si="2"/>
        <v>182</v>
      </c>
      <c r="B183" s="45" t="s">
        <v>1018</v>
      </c>
      <c r="C183" s="45" t="s">
        <v>440</v>
      </c>
      <c r="D183" s="46" t="s">
        <v>453</v>
      </c>
      <c r="E183" s="47" t="s">
        <v>1030</v>
      </c>
      <c r="F183" s="45"/>
      <c r="G183" s="48" t="s">
        <v>452</v>
      </c>
      <c r="H183" s="49">
        <v>1</v>
      </c>
      <c r="I183" s="45" t="s">
        <v>1021</v>
      </c>
      <c r="J183" s="46" t="s">
        <v>470</v>
      </c>
      <c r="K183" s="46"/>
    </row>
    <row r="184" spans="1:11">
      <c r="A184" s="45">
        <f t="shared" si="2"/>
        <v>183</v>
      </c>
      <c r="B184" s="45" t="s">
        <v>1018</v>
      </c>
      <c r="C184" s="45" t="s">
        <v>440</v>
      </c>
      <c r="D184" s="46" t="s">
        <v>458</v>
      </c>
      <c r="E184" s="47" t="s">
        <v>1031</v>
      </c>
      <c r="F184" s="45"/>
      <c r="G184" s="48" t="s">
        <v>452</v>
      </c>
      <c r="H184" s="49">
        <v>1</v>
      </c>
      <c r="I184" s="45" t="s">
        <v>1021</v>
      </c>
      <c r="J184" s="46" t="s">
        <v>470</v>
      </c>
      <c r="K184" s="46"/>
    </row>
    <row r="185" spans="1:11">
      <c r="A185" s="45">
        <f t="shared" si="2"/>
        <v>184</v>
      </c>
      <c r="B185" s="45" t="s">
        <v>1018</v>
      </c>
      <c r="C185" s="45" t="s">
        <v>440</v>
      </c>
      <c r="D185" s="46" t="s">
        <v>1032</v>
      </c>
      <c r="E185" s="47" t="s">
        <v>1033</v>
      </c>
      <c r="F185" s="45"/>
      <c r="G185" s="48" t="s">
        <v>452</v>
      </c>
      <c r="H185" s="49">
        <v>1</v>
      </c>
      <c r="I185" s="45" t="s">
        <v>1021</v>
      </c>
      <c r="J185" s="46" t="s">
        <v>470</v>
      </c>
      <c r="K185" s="46"/>
    </row>
    <row r="186" spans="1:11">
      <c r="A186" s="45">
        <f t="shared" si="2"/>
        <v>185</v>
      </c>
      <c r="B186" s="45" t="s">
        <v>1018</v>
      </c>
      <c r="C186" s="45" t="s">
        <v>440</v>
      </c>
      <c r="D186" s="46" t="s">
        <v>464</v>
      </c>
      <c r="E186" s="47" t="s">
        <v>1034</v>
      </c>
      <c r="F186" s="45"/>
      <c r="G186" s="48" t="s">
        <v>452</v>
      </c>
      <c r="H186" s="49">
        <v>1</v>
      </c>
      <c r="I186" s="69" t="s">
        <v>1021</v>
      </c>
      <c r="J186" s="46" t="s">
        <v>470</v>
      </c>
      <c r="K186" s="46"/>
    </row>
    <row r="187" spans="1:11">
      <c r="A187" s="39">
        <f t="shared" si="2"/>
        <v>186</v>
      </c>
      <c r="B187" s="39" t="s">
        <v>1018</v>
      </c>
      <c r="C187" s="39" t="s">
        <v>440</v>
      </c>
      <c r="D187" s="40" t="s">
        <v>466</v>
      </c>
      <c r="E187" s="44" t="s">
        <v>1035</v>
      </c>
      <c r="F187" s="39" t="s">
        <v>772</v>
      </c>
      <c r="G187" s="42">
        <v>46142</v>
      </c>
      <c r="H187" s="43">
        <v>1</v>
      </c>
      <c r="I187" s="39" t="s">
        <v>1036</v>
      </c>
      <c r="J187" s="40" t="s">
        <v>938</v>
      </c>
      <c r="K187" s="40" t="s">
        <v>470</v>
      </c>
    </row>
    <row r="188" spans="1:11">
      <c r="A188" s="45">
        <f t="shared" si="2"/>
        <v>187</v>
      </c>
      <c r="B188" s="45" t="s">
        <v>1018</v>
      </c>
      <c r="C188" s="45" t="s">
        <v>440</v>
      </c>
      <c r="D188" s="46" t="s">
        <v>1037</v>
      </c>
      <c r="E188" s="47" t="s">
        <v>472</v>
      </c>
      <c r="F188" s="45"/>
      <c r="G188" s="48" t="s">
        <v>452</v>
      </c>
      <c r="H188" s="49">
        <v>1</v>
      </c>
      <c r="I188" s="45" t="s">
        <v>1021</v>
      </c>
      <c r="J188" s="46" t="s">
        <v>470</v>
      </c>
      <c r="K188" s="46"/>
    </row>
    <row r="189" spans="1:11">
      <c r="A189" s="45">
        <f t="shared" si="2"/>
        <v>188</v>
      </c>
      <c r="B189" s="45" t="s">
        <v>1018</v>
      </c>
      <c r="C189" s="45" t="s">
        <v>440</v>
      </c>
      <c r="D189" s="46" t="s">
        <v>1038</v>
      </c>
      <c r="E189" s="47" t="s">
        <v>478</v>
      </c>
      <c r="F189" s="45"/>
      <c r="G189" s="48" t="s">
        <v>452</v>
      </c>
      <c r="H189" s="49">
        <v>1</v>
      </c>
      <c r="I189" s="45" t="s">
        <v>1021</v>
      </c>
      <c r="J189" s="46" t="s">
        <v>470</v>
      </c>
      <c r="K189" s="46"/>
    </row>
    <row r="190" spans="1:11">
      <c r="A190" s="45">
        <f t="shared" si="2"/>
        <v>189</v>
      </c>
      <c r="B190" s="45" t="s">
        <v>1018</v>
      </c>
      <c r="C190" s="45" t="s">
        <v>440</v>
      </c>
      <c r="D190" s="46" t="s">
        <v>1039</v>
      </c>
      <c r="E190" s="47" t="s">
        <v>490</v>
      </c>
      <c r="F190" s="45"/>
      <c r="G190" s="48" t="s">
        <v>452</v>
      </c>
      <c r="H190" s="49">
        <v>1</v>
      </c>
      <c r="I190" s="45" t="s">
        <v>1021</v>
      </c>
      <c r="J190" s="46" t="s">
        <v>470</v>
      </c>
      <c r="K190" s="46"/>
    </row>
    <row r="191" spans="1:11">
      <c r="A191" s="45">
        <f t="shared" si="2"/>
        <v>190</v>
      </c>
      <c r="B191" s="45" t="s">
        <v>1018</v>
      </c>
      <c r="C191" s="45" t="s">
        <v>440</v>
      </c>
      <c r="D191" s="46" t="s">
        <v>1040</v>
      </c>
      <c r="E191" s="47" t="s">
        <v>1041</v>
      </c>
      <c r="F191" s="45"/>
      <c r="G191" s="48" t="s">
        <v>452</v>
      </c>
      <c r="H191" s="49">
        <v>1</v>
      </c>
      <c r="I191" s="45" t="s">
        <v>1021</v>
      </c>
      <c r="J191" s="46" t="s">
        <v>470</v>
      </c>
      <c r="K191" s="46"/>
    </row>
    <row r="192" spans="1:11">
      <c r="A192" s="45">
        <f t="shared" si="2"/>
        <v>191</v>
      </c>
      <c r="B192" s="45" t="s">
        <v>1018</v>
      </c>
      <c r="C192" s="45" t="s">
        <v>440</v>
      </c>
      <c r="D192" s="46" t="s">
        <v>479</v>
      </c>
      <c r="E192" s="47" t="s">
        <v>1042</v>
      </c>
      <c r="F192" s="45"/>
      <c r="G192" s="48" t="s">
        <v>452</v>
      </c>
      <c r="H192" s="49">
        <v>1</v>
      </c>
      <c r="I192" s="45" t="s">
        <v>1021</v>
      </c>
      <c r="J192" s="46" t="s">
        <v>470</v>
      </c>
      <c r="K192" s="46"/>
    </row>
    <row r="193" spans="1:11">
      <c r="A193" s="45">
        <f t="shared" si="2"/>
        <v>192</v>
      </c>
      <c r="B193" s="45" t="s">
        <v>1018</v>
      </c>
      <c r="C193" s="45" t="s">
        <v>440</v>
      </c>
      <c r="D193" s="46" t="s">
        <v>482</v>
      </c>
      <c r="E193" s="47" t="s">
        <v>1043</v>
      </c>
      <c r="F193" s="45"/>
      <c r="G193" s="48" t="s">
        <v>452</v>
      </c>
      <c r="H193" s="49">
        <v>1</v>
      </c>
      <c r="I193" s="45" t="s">
        <v>1021</v>
      </c>
      <c r="J193" s="46" t="s">
        <v>470</v>
      </c>
      <c r="K193" s="46"/>
    </row>
    <row r="194" spans="1:11">
      <c r="A194" s="45">
        <f t="shared" si="2"/>
        <v>193</v>
      </c>
      <c r="B194" s="45" t="s">
        <v>1018</v>
      </c>
      <c r="C194" s="45" t="s">
        <v>440</v>
      </c>
      <c r="D194" s="46" t="s">
        <v>486</v>
      </c>
      <c r="E194" s="47" t="s">
        <v>506</v>
      </c>
      <c r="F194" s="45"/>
      <c r="G194" s="48" t="s">
        <v>452</v>
      </c>
      <c r="H194" s="49">
        <v>1</v>
      </c>
      <c r="I194" s="45" t="s">
        <v>1021</v>
      </c>
      <c r="J194" s="46" t="s">
        <v>470</v>
      </c>
      <c r="K194" s="46"/>
    </row>
    <row r="195" spans="1:11">
      <c r="A195" s="45">
        <f t="shared" ref="A195:A258" si="3">ROW()-1</f>
        <v>194</v>
      </c>
      <c r="B195" s="45" t="s">
        <v>1018</v>
      </c>
      <c r="C195" s="45" t="s">
        <v>440</v>
      </c>
      <c r="D195" s="46" t="s">
        <v>489</v>
      </c>
      <c r="E195" s="47" t="s">
        <v>1044</v>
      </c>
      <c r="F195" s="45"/>
      <c r="G195" s="48" t="s">
        <v>452</v>
      </c>
      <c r="H195" s="49">
        <v>1</v>
      </c>
      <c r="I195" s="45" t="s">
        <v>1021</v>
      </c>
      <c r="J195" s="46" t="s">
        <v>470</v>
      </c>
      <c r="K195" s="46"/>
    </row>
    <row r="196" spans="1:11">
      <c r="A196" s="45">
        <f t="shared" si="3"/>
        <v>195</v>
      </c>
      <c r="B196" s="45" t="s">
        <v>1018</v>
      </c>
      <c r="C196" s="45" t="s">
        <v>440</v>
      </c>
      <c r="D196" s="46" t="s">
        <v>493</v>
      </c>
      <c r="E196" s="47" t="s">
        <v>1045</v>
      </c>
      <c r="F196" s="45"/>
      <c r="G196" s="48" t="s">
        <v>452</v>
      </c>
      <c r="H196" s="49">
        <v>1</v>
      </c>
      <c r="I196" s="45" t="s">
        <v>1021</v>
      </c>
      <c r="J196" s="46" t="s">
        <v>470</v>
      </c>
      <c r="K196" s="46"/>
    </row>
    <row r="197" spans="1:11">
      <c r="A197" s="45">
        <f t="shared" si="3"/>
        <v>196</v>
      </c>
      <c r="B197" s="45" t="s">
        <v>1018</v>
      </c>
      <c r="C197" s="45" t="s">
        <v>440</v>
      </c>
      <c r="D197" s="46" t="s">
        <v>1046</v>
      </c>
      <c r="E197" s="47" t="s">
        <v>1047</v>
      </c>
      <c r="F197" s="45"/>
      <c r="G197" s="48" t="s">
        <v>452</v>
      </c>
      <c r="H197" s="49">
        <v>1</v>
      </c>
      <c r="I197" s="45" t="s">
        <v>1021</v>
      </c>
      <c r="J197" s="46" t="s">
        <v>470</v>
      </c>
      <c r="K197" s="46"/>
    </row>
    <row r="198" spans="1:11">
      <c r="A198" s="45">
        <f t="shared" si="3"/>
        <v>197</v>
      </c>
      <c r="B198" s="45" t="s">
        <v>1018</v>
      </c>
      <c r="C198" s="45" t="s">
        <v>529</v>
      </c>
      <c r="D198" s="46" t="s">
        <v>1048</v>
      </c>
      <c r="E198" s="47" t="s">
        <v>1049</v>
      </c>
      <c r="F198" s="45"/>
      <c r="G198" s="48" t="s">
        <v>452</v>
      </c>
      <c r="H198" s="49">
        <v>1</v>
      </c>
      <c r="I198" s="45" t="s">
        <v>1021</v>
      </c>
      <c r="J198" s="46" t="s">
        <v>536</v>
      </c>
      <c r="K198" s="46"/>
    </row>
    <row r="199" spans="1:11">
      <c r="A199" s="45">
        <f t="shared" si="3"/>
        <v>198</v>
      </c>
      <c r="B199" s="45" t="s">
        <v>1018</v>
      </c>
      <c r="C199" s="45" t="s">
        <v>529</v>
      </c>
      <c r="D199" s="46" t="s">
        <v>1050</v>
      </c>
      <c r="E199" s="47" t="s">
        <v>1051</v>
      </c>
      <c r="F199" s="45"/>
      <c r="G199" s="48" t="s">
        <v>452</v>
      </c>
      <c r="H199" s="49">
        <v>1</v>
      </c>
      <c r="I199" s="45" t="s">
        <v>1021</v>
      </c>
      <c r="J199" s="46" t="s">
        <v>536</v>
      </c>
      <c r="K199" s="46"/>
    </row>
    <row r="200" spans="1:11">
      <c r="A200" s="45">
        <f t="shared" si="3"/>
        <v>199</v>
      </c>
      <c r="B200" s="45" t="s">
        <v>1018</v>
      </c>
      <c r="C200" s="45" t="s">
        <v>529</v>
      </c>
      <c r="D200" s="46" t="s">
        <v>1052</v>
      </c>
      <c r="E200" s="47" t="s">
        <v>1053</v>
      </c>
      <c r="F200" s="45"/>
      <c r="G200" s="48" t="s">
        <v>452</v>
      </c>
      <c r="H200" s="49">
        <v>1</v>
      </c>
      <c r="I200" s="45" t="s">
        <v>1021</v>
      </c>
      <c r="J200" s="46" t="s">
        <v>536</v>
      </c>
      <c r="K200" s="46"/>
    </row>
    <row r="201" spans="1:11">
      <c r="A201" s="45">
        <f t="shared" si="3"/>
        <v>200</v>
      </c>
      <c r="B201" s="45" t="s">
        <v>1018</v>
      </c>
      <c r="C201" s="45" t="s">
        <v>529</v>
      </c>
      <c r="D201" s="46" t="s">
        <v>1054</v>
      </c>
      <c r="E201" s="47" t="s">
        <v>1055</v>
      </c>
      <c r="F201" s="45"/>
      <c r="G201" s="48" t="s">
        <v>452</v>
      </c>
      <c r="H201" s="49">
        <v>1</v>
      </c>
      <c r="I201" s="45" t="s">
        <v>1021</v>
      </c>
      <c r="J201" s="46" t="s">
        <v>536</v>
      </c>
      <c r="K201" s="46"/>
    </row>
    <row r="202" spans="1:11">
      <c r="A202" s="45">
        <f t="shared" si="3"/>
        <v>201</v>
      </c>
      <c r="B202" s="45" t="s">
        <v>1018</v>
      </c>
      <c r="C202" s="45" t="s">
        <v>529</v>
      </c>
      <c r="D202" s="46" t="s">
        <v>1056</v>
      </c>
      <c r="E202" s="47" t="s">
        <v>1057</v>
      </c>
      <c r="F202" s="45"/>
      <c r="G202" s="48" t="s">
        <v>452</v>
      </c>
      <c r="H202" s="49">
        <v>1</v>
      </c>
      <c r="I202" s="45" t="s">
        <v>1021</v>
      </c>
      <c r="J202" s="46" t="s">
        <v>536</v>
      </c>
      <c r="K202" s="46"/>
    </row>
    <row r="203" spans="1:11">
      <c r="A203" s="45">
        <f t="shared" si="3"/>
        <v>202</v>
      </c>
      <c r="B203" s="45" t="s">
        <v>1018</v>
      </c>
      <c r="C203" s="45" t="s">
        <v>529</v>
      </c>
      <c r="D203" s="46" t="s">
        <v>548</v>
      </c>
      <c r="E203" s="47" t="s">
        <v>1058</v>
      </c>
      <c r="F203" s="45"/>
      <c r="G203" s="48" t="s">
        <v>452</v>
      </c>
      <c r="H203" s="49">
        <v>1</v>
      </c>
      <c r="I203" s="45" t="s">
        <v>1021</v>
      </c>
      <c r="J203" s="46" t="s">
        <v>536</v>
      </c>
      <c r="K203" s="46"/>
    </row>
    <row r="204" spans="1:11">
      <c r="A204" s="45">
        <f t="shared" si="3"/>
        <v>203</v>
      </c>
      <c r="B204" s="45" t="s">
        <v>1018</v>
      </c>
      <c r="C204" s="45" t="s">
        <v>529</v>
      </c>
      <c r="D204" s="46" t="s">
        <v>551</v>
      </c>
      <c r="E204" s="47" t="s">
        <v>1059</v>
      </c>
      <c r="F204" s="45"/>
      <c r="G204" s="48" t="s">
        <v>452</v>
      </c>
      <c r="H204" s="49">
        <v>1</v>
      </c>
      <c r="I204" s="45" t="s">
        <v>1021</v>
      </c>
      <c r="J204" s="46" t="s">
        <v>536</v>
      </c>
      <c r="K204" s="46"/>
    </row>
    <row r="205" spans="1:11">
      <c r="A205" s="45">
        <f t="shared" si="3"/>
        <v>204</v>
      </c>
      <c r="B205" s="45" t="s">
        <v>1018</v>
      </c>
      <c r="C205" s="45" t="s">
        <v>529</v>
      </c>
      <c r="D205" s="46" t="s">
        <v>558</v>
      </c>
      <c r="E205" s="47" t="s">
        <v>1060</v>
      </c>
      <c r="F205" s="45"/>
      <c r="G205" s="48" t="s">
        <v>452</v>
      </c>
      <c r="H205" s="49">
        <v>1</v>
      </c>
      <c r="I205" s="45" t="s">
        <v>1021</v>
      </c>
      <c r="J205" s="46" t="s">
        <v>536</v>
      </c>
      <c r="K205" s="46"/>
    </row>
    <row r="206" spans="1:11">
      <c r="A206" s="45">
        <f t="shared" si="3"/>
        <v>205</v>
      </c>
      <c r="B206" s="45" t="s">
        <v>1018</v>
      </c>
      <c r="C206" s="45" t="s">
        <v>529</v>
      </c>
      <c r="D206" s="46" t="s">
        <v>1061</v>
      </c>
      <c r="E206" s="47" t="s">
        <v>1062</v>
      </c>
      <c r="F206" s="45"/>
      <c r="G206" s="48" t="s">
        <v>452</v>
      </c>
      <c r="H206" s="49">
        <v>1</v>
      </c>
      <c r="I206" s="45" t="s">
        <v>1021</v>
      </c>
      <c r="J206" s="46" t="s">
        <v>536</v>
      </c>
      <c r="K206" s="46"/>
    </row>
    <row r="207" spans="1:11">
      <c r="A207" s="45">
        <f t="shared" si="3"/>
        <v>206</v>
      </c>
      <c r="B207" s="45" t="s">
        <v>1018</v>
      </c>
      <c r="C207" s="45" t="s">
        <v>529</v>
      </c>
      <c r="D207" s="46" t="s">
        <v>1063</v>
      </c>
      <c r="E207" s="47" t="s">
        <v>1064</v>
      </c>
      <c r="F207" s="45"/>
      <c r="G207" s="48" t="s">
        <v>452</v>
      </c>
      <c r="H207" s="49">
        <v>1</v>
      </c>
      <c r="I207" s="45" t="s">
        <v>1021</v>
      </c>
      <c r="J207" s="46" t="s">
        <v>536</v>
      </c>
      <c r="K207" s="46"/>
    </row>
    <row r="208" spans="1:11">
      <c r="A208" s="45">
        <f t="shared" si="3"/>
        <v>207</v>
      </c>
      <c r="B208" s="45" t="s">
        <v>1018</v>
      </c>
      <c r="C208" s="45" t="s">
        <v>529</v>
      </c>
      <c r="D208" s="46" t="s">
        <v>1065</v>
      </c>
      <c r="E208" s="47" t="s">
        <v>1066</v>
      </c>
      <c r="F208" s="45"/>
      <c r="G208" s="48" t="s">
        <v>452</v>
      </c>
      <c r="H208" s="49">
        <v>1</v>
      </c>
      <c r="I208" s="45" t="s">
        <v>1021</v>
      </c>
      <c r="J208" s="46" t="s">
        <v>536</v>
      </c>
      <c r="K208" s="46"/>
    </row>
    <row r="209" spans="1:11">
      <c r="A209" s="45">
        <f t="shared" si="3"/>
        <v>208</v>
      </c>
      <c r="B209" s="45" t="s">
        <v>1018</v>
      </c>
      <c r="C209" s="45" t="s">
        <v>529</v>
      </c>
      <c r="D209" s="46" t="s">
        <v>1067</v>
      </c>
      <c r="E209" s="47" t="s">
        <v>1068</v>
      </c>
      <c r="F209" s="45"/>
      <c r="G209" s="48" t="s">
        <v>452</v>
      </c>
      <c r="H209" s="49">
        <v>1</v>
      </c>
      <c r="I209" s="45" t="s">
        <v>1021</v>
      </c>
      <c r="J209" s="46" t="s">
        <v>536</v>
      </c>
      <c r="K209" s="46"/>
    </row>
    <row r="210" spans="1:11">
      <c r="A210" s="45">
        <f t="shared" si="3"/>
        <v>209</v>
      </c>
      <c r="B210" s="45" t="s">
        <v>1018</v>
      </c>
      <c r="C210" s="45" t="s">
        <v>529</v>
      </c>
      <c r="D210" s="46" t="s">
        <v>1069</v>
      </c>
      <c r="E210" s="47" t="s">
        <v>1070</v>
      </c>
      <c r="F210" s="45"/>
      <c r="G210" s="48" t="s">
        <v>452</v>
      </c>
      <c r="H210" s="49">
        <v>1</v>
      </c>
      <c r="I210" s="45" t="s">
        <v>1021</v>
      </c>
      <c r="J210" s="46" t="s">
        <v>536</v>
      </c>
      <c r="K210" s="46"/>
    </row>
    <row r="211" spans="1:11">
      <c r="A211" s="45">
        <f t="shared" si="3"/>
        <v>210</v>
      </c>
      <c r="B211" s="45" t="s">
        <v>1018</v>
      </c>
      <c r="C211" s="45" t="s">
        <v>529</v>
      </c>
      <c r="D211" s="46" t="s">
        <v>583</v>
      </c>
      <c r="E211" s="47" t="s">
        <v>1071</v>
      </c>
      <c r="F211" s="45"/>
      <c r="G211" s="48" t="s">
        <v>452</v>
      </c>
      <c r="H211" s="49">
        <v>1</v>
      </c>
      <c r="I211" s="45" t="s">
        <v>1021</v>
      </c>
      <c r="J211" s="46" t="s">
        <v>536</v>
      </c>
      <c r="K211" s="46"/>
    </row>
    <row r="212" spans="1:11">
      <c r="A212" s="45">
        <f t="shared" si="3"/>
        <v>211</v>
      </c>
      <c r="B212" s="45" t="s">
        <v>1018</v>
      </c>
      <c r="C212" s="45" t="s">
        <v>529</v>
      </c>
      <c r="D212" s="46" t="s">
        <v>587</v>
      </c>
      <c r="E212" s="47" t="s">
        <v>1072</v>
      </c>
      <c r="F212" s="45"/>
      <c r="G212" s="48" t="s">
        <v>452</v>
      </c>
      <c r="H212" s="49">
        <v>1</v>
      </c>
      <c r="I212" s="45" t="s">
        <v>1021</v>
      </c>
      <c r="J212" s="46" t="s">
        <v>536</v>
      </c>
      <c r="K212" s="46"/>
    </row>
    <row r="213" spans="1:11">
      <c r="A213" s="45">
        <f t="shared" si="3"/>
        <v>212</v>
      </c>
      <c r="B213" s="45" t="s">
        <v>1018</v>
      </c>
      <c r="C213" s="45" t="s">
        <v>529</v>
      </c>
      <c r="D213" s="46" t="s">
        <v>1073</v>
      </c>
      <c r="E213" s="47" t="s">
        <v>1074</v>
      </c>
      <c r="F213" s="45"/>
      <c r="G213" s="48" t="s">
        <v>452</v>
      </c>
      <c r="H213" s="49">
        <v>1</v>
      </c>
      <c r="I213" s="45" t="s">
        <v>1021</v>
      </c>
      <c r="J213" s="46" t="s">
        <v>536</v>
      </c>
      <c r="K213" s="46"/>
    </row>
    <row r="214" spans="1:11">
      <c r="A214" s="45">
        <f t="shared" si="3"/>
        <v>213</v>
      </c>
      <c r="B214" s="45" t="s">
        <v>1018</v>
      </c>
      <c r="C214" s="45" t="s">
        <v>529</v>
      </c>
      <c r="D214" s="46" t="s">
        <v>1075</v>
      </c>
      <c r="E214" s="47" t="s">
        <v>588</v>
      </c>
      <c r="F214" s="45"/>
      <c r="G214" s="48" t="s">
        <v>452</v>
      </c>
      <c r="H214" s="49">
        <v>1</v>
      </c>
      <c r="I214" s="45" t="s">
        <v>1021</v>
      </c>
      <c r="J214" s="46" t="s">
        <v>536</v>
      </c>
      <c r="K214" s="46"/>
    </row>
    <row r="215" spans="1:11">
      <c r="A215" s="45">
        <f t="shared" si="3"/>
        <v>214</v>
      </c>
      <c r="B215" s="45" t="s">
        <v>1018</v>
      </c>
      <c r="C215" s="45" t="s">
        <v>529</v>
      </c>
      <c r="D215" s="46" t="s">
        <v>1076</v>
      </c>
      <c r="E215" s="47" t="s">
        <v>1077</v>
      </c>
      <c r="F215" s="45"/>
      <c r="G215" s="48" t="s">
        <v>452</v>
      </c>
      <c r="H215" s="49">
        <v>1</v>
      </c>
      <c r="I215" s="45" t="s">
        <v>1021</v>
      </c>
      <c r="J215" s="46" t="s">
        <v>536</v>
      </c>
      <c r="K215" s="46"/>
    </row>
    <row r="216" spans="1:11">
      <c r="A216" s="45">
        <f t="shared" si="3"/>
        <v>215</v>
      </c>
      <c r="B216" s="45" t="s">
        <v>1018</v>
      </c>
      <c r="C216" s="45" t="s">
        <v>529</v>
      </c>
      <c r="D216" s="46" t="s">
        <v>1078</v>
      </c>
      <c r="E216" s="47" t="s">
        <v>1079</v>
      </c>
      <c r="F216" s="45"/>
      <c r="G216" s="48" t="s">
        <v>452</v>
      </c>
      <c r="H216" s="49">
        <v>1</v>
      </c>
      <c r="I216" s="45" t="s">
        <v>1021</v>
      </c>
      <c r="J216" s="46" t="s">
        <v>536</v>
      </c>
      <c r="K216" s="46"/>
    </row>
    <row r="217" spans="1:11">
      <c r="A217" s="45">
        <f t="shared" si="3"/>
        <v>216</v>
      </c>
      <c r="B217" s="45" t="s">
        <v>1018</v>
      </c>
      <c r="C217" s="45" t="s">
        <v>529</v>
      </c>
      <c r="D217" s="46" t="s">
        <v>1080</v>
      </c>
      <c r="E217" s="47" t="s">
        <v>1081</v>
      </c>
      <c r="F217" s="45"/>
      <c r="G217" s="48" t="s">
        <v>452</v>
      </c>
      <c r="H217" s="49">
        <v>1</v>
      </c>
      <c r="I217" s="45" t="s">
        <v>1021</v>
      </c>
      <c r="J217" s="46" t="s">
        <v>536</v>
      </c>
      <c r="K217" s="46"/>
    </row>
    <row r="218" spans="1:11">
      <c r="A218" s="45">
        <f t="shared" si="3"/>
        <v>217</v>
      </c>
      <c r="B218" s="45" t="s">
        <v>1018</v>
      </c>
      <c r="C218" s="45" t="s">
        <v>529</v>
      </c>
      <c r="D218" s="46" t="s">
        <v>1082</v>
      </c>
      <c r="E218" s="47" t="s">
        <v>950</v>
      </c>
      <c r="F218" s="45"/>
      <c r="G218" s="48" t="s">
        <v>452</v>
      </c>
      <c r="H218" s="49">
        <v>1</v>
      </c>
      <c r="I218" s="45" t="s">
        <v>1021</v>
      </c>
      <c r="J218" s="46" t="s">
        <v>536</v>
      </c>
      <c r="K218" s="46"/>
    </row>
    <row r="219" spans="1:11">
      <c r="A219" s="45">
        <f t="shared" si="3"/>
        <v>218</v>
      </c>
      <c r="B219" s="45" t="s">
        <v>1018</v>
      </c>
      <c r="C219" s="45" t="s">
        <v>529</v>
      </c>
      <c r="D219" s="46" t="s">
        <v>1083</v>
      </c>
      <c r="E219" s="47" t="s">
        <v>1084</v>
      </c>
      <c r="F219" s="45"/>
      <c r="G219" s="48" t="s">
        <v>452</v>
      </c>
      <c r="H219" s="49">
        <v>1</v>
      </c>
      <c r="I219" s="45" t="s">
        <v>1021</v>
      </c>
      <c r="J219" s="46" t="s">
        <v>536</v>
      </c>
      <c r="K219" s="46"/>
    </row>
    <row r="220" spans="1:11">
      <c r="A220" s="45">
        <f t="shared" si="3"/>
        <v>219</v>
      </c>
      <c r="B220" s="45" t="s">
        <v>1018</v>
      </c>
      <c r="C220" s="45" t="s">
        <v>529</v>
      </c>
      <c r="D220" s="46" t="s">
        <v>1085</v>
      </c>
      <c r="E220" s="47" t="s">
        <v>1086</v>
      </c>
      <c r="F220" s="45"/>
      <c r="G220" s="48" t="s">
        <v>452</v>
      </c>
      <c r="H220" s="49">
        <v>1</v>
      </c>
      <c r="I220" s="45" t="s">
        <v>1021</v>
      </c>
      <c r="J220" s="46" t="s">
        <v>536</v>
      </c>
      <c r="K220" s="46"/>
    </row>
    <row r="221" spans="1:11">
      <c r="A221" s="45">
        <f t="shared" si="3"/>
        <v>220</v>
      </c>
      <c r="B221" s="45" t="s">
        <v>1018</v>
      </c>
      <c r="C221" s="45" t="s">
        <v>529</v>
      </c>
      <c r="D221" s="46" t="s">
        <v>1087</v>
      </c>
      <c r="E221" s="47" t="s">
        <v>1088</v>
      </c>
      <c r="F221" s="45"/>
      <c r="G221" s="48" t="s">
        <v>452</v>
      </c>
      <c r="H221" s="49">
        <v>1</v>
      </c>
      <c r="I221" s="45" t="s">
        <v>1021</v>
      </c>
      <c r="J221" s="46" t="s">
        <v>536</v>
      </c>
      <c r="K221" s="46"/>
    </row>
    <row r="222" spans="1:11">
      <c r="A222" s="45">
        <f t="shared" si="3"/>
        <v>221</v>
      </c>
      <c r="B222" s="45" t="s">
        <v>1018</v>
      </c>
      <c r="C222" s="45" t="s">
        <v>529</v>
      </c>
      <c r="D222" s="46" t="s">
        <v>1089</v>
      </c>
      <c r="E222" s="47" t="s">
        <v>1090</v>
      </c>
      <c r="F222" s="45"/>
      <c r="G222" s="48" t="s">
        <v>452</v>
      </c>
      <c r="H222" s="49">
        <v>1</v>
      </c>
      <c r="I222" s="45" t="s">
        <v>1021</v>
      </c>
      <c r="J222" s="46" t="s">
        <v>536</v>
      </c>
      <c r="K222" s="46"/>
    </row>
    <row r="223" spans="1:11">
      <c r="A223" s="45">
        <f t="shared" si="3"/>
        <v>222</v>
      </c>
      <c r="B223" s="45" t="s">
        <v>1018</v>
      </c>
      <c r="C223" s="45" t="s">
        <v>529</v>
      </c>
      <c r="D223" s="46" t="s">
        <v>1091</v>
      </c>
      <c r="E223" s="47" t="s">
        <v>1092</v>
      </c>
      <c r="F223" s="45"/>
      <c r="G223" s="48" t="s">
        <v>452</v>
      </c>
      <c r="H223" s="49">
        <v>1</v>
      </c>
      <c r="I223" s="45" t="s">
        <v>1021</v>
      </c>
      <c r="J223" s="46" t="s">
        <v>536</v>
      </c>
      <c r="K223" s="46"/>
    </row>
    <row r="224" spans="1:11">
      <c r="A224" s="45">
        <f t="shared" si="3"/>
        <v>223</v>
      </c>
      <c r="B224" s="45" t="s">
        <v>1018</v>
      </c>
      <c r="C224" s="45" t="s">
        <v>615</v>
      </c>
      <c r="D224" s="46" t="s">
        <v>1093</v>
      </c>
      <c r="E224" s="47" t="s">
        <v>1094</v>
      </c>
      <c r="F224" s="45"/>
      <c r="G224" s="48" t="s">
        <v>452</v>
      </c>
      <c r="H224" s="49">
        <v>1</v>
      </c>
      <c r="I224" s="45" t="s">
        <v>1021</v>
      </c>
      <c r="J224" s="46" t="s">
        <v>536</v>
      </c>
      <c r="K224" s="46"/>
    </row>
    <row r="225" spans="1:11">
      <c r="A225" s="45">
        <f t="shared" si="3"/>
        <v>224</v>
      </c>
      <c r="B225" s="45" t="s">
        <v>1018</v>
      </c>
      <c r="C225" s="45" t="s">
        <v>615</v>
      </c>
      <c r="D225" s="46" t="s">
        <v>1095</v>
      </c>
      <c r="E225" s="47" t="s">
        <v>1096</v>
      </c>
      <c r="F225" s="45"/>
      <c r="G225" s="48" t="s">
        <v>452</v>
      </c>
      <c r="H225" s="49">
        <v>1</v>
      </c>
      <c r="I225" s="45" t="s">
        <v>1021</v>
      </c>
      <c r="J225" s="46" t="s">
        <v>536</v>
      </c>
      <c r="K225" s="46"/>
    </row>
    <row r="226" spans="1:11">
      <c r="A226" s="45">
        <f t="shared" si="3"/>
        <v>225</v>
      </c>
      <c r="B226" s="45" t="s">
        <v>1018</v>
      </c>
      <c r="C226" s="45" t="s">
        <v>615</v>
      </c>
      <c r="D226" s="46" t="s">
        <v>1097</v>
      </c>
      <c r="E226" s="47" t="s">
        <v>1098</v>
      </c>
      <c r="F226" s="45"/>
      <c r="G226" s="48" t="s">
        <v>452</v>
      </c>
      <c r="H226" s="49">
        <v>1</v>
      </c>
      <c r="I226" s="45" t="s">
        <v>1021</v>
      </c>
      <c r="J226" s="46" t="s">
        <v>536</v>
      </c>
      <c r="K226" s="46"/>
    </row>
    <row r="227" spans="1:11">
      <c r="A227" s="45">
        <f t="shared" si="3"/>
        <v>226</v>
      </c>
      <c r="B227" s="45" t="s">
        <v>1018</v>
      </c>
      <c r="C227" s="45" t="s">
        <v>615</v>
      </c>
      <c r="D227" s="46" t="s">
        <v>1099</v>
      </c>
      <c r="E227" s="47" t="s">
        <v>1100</v>
      </c>
      <c r="F227" s="45"/>
      <c r="G227" s="48" t="s">
        <v>452</v>
      </c>
      <c r="H227" s="49">
        <v>1</v>
      </c>
      <c r="I227" s="45" t="s">
        <v>1021</v>
      </c>
      <c r="J227" s="46" t="s">
        <v>536</v>
      </c>
      <c r="K227" s="46"/>
    </row>
    <row r="228" spans="1:11">
      <c r="A228" s="45">
        <f t="shared" si="3"/>
        <v>227</v>
      </c>
      <c r="B228" s="45" t="s">
        <v>1018</v>
      </c>
      <c r="C228" s="45" t="s">
        <v>615</v>
      </c>
      <c r="D228" s="46" t="s">
        <v>1101</v>
      </c>
      <c r="E228" s="47" t="s">
        <v>713</v>
      </c>
      <c r="F228" s="45"/>
      <c r="G228" s="48" t="s">
        <v>452</v>
      </c>
      <c r="H228" s="49">
        <v>1</v>
      </c>
      <c r="I228" s="45" t="s">
        <v>1021</v>
      </c>
      <c r="J228" s="46" t="s">
        <v>536</v>
      </c>
      <c r="K228" s="46"/>
    </row>
    <row r="229" spans="1:11">
      <c r="A229" s="45">
        <f t="shared" si="3"/>
        <v>228</v>
      </c>
      <c r="B229" s="45" t="s">
        <v>1018</v>
      </c>
      <c r="C229" s="45" t="s">
        <v>615</v>
      </c>
      <c r="D229" s="46" t="s">
        <v>1102</v>
      </c>
      <c r="E229" s="47" t="s">
        <v>1103</v>
      </c>
      <c r="F229" s="45"/>
      <c r="G229" s="48" t="s">
        <v>452</v>
      </c>
      <c r="H229" s="49">
        <v>1</v>
      </c>
      <c r="I229" s="45" t="s">
        <v>1021</v>
      </c>
      <c r="J229" s="46" t="s">
        <v>536</v>
      </c>
      <c r="K229" s="46"/>
    </row>
    <row r="230" spans="1:11">
      <c r="A230" s="45">
        <f t="shared" si="3"/>
        <v>229</v>
      </c>
      <c r="B230" s="45" t="s">
        <v>1018</v>
      </c>
      <c r="C230" s="45" t="s">
        <v>615</v>
      </c>
      <c r="D230" s="46" t="s">
        <v>637</v>
      </c>
      <c r="E230" s="47" t="s">
        <v>1104</v>
      </c>
      <c r="F230" s="45"/>
      <c r="G230" s="48" t="s">
        <v>452</v>
      </c>
      <c r="H230" s="49">
        <v>1</v>
      </c>
      <c r="I230" s="45" t="s">
        <v>1021</v>
      </c>
      <c r="J230" s="46" t="s">
        <v>536</v>
      </c>
      <c r="K230" s="46"/>
    </row>
    <row r="231" spans="1:11">
      <c r="A231" s="45">
        <f t="shared" si="3"/>
        <v>230</v>
      </c>
      <c r="B231" s="45" t="s">
        <v>1018</v>
      </c>
      <c r="C231" s="45" t="s">
        <v>615</v>
      </c>
      <c r="D231" s="46" t="s">
        <v>1105</v>
      </c>
      <c r="E231" s="47" t="s">
        <v>1106</v>
      </c>
      <c r="F231" s="45"/>
      <c r="G231" s="48" t="s">
        <v>452</v>
      </c>
      <c r="H231" s="49">
        <v>1</v>
      </c>
      <c r="I231" s="45" t="s">
        <v>1021</v>
      </c>
      <c r="J231" s="46" t="s">
        <v>536</v>
      </c>
      <c r="K231" s="46"/>
    </row>
    <row r="232" spans="1:11">
      <c r="A232" s="45">
        <f t="shared" si="3"/>
        <v>231</v>
      </c>
      <c r="B232" s="45" t="s">
        <v>1018</v>
      </c>
      <c r="C232" s="45" t="s">
        <v>615</v>
      </c>
      <c r="D232" s="46" t="s">
        <v>643</v>
      </c>
      <c r="E232" s="47" t="s">
        <v>617</v>
      </c>
      <c r="F232" s="45"/>
      <c r="G232" s="48" t="s">
        <v>452</v>
      </c>
      <c r="H232" s="49">
        <v>1</v>
      </c>
      <c r="I232" s="45"/>
      <c r="J232" s="46" t="s">
        <v>536</v>
      </c>
      <c r="K232" s="46" t="s">
        <v>1017</v>
      </c>
    </row>
    <row r="233" spans="1:11">
      <c r="A233" s="45">
        <f t="shared" si="3"/>
        <v>232</v>
      </c>
      <c r="B233" s="45" t="s">
        <v>1018</v>
      </c>
      <c r="C233" s="45" t="s">
        <v>615</v>
      </c>
      <c r="D233" s="46" t="s">
        <v>646</v>
      </c>
      <c r="E233" s="47" t="s">
        <v>1107</v>
      </c>
      <c r="F233" s="45"/>
      <c r="G233" s="48" t="s">
        <v>452</v>
      </c>
      <c r="H233" s="49">
        <v>1</v>
      </c>
      <c r="I233" s="45" t="s">
        <v>1021</v>
      </c>
      <c r="J233" s="46" t="s">
        <v>536</v>
      </c>
      <c r="K233" s="46"/>
    </row>
    <row r="234" spans="1:11">
      <c r="A234" s="45">
        <f t="shared" si="3"/>
        <v>233</v>
      </c>
      <c r="B234" s="45" t="s">
        <v>1018</v>
      </c>
      <c r="C234" s="45" t="s">
        <v>615</v>
      </c>
      <c r="D234" s="46" t="s">
        <v>1108</v>
      </c>
      <c r="E234" s="47" t="s">
        <v>644</v>
      </c>
      <c r="F234" s="45"/>
      <c r="G234" s="48" t="s">
        <v>452</v>
      </c>
      <c r="H234" s="49">
        <v>1</v>
      </c>
      <c r="I234" s="45" t="s">
        <v>1021</v>
      </c>
      <c r="J234" s="46" t="s">
        <v>536</v>
      </c>
      <c r="K234" s="46"/>
    </row>
    <row r="235" spans="1:11">
      <c r="A235" s="45">
        <f t="shared" si="3"/>
        <v>234</v>
      </c>
      <c r="B235" s="45" t="s">
        <v>1018</v>
      </c>
      <c r="C235" s="45" t="s">
        <v>615</v>
      </c>
      <c r="D235" s="46" t="s">
        <v>1109</v>
      </c>
      <c r="E235" s="47" t="s">
        <v>647</v>
      </c>
      <c r="F235" s="45"/>
      <c r="G235" s="48" t="s">
        <v>452</v>
      </c>
      <c r="H235" s="49">
        <v>1</v>
      </c>
      <c r="I235" s="45" t="s">
        <v>1021</v>
      </c>
      <c r="J235" s="46" t="s">
        <v>536</v>
      </c>
      <c r="K235" s="46"/>
    </row>
    <row r="236" spans="1:11">
      <c r="A236" s="45">
        <f t="shared" si="3"/>
        <v>235</v>
      </c>
      <c r="B236" s="45" t="s">
        <v>1018</v>
      </c>
      <c r="C236" s="45" t="s">
        <v>615</v>
      </c>
      <c r="D236" s="46" t="s">
        <v>1110</v>
      </c>
      <c r="E236" s="47" t="s">
        <v>654</v>
      </c>
      <c r="F236" s="45"/>
      <c r="G236" s="48" t="s">
        <v>452</v>
      </c>
      <c r="H236" s="49">
        <v>1</v>
      </c>
      <c r="I236" s="45" t="s">
        <v>1021</v>
      </c>
      <c r="J236" s="46" t="s">
        <v>536</v>
      </c>
      <c r="K236" s="46"/>
    </row>
    <row r="237" spans="1:11">
      <c r="A237" s="45">
        <f t="shared" si="3"/>
        <v>236</v>
      </c>
      <c r="B237" s="45" t="s">
        <v>1018</v>
      </c>
      <c r="C237" s="45" t="s">
        <v>615</v>
      </c>
      <c r="D237" s="46" t="s">
        <v>1111</v>
      </c>
      <c r="E237" s="47" t="s">
        <v>1112</v>
      </c>
      <c r="F237" s="45"/>
      <c r="G237" s="48" t="s">
        <v>452</v>
      </c>
      <c r="H237" s="49">
        <v>1</v>
      </c>
      <c r="I237" s="45" t="s">
        <v>1021</v>
      </c>
      <c r="J237" s="46" t="s">
        <v>536</v>
      </c>
      <c r="K237" s="46"/>
    </row>
    <row r="238" spans="1:11">
      <c r="A238" s="45">
        <f t="shared" si="3"/>
        <v>237</v>
      </c>
      <c r="B238" s="45" t="s">
        <v>1018</v>
      </c>
      <c r="C238" s="45" t="s">
        <v>615</v>
      </c>
      <c r="D238" s="46" t="s">
        <v>1113</v>
      </c>
      <c r="E238" s="47" t="s">
        <v>1114</v>
      </c>
      <c r="F238" s="45"/>
      <c r="G238" s="48" t="s">
        <v>452</v>
      </c>
      <c r="H238" s="49">
        <v>1</v>
      </c>
      <c r="I238" s="45" t="s">
        <v>1021</v>
      </c>
      <c r="J238" s="46" t="s">
        <v>536</v>
      </c>
      <c r="K238" s="46"/>
    </row>
    <row r="239" spans="1:11">
      <c r="A239" s="45">
        <f t="shared" si="3"/>
        <v>238</v>
      </c>
      <c r="B239" s="45" t="s">
        <v>1018</v>
      </c>
      <c r="C239" s="45" t="s">
        <v>615</v>
      </c>
      <c r="D239" s="46" t="s">
        <v>1115</v>
      </c>
      <c r="E239" s="47" t="s">
        <v>1116</v>
      </c>
      <c r="F239" s="45"/>
      <c r="G239" s="48" t="s">
        <v>452</v>
      </c>
      <c r="H239" s="49">
        <v>1</v>
      </c>
      <c r="I239" s="45" t="s">
        <v>1021</v>
      </c>
      <c r="J239" s="46" t="s">
        <v>536</v>
      </c>
      <c r="K239" s="46"/>
    </row>
    <row r="240" spans="1:11">
      <c r="A240" s="45">
        <f t="shared" si="3"/>
        <v>239</v>
      </c>
      <c r="B240" s="45" t="s">
        <v>1018</v>
      </c>
      <c r="C240" s="45" t="s">
        <v>615</v>
      </c>
      <c r="D240" s="46" t="s">
        <v>1117</v>
      </c>
      <c r="E240" s="47" t="s">
        <v>1118</v>
      </c>
      <c r="F240" s="45"/>
      <c r="G240" s="48" t="s">
        <v>452</v>
      </c>
      <c r="H240" s="49">
        <v>1</v>
      </c>
      <c r="I240" s="45" t="s">
        <v>1021</v>
      </c>
      <c r="J240" s="46" t="s">
        <v>536</v>
      </c>
      <c r="K240" s="46"/>
    </row>
    <row r="241" spans="1:11">
      <c r="A241" s="45">
        <f t="shared" si="3"/>
        <v>240</v>
      </c>
      <c r="B241" s="45" t="s">
        <v>1018</v>
      </c>
      <c r="C241" s="45" t="s">
        <v>615</v>
      </c>
      <c r="D241" s="46" t="s">
        <v>1119</v>
      </c>
      <c r="E241" s="47" t="s">
        <v>1120</v>
      </c>
      <c r="F241" s="45"/>
      <c r="G241" s="48" t="s">
        <v>452</v>
      </c>
      <c r="H241" s="49">
        <v>1</v>
      </c>
      <c r="I241" s="45" t="s">
        <v>1021</v>
      </c>
      <c r="J241" s="46" t="s">
        <v>536</v>
      </c>
      <c r="K241" s="46"/>
    </row>
    <row r="242" spans="1:11">
      <c r="A242" s="45">
        <f t="shared" si="3"/>
        <v>241</v>
      </c>
      <c r="B242" s="45" t="s">
        <v>1018</v>
      </c>
      <c r="C242" s="45" t="s">
        <v>615</v>
      </c>
      <c r="D242" s="46" t="s">
        <v>1121</v>
      </c>
      <c r="E242" s="47" t="s">
        <v>1122</v>
      </c>
      <c r="F242" s="45"/>
      <c r="G242" s="48" t="s">
        <v>452</v>
      </c>
      <c r="H242" s="49">
        <v>1</v>
      </c>
      <c r="I242" s="45" t="s">
        <v>1021</v>
      </c>
      <c r="J242" s="46" t="s">
        <v>536</v>
      </c>
      <c r="K242" s="46"/>
    </row>
    <row r="243" spans="1:11">
      <c r="A243" s="45">
        <f t="shared" si="3"/>
        <v>242</v>
      </c>
      <c r="B243" s="45" t="s">
        <v>1018</v>
      </c>
      <c r="C243" s="45" t="s">
        <v>615</v>
      </c>
      <c r="D243" s="46" t="s">
        <v>1123</v>
      </c>
      <c r="E243" s="47" t="s">
        <v>662</v>
      </c>
      <c r="F243" s="45"/>
      <c r="G243" s="48" t="s">
        <v>452</v>
      </c>
      <c r="H243" s="49">
        <v>1</v>
      </c>
      <c r="I243" s="45" t="s">
        <v>1021</v>
      </c>
      <c r="J243" s="46" t="s">
        <v>536</v>
      </c>
      <c r="K243" s="46"/>
    </row>
    <row r="244" spans="1:11">
      <c r="A244" s="45">
        <f t="shared" si="3"/>
        <v>243</v>
      </c>
      <c r="B244" s="45" t="s">
        <v>1018</v>
      </c>
      <c r="C244" s="45" t="s">
        <v>615</v>
      </c>
      <c r="D244" s="46" t="s">
        <v>1124</v>
      </c>
      <c r="E244" s="47" t="s">
        <v>668</v>
      </c>
      <c r="F244" s="45"/>
      <c r="G244" s="48" t="s">
        <v>452</v>
      </c>
      <c r="H244" s="49">
        <v>1</v>
      </c>
      <c r="I244" s="45" t="s">
        <v>1021</v>
      </c>
      <c r="J244" s="46" t="s">
        <v>536</v>
      </c>
      <c r="K244" s="46"/>
    </row>
    <row r="245" spans="1:11">
      <c r="A245" s="45">
        <f t="shared" si="3"/>
        <v>244</v>
      </c>
      <c r="B245" s="45" t="s">
        <v>1018</v>
      </c>
      <c r="C245" s="45" t="s">
        <v>615</v>
      </c>
      <c r="D245" s="46" t="s">
        <v>1125</v>
      </c>
      <c r="E245" s="47" t="s">
        <v>677</v>
      </c>
      <c r="F245" s="45"/>
      <c r="G245" s="48" t="s">
        <v>452</v>
      </c>
      <c r="H245" s="49">
        <v>1</v>
      </c>
      <c r="I245" s="45" t="s">
        <v>1021</v>
      </c>
      <c r="J245" s="46" t="s">
        <v>536</v>
      </c>
      <c r="K245" s="46"/>
    </row>
    <row r="246" spans="1:11">
      <c r="A246" s="45">
        <f t="shared" si="3"/>
        <v>245</v>
      </c>
      <c r="B246" s="45" t="s">
        <v>1018</v>
      </c>
      <c r="C246" s="45" t="s">
        <v>615</v>
      </c>
      <c r="D246" s="46" t="s">
        <v>1126</v>
      </c>
      <c r="E246" s="47" t="s">
        <v>674</v>
      </c>
      <c r="F246" s="45"/>
      <c r="G246" s="48" t="s">
        <v>452</v>
      </c>
      <c r="H246" s="49">
        <v>1</v>
      </c>
      <c r="I246" s="45" t="s">
        <v>1021</v>
      </c>
      <c r="J246" s="46" t="s">
        <v>536</v>
      </c>
      <c r="K246" s="46"/>
    </row>
    <row r="247" spans="1:11">
      <c r="A247" s="45">
        <f t="shared" si="3"/>
        <v>246</v>
      </c>
      <c r="B247" s="45" t="s">
        <v>1018</v>
      </c>
      <c r="C247" s="45" t="s">
        <v>615</v>
      </c>
      <c r="D247" s="46" t="s">
        <v>1127</v>
      </c>
      <c r="E247" s="47" t="s">
        <v>680</v>
      </c>
      <c r="F247" s="45"/>
      <c r="G247" s="48" t="s">
        <v>452</v>
      </c>
      <c r="H247" s="49">
        <v>1</v>
      </c>
      <c r="I247" s="45" t="s">
        <v>1021</v>
      </c>
      <c r="J247" s="46" t="s">
        <v>536</v>
      </c>
      <c r="K247" s="46"/>
    </row>
    <row r="248" spans="1:11">
      <c r="A248" s="45">
        <f t="shared" si="3"/>
        <v>247</v>
      </c>
      <c r="B248" s="45" t="s">
        <v>1018</v>
      </c>
      <c r="C248" s="45" t="s">
        <v>615</v>
      </c>
      <c r="D248" s="46" t="s">
        <v>1128</v>
      </c>
      <c r="E248" s="47" t="s">
        <v>1129</v>
      </c>
      <c r="F248" s="45"/>
      <c r="G248" s="48" t="s">
        <v>452</v>
      </c>
      <c r="H248" s="49">
        <v>1</v>
      </c>
      <c r="I248" s="45" t="s">
        <v>1021</v>
      </c>
      <c r="J248" s="46" t="s">
        <v>536</v>
      </c>
      <c r="K248" s="46"/>
    </row>
    <row r="249" spans="1:11">
      <c r="A249" s="45">
        <f t="shared" si="3"/>
        <v>248</v>
      </c>
      <c r="B249" s="45" t="s">
        <v>1018</v>
      </c>
      <c r="C249" s="45" t="s">
        <v>615</v>
      </c>
      <c r="D249" s="46" t="s">
        <v>722</v>
      </c>
      <c r="E249" s="47" t="s">
        <v>1130</v>
      </c>
      <c r="F249" s="45"/>
      <c r="G249" s="48" t="s">
        <v>452</v>
      </c>
      <c r="H249" s="49">
        <v>1</v>
      </c>
      <c r="I249" s="45" t="s">
        <v>1021</v>
      </c>
      <c r="J249" s="46" t="s">
        <v>536</v>
      </c>
      <c r="K249" s="46"/>
    </row>
    <row r="250" spans="1:11">
      <c r="A250" s="45">
        <f t="shared" si="3"/>
        <v>249</v>
      </c>
      <c r="B250" s="45" t="s">
        <v>1018</v>
      </c>
      <c r="C250" s="45" t="s">
        <v>615</v>
      </c>
      <c r="D250" s="46" t="s">
        <v>725</v>
      </c>
      <c r="E250" s="47" t="s">
        <v>686</v>
      </c>
      <c r="F250" s="45"/>
      <c r="G250" s="48" t="s">
        <v>452</v>
      </c>
      <c r="H250" s="49">
        <v>1</v>
      </c>
      <c r="I250" s="45" t="s">
        <v>1021</v>
      </c>
      <c r="J250" s="46" t="s">
        <v>536</v>
      </c>
      <c r="K250" s="46"/>
    </row>
    <row r="251" spans="1:11">
      <c r="A251" s="45">
        <f t="shared" si="3"/>
        <v>250</v>
      </c>
      <c r="B251" s="45" t="s">
        <v>1018</v>
      </c>
      <c r="C251" s="45" t="s">
        <v>615</v>
      </c>
      <c r="D251" s="46" t="s">
        <v>728</v>
      </c>
      <c r="E251" s="47" t="s">
        <v>1131</v>
      </c>
      <c r="F251" s="45"/>
      <c r="G251" s="48" t="s">
        <v>452</v>
      </c>
      <c r="H251" s="49">
        <v>1</v>
      </c>
      <c r="I251" s="45" t="s">
        <v>1021</v>
      </c>
      <c r="J251" s="46" t="s">
        <v>536</v>
      </c>
      <c r="K251" s="46"/>
    </row>
    <row r="252" spans="1:11">
      <c r="A252" s="45">
        <f t="shared" si="3"/>
        <v>251</v>
      </c>
      <c r="B252" s="45" t="s">
        <v>1018</v>
      </c>
      <c r="C252" s="45" t="s">
        <v>615</v>
      </c>
      <c r="D252" s="46" t="s">
        <v>1132</v>
      </c>
      <c r="E252" s="47" t="s">
        <v>683</v>
      </c>
      <c r="F252" s="45"/>
      <c r="G252" s="48" t="s">
        <v>452</v>
      </c>
      <c r="H252" s="49">
        <v>1</v>
      </c>
      <c r="I252" s="45" t="s">
        <v>1021</v>
      </c>
      <c r="J252" s="46" t="s">
        <v>536</v>
      </c>
      <c r="K252" s="46"/>
    </row>
    <row r="253" spans="1:11">
      <c r="A253" s="45">
        <f t="shared" si="3"/>
        <v>252</v>
      </c>
      <c r="B253" s="45" t="s">
        <v>1018</v>
      </c>
      <c r="C253" s="45" t="s">
        <v>615</v>
      </c>
      <c r="D253" s="46" t="s">
        <v>1133</v>
      </c>
      <c r="E253" s="47" t="s">
        <v>732</v>
      </c>
      <c r="F253" s="45"/>
      <c r="G253" s="48" t="s">
        <v>452</v>
      </c>
      <c r="H253" s="49">
        <v>1</v>
      </c>
      <c r="I253" s="45" t="s">
        <v>1021</v>
      </c>
      <c r="J253" s="46" t="s">
        <v>536</v>
      </c>
      <c r="K253" s="46"/>
    </row>
    <row r="254" spans="1:11">
      <c r="A254" s="45">
        <f t="shared" si="3"/>
        <v>253</v>
      </c>
      <c r="B254" s="45" t="s">
        <v>1018</v>
      </c>
      <c r="C254" s="45" t="s">
        <v>615</v>
      </c>
      <c r="D254" s="46" t="s">
        <v>1134</v>
      </c>
      <c r="E254" s="47" t="s">
        <v>1135</v>
      </c>
      <c r="F254" s="45"/>
      <c r="G254" s="48" t="s">
        <v>452</v>
      </c>
      <c r="H254" s="49">
        <v>1</v>
      </c>
      <c r="I254" s="45" t="s">
        <v>1021</v>
      </c>
      <c r="J254" s="46" t="s">
        <v>536</v>
      </c>
      <c r="K254" s="46"/>
    </row>
    <row r="255" spans="1:11">
      <c r="A255" s="45">
        <f t="shared" si="3"/>
        <v>254</v>
      </c>
      <c r="B255" s="45" t="s">
        <v>1018</v>
      </c>
      <c r="C255" s="45" t="s">
        <v>615</v>
      </c>
      <c r="D255" s="46" t="s">
        <v>1136</v>
      </c>
      <c r="E255" s="47" t="s">
        <v>1137</v>
      </c>
      <c r="F255" s="45"/>
      <c r="G255" s="48" t="s">
        <v>452</v>
      </c>
      <c r="H255" s="49">
        <v>1</v>
      </c>
      <c r="I255" s="45" t="s">
        <v>1021</v>
      </c>
      <c r="J255" s="46" t="s">
        <v>536</v>
      </c>
      <c r="K255" s="46"/>
    </row>
    <row r="256" spans="1:11">
      <c r="A256" s="45">
        <f t="shared" si="3"/>
        <v>255</v>
      </c>
      <c r="B256" s="45" t="s">
        <v>1018</v>
      </c>
      <c r="C256" s="45" t="s">
        <v>615</v>
      </c>
      <c r="D256" s="46" t="s">
        <v>1138</v>
      </c>
      <c r="E256" s="47" t="s">
        <v>1139</v>
      </c>
      <c r="F256" s="45"/>
      <c r="G256" s="48" t="s">
        <v>452</v>
      </c>
      <c r="H256" s="49">
        <v>1</v>
      </c>
      <c r="I256" s="45" t="s">
        <v>1021</v>
      </c>
      <c r="J256" s="46" t="s">
        <v>536</v>
      </c>
      <c r="K256" s="46"/>
    </row>
    <row r="257" spans="1:11">
      <c r="A257" s="45">
        <f t="shared" si="3"/>
        <v>256</v>
      </c>
      <c r="B257" s="45" t="s">
        <v>1018</v>
      </c>
      <c r="C257" s="45" t="s">
        <v>615</v>
      </c>
      <c r="D257" s="46" t="s">
        <v>1140</v>
      </c>
      <c r="E257" s="47" t="s">
        <v>1141</v>
      </c>
      <c r="F257" s="45"/>
      <c r="G257" s="48" t="s">
        <v>452</v>
      </c>
      <c r="H257" s="49">
        <v>1</v>
      </c>
      <c r="I257" s="45" t="s">
        <v>1021</v>
      </c>
      <c r="J257" s="46" t="s">
        <v>536</v>
      </c>
      <c r="K257" s="46"/>
    </row>
    <row r="258" spans="1:11">
      <c r="A258" s="45">
        <f t="shared" si="3"/>
        <v>257</v>
      </c>
      <c r="B258" s="45" t="s">
        <v>1018</v>
      </c>
      <c r="C258" s="45" t="s">
        <v>615</v>
      </c>
      <c r="D258" s="46" t="s">
        <v>1142</v>
      </c>
      <c r="E258" s="47" t="s">
        <v>701</v>
      </c>
      <c r="F258" s="45"/>
      <c r="G258" s="48" t="s">
        <v>452</v>
      </c>
      <c r="H258" s="49">
        <v>1</v>
      </c>
      <c r="I258" s="45" t="s">
        <v>1021</v>
      </c>
      <c r="J258" s="46" t="s">
        <v>536</v>
      </c>
      <c r="K258" s="46"/>
    </row>
    <row r="259" spans="1:11">
      <c r="A259" s="45">
        <f t="shared" ref="A259:A322" si="4">ROW()-1</f>
        <v>258</v>
      </c>
      <c r="B259" s="45" t="s">
        <v>1018</v>
      </c>
      <c r="C259" s="45" t="s">
        <v>615</v>
      </c>
      <c r="D259" s="46" t="s">
        <v>1143</v>
      </c>
      <c r="E259" s="47" t="s">
        <v>1144</v>
      </c>
      <c r="F259" s="45"/>
      <c r="G259" s="48" t="s">
        <v>452</v>
      </c>
      <c r="H259" s="49">
        <v>1</v>
      </c>
      <c r="I259" s="45" t="s">
        <v>1021</v>
      </c>
      <c r="J259" s="46" t="s">
        <v>536</v>
      </c>
      <c r="K259" s="46"/>
    </row>
    <row r="260" spans="1:11">
      <c r="A260" s="45">
        <f t="shared" si="4"/>
        <v>259</v>
      </c>
      <c r="B260" s="45" t="s">
        <v>1018</v>
      </c>
      <c r="C260" s="45" t="s">
        <v>615</v>
      </c>
      <c r="D260" s="46" t="s">
        <v>1145</v>
      </c>
      <c r="E260" s="47" t="s">
        <v>1146</v>
      </c>
      <c r="F260" s="45"/>
      <c r="G260" s="48" t="s">
        <v>452</v>
      </c>
      <c r="H260" s="49">
        <v>1</v>
      </c>
      <c r="I260" s="45" t="s">
        <v>1021</v>
      </c>
      <c r="J260" s="46" t="s">
        <v>536</v>
      </c>
      <c r="K260" s="46"/>
    </row>
    <row r="261" spans="1:11">
      <c r="A261" s="45">
        <f t="shared" si="4"/>
        <v>260</v>
      </c>
      <c r="B261" s="45" t="s">
        <v>1018</v>
      </c>
      <c r="C261" s="45" t="s">
        <v>615</v>
      </c>
      <c r="D261" s="46" t="s">
        <v>1145</v>
      </c>
      <c r="E261" s="47" t="s">
        <v>1147</v>
      </c>
      <c r="F261" s="45"/>
      <c r="G261" s="48" t="s">
        <v>452</v>
      </c>
      <c r="H261" s="49">
        <v>1</v>
      </c>
      <c r="I261" s="45" t="s">
        <v>1021</v>
      </c>
      <c r="J261" s="46" t="s">
        <v>536</v>
      </c>
      <c r="K261" s="46"/>
    </row>
    <row r="262" spans="1:11">
      <c r="A262" s="45">
        <f t="shared" si="4"/>
        <v>261</v>
      </c>
      <c r="B262" s="45" t="s">
        <v>1018</v>
      </c>
      <c r="C262" s="45" t="s">
        <v>615</v>
      </c>
      <c r="D262" s="46" t="s">
        <v>1148</v>
      </c>
      <c r="E262" s="47" t="s">
        <v>1149</v>
      </c>
      <c r="F262" s="45"/>
      <c r="G262" s="48" t="s">
        <v>452</v>
      </c>
      <c r="H262" s="49">
        <v>1</v>
      </c>
      <c r="I262" s="45" t="s">
        <v>1021</v>
      </c>
      <c r="J262" s="46" t="s">
        <v>536</v>
      </c>
      <c r="K262" s="46"/>
    </row>
    <row r="263" spans="1:11">
      <c r="A263" s="45">
        <f t="shared" si="4"/>
        <v>262</v>
      </c>
      <c r="B263" s="45" t="s">
        <v>1018</v>
      </c>
      <c r="C263" s="45" t="s">
        <v>615</v>
      </c>
      <c r="D263" s="46" t="s">
        <v>1150</v>
      </c>
      <c r="E263" s="47" t="s">
        <v>1151</v>
      </c>
      <c r="F263" s="45"/>
      <c r="G263" s="48" t="s">
        <v>452</v>
      </c>
      <c r="H263" s="49">
        <v>1</v>
      </c>
      <c r="I263" s="45" t="s">
        <v>1021</v>
      </c>
      <c r="J263" s="46" t="s">
        <v>536</v>
      </c>
      <c r="K263" s="46"/>
    </row>
    <row r="264" spans="1:11">
      <c r="A264" s="45">
        <f t="shared" si="4"/>
        <v>263</v>
      </c>
      <c r="B264" s="45" t="s">
        <v>1018</v>
      </c>
      <c r="C264" s="45" t="s">
        <v>615</v>
      </c>
      <c r="D264" s="46" t="s">
        <v>1152</v>
      </c>
      <c r="E264" s="47" t="s">
        <v>1153</v>
      </c>
      <c r="F264" s="45"/>
      <c r="G264" s="48" t="s">
        <v>452</v>
      </c>
      <c r="H264" s="49">
        <v>1</v>
      </c>
      <c r="I264" s="45" t="s">
        <v>1021</v>
      </c>
      <c r="J264" s="46" t="s">
        <v>536</v>
      </c>
      <c r="K264" s="46"/>
    </row>
    <row r="265" spans="1:11">
      <c r="A265" s="45">
        <f t="shared" si="4"/>
        <v>264</v>
      </c>
      <c r="B265" s="45" t="s">
        <v>1018</v>
      </c>
      <c r="C265" s="45" t="s">
        <v>615</v>
      </c>
      <c r="D265" s="46" t="s">
        <v>1154</v>
      </c>
      <c r="E265" s="47" t="s">
        <v>1155</v>
      </c>
      <c r="F265" s="45"/>
      <c r="G265" s="48" t="s">
        <v>452</v>
      </c>
      <c r="H265" s="49">
        <v>1</v>
      </c>
      <c r="I265" s="45" t="s">
        <v>1021</v>
      </c>
      <c r="J265" s="46" t="s">
        <v>536</v>
      </c>
      <c r="K265" s="46"/>
    </row>
    <row r="266" spans="1:11">
      <c r="A266" s="45">
        <f t="shared" si="4"/>
        <v>265</v>
      </c>
      <c r="B266" s="45" t="s">
        <v>1018</v>
      </c>
      <c r="C266" s="45" t="s">
        <v>615</v>
      </c>
      <c r="D266" s="46" t="s">
        <v>1156</v>
      </c>
      <c r="E266" s="47" t="s">
        <v>1157</v>
      </c>
      <c r="F266" s="45"/>
      <c r="G266" s="48" t="s">
        <v>452</v>
      </c>
      <c r="H266" s="49">
        <v>1</v>
      </c>
      <c r="I266" s="45" t="s">
        <v>1021</v>
      </c>
      <c r="J266" s="46" t="s">
        <v>536</v>
      </c>
      <c r="K266" s="46"/>
    </row>
    <row r="267" spans="1:11">
      <c r="A267" s="45">
        <f t="shared" si="4"/>
        <v>266</v>
      </c>
      <c r="B267" s="45" t="s">
        <v>1018</v>
      </c>
      <c r="C267" s="45" t="s">
        <v>615</v>
      </c>
      <c r="D267" s="46" t="s">
        <v>1158</v>
      </c>
      <c r="E267" s="47" t="s">
        <v>1159</v>
      </c>
      <c r="F267" s="45"/>
      <c r="G267" s="48" t="s">
        <v>452</v>
      </c>
      <c r="H267" s="49">
        <v>1</v>
      </c>
      <c r="I267" s="45" t="s">
        <v>1021</v>
      </c>
      <c r="J267" s="46" t="s">
        <v>536</v>
      </c>
      <c r="K267" s="46"/>
    </row>
    <row r="268" spans="1:11">
      <c r="A268" s="45">
        <f t="shared" si="4"/>
        <v>267</v>
      </c>
      <c r="B268" s="45" t="s">
        <v>1018</v>
      </c>
      <c r="C268" s="45" t="s">
        <v>615</v>
      </c>
      <c r="D268" s="46" t="s">
        <v>1160</v>
      </c>
      <c r="E268" s="47" t="s">
        <v>1161</v>
      </c>
      <c r="F268" s="45"/>
      <c r="G268" s="48" t="s">
        <v>452</v>
      </c>
      <c r="H268" s="49">
        <v>1</v>
      </c>
      <c r="I268" s="45" t="s">
        <v>1021</v>
      </c>
      <c r="J268" s="46" t="s">
        <v>536</v>
      </c>
      <c r="K268" s="46"/>
    </row>
    <row r="269" spans="1:11">
      <c r="A269" s="45">
        <f t="shared" si="4"/>
        <v>268</v>
      </c>
      <c r="B269" s="45" t="s">
        <v>1018</v>
      </c>
      <c r="C269" s="45" t="s">
        <v>615</v>
      </c>
      <c r="D269" s="46" t="s">
        <v>1162</v>
      </c>
      <c r="E269" s="47" t="s">
        <v>1163</v>
      </c>
      <c r="F269" s="45"/>
      <c r="G269" s="48" t="s">
        <v>452</v>
      </c>
      <c r="H269" s="49">
        <v>1</v>
      </c>
      <c r="I269" s="45" t="s">
        <v>1021</v>
      </c>
      <c r="J269" s="46" t="s">
        <v>536</v>
      </c>
      <c r="K269" s="46"/>
    </row>
    <row r="270" spans="1:11">
      <c r="A270" s="45">
        <f t="shared" si="4"/>
        <v>269</v>
      </c>
      <c r="B270" s="45" t="s">
        <v>1018</v>
      </c>
      <c r="C270" s="45" t="s">
        <v>615</v>
      </c>
      <c r="D270" s="46" t="s">
        <v>1164</v>
      </c>
      <c r="E270" s="47" t="s">
        <v>1165</v>
      </c>
      <c r="F270" s="45"/>
      <c r="G270" s="48" t="s">
        <v>452</v>
      </c>
      <c r="H270" s="49">
        <v>1</v>
      </c>
      <c r="I270" s="45" t="s">
        <v>1021</v>
      </c>
      <c r="J270" s="46" t="s">
        <v>536</v>
      </c>
      <c r="K270" s="46"/>
    </row>
    <row r="271" spans="1:11">
      <c r="A271" s="45">
        <f t="shared" si="4"/>
        <v>270</v>
      </c>
      <c r="B271" s="45" t="s">
        <v>1018</v>
      </c>
      <c r="C271" s="45" t="s">
        <v>615</v>
      </c>
      <c r="D271" s="46" t="s">
        <v>1166</v>
      </c>
      <c r="E271" s="47" t="s">
        <v>1167</v>
      </c>
      <c r="F271" s="45"/>
      <c r="G271" s="48" t="s">
        <v>452</v>
      </c>
      <c r="H271" s="49">
        <v>1</v>
      </c>
      <c r="I271" s="45" t="s">
        <v>1021</v>
      </c>
      <c r="J271" s="46" t="s">
        <v>536</v>
      </c>
      <c r="K271" s="46"/>
    </row>
    <row r="272" spans="1:11">
      <c r="A272" s="45">
        <f t="shared" si="4"/>
        <v>271</v>
      </c>
      <c r="B272" s="45" t="s">
        <v>1018</v>
      </c>
      <c r="C272" s="45" t="s">
        <v>615</v>
      </c>
      <c r="D272" s="46" t="s">
        <v>1168</v>
      </c>
      <c r="E272" s="47" t="s">
        <v>1169</v>
      </c>
      <c r="F272" s="45"/>
      <c r="G272" s="48" t="s">
        <v>452</v>
      </c>
      <c r="H272" s="49">
        <v>1</v>
      </c>
      <c r="I272" s="45" t="s">
        <v>1021</v>
      </c>
      <c r="J272" s="46" t="s">
        <v>536</v>
      </c>
      <c r="K272" s="46"/>
    </row>
    <row r="273" spans="1:11">
      <c r="A273" s="45">
        <f t="shared" si="4"/>
        <v>272</v>
      </c>
      <c r="B273" s="45" t="s">
        <v>1018</v>
      </c>
      <c r="C273" s="45" t="s">
        <v>615</v>
      </c>
      <c r="D273" s="46" t="s">
        <v>1170</v>
      </c>
      <c r="E273" s="47" t="s">
        <v>654</v>
      </c>
      <c r="F273" s="45"/>
      <c r="G273" s="48" t="s">
        <v>452</v>
      </c>
      <c r="H273" s="49">
        <v>1</v>
      </c>
      <c r="I273" s="45" t="s">
        <v>1021</v>
      </c>
      <c r="J273" s="46" t="s">
        <v>536</v>
      </c>
      <c r="K273" s="46"/>
    </row>
    <row r="274" spans="1:11">
      <c r="A274" s="45">
        <f t="shared" si="4"/>
        <v>273</v>
      </c>
      <c r="B274" s="45" t="s">
        <v>1018</v>
      </c>
      <c r="C274" s="45" t="s">
        <v>615</v>
      </c>
      <c r="D274" s="46" t="s">
        <v>1171</v>
      </c>
      <c r="E274" s="47" t="s">
        <v>662</v>
      </c>
      <c r="F274" s="45"/>
      <c r="G274" s="48" t="s">
        <v>452</v>
      </c>
      <c r="H274" s="49">
        <v>1</v>
      </c>
      <c r="I274" s="45" t="s">
        <v>1021</v>
      </c>
      <c r="J274" s="46" t="s">
        <v>536</v>
      </c>
      <c r="K274" s="46"/>
    </row>
    <row r="275" spans="1:11">
      <c r="A275" s="45">
        <f t="shared" si="4"/>
        <v>274</v>
      </c>
      <c r="B275" s="45" t="s">
        <v>1018</v>
      </c>
      <c r="C275" s="45" t="s">
        <v>615</v>
      </c>
      <c r="D275" s="46" t="s">
        <v>1172</v>
      </c>
      <c r="E275" s="47" t="s">
        <v>1173</v>
      </c>
      <c r="F275" s="45"/>
      <c r="G275" s="48" t="s">
        <v>452</v>
      </c>
      <c r="H275" s="49">
        <v>1</v>
      </c>
      <c r="I275" s="45" t="s">
        <v>1021</v>
      </c>
      <c r="J275" s="46" t="s">
        <v>536</v>
      </c>
      <c r="K275" s="46"/>
    </row>
    <row r="276" spans="1:11">
      <c r="A276" s="45">
        <f t="shared" si="4"/>
        <v>275</v>
      </c>
      <c r="B276" s="45" t="s">
        <v>1018</v>
      </c>
      <c r="C276" s="45" t="s">
        <v>615</v>
      </c>
      <c r="D276" s="46" t="s">
        <v>1174</v>
      </c>
      <c r="E276" s="47" t="s">
        <v>1161</v>
      </c>
      <c r="F276" s="45"/>
      <c r="G276" s="48" t="s">
        <v>452</v>
      </c>
      <c r="H276" s="49">
        <v>1</v>
      </c>
      <c r="I276" s="45" t="s">
        <v>1021</v>
      </c>
      <c r="J276" s="46" t="s">
        <v>536</v>
      </c>
      <c r="K276" s="46"/>
    </row>
    <row r="277" spans="1:11">
      <c r="A277" s="45">
        <f t="shared" si="4"/>
        <v>276</v>
      </c>
      <c r="B277" s="45" t="s">
        <v>1018</v>
      </c>
      <c r="C277" s="45" t="s">
        <v>615</v>
      </c>
      <c r="D277" s="46" t="s">
        <v>1175</v>
      </c>
      <c r="E277" s="47" t="s">
        <v>1176</v>
      </c>
      <c r="F277" s="45"/>
      <c r="G277" s="48" t="s">
        <v>452</v>
      </c>
      <c r="H277" s="49">
        <v>1</v>
      </c>
      <c r="I277" s="45" t="s">
        <v>1021</v>
      </c>
      <c r="J277" s="46" t="s">
        <v>536</v>
      </c>
      <c r="K277" s="46"/>
    </row>
    <row r="278" spans="1:11">
      <c r="A278" s="45">
        <f t="shared" si="4"/>
        <v>277</v>
      </c>
      <c r="B278" s="45" t="s">
        <v>1018</v>
      </c>
      <c r="C278" s="45" t="s">
        <v>615</v>
      </c>
      <c r="D278" s="46" t="s">
        <v>1177</v>
      </c>
      <c r="E278" s="47" t="s">
        <v>1178</v>
      </c>
      <c r="F278" s="45"/>
      <c r="G278" s="48" t="s">
        <v>452</v>
      </c>
      <c r="H278" s="49">
        <v>1</v>
      </c>
      <c r="I278" s="45" t="s">
        <v>1021</v>
      </c>
      <c r="J278" s="46" t="s">
        <v>536</v>
      </c>
      <c r="K278" s="46"/>
    </row>
    <row r="279" spans="1:11">
      <c r="A279" s="45">
        <f t="shared" si="4"/>
        <v>278</v>
      </c>
      <c r="B279" s="45" t="s">
        <v>1018</v>
      </c>
      <c r="C279" s="45" t="s">
        <v>734</v>
      </c>
      <c r="D279" s="46" t="s">
        <v>1179</v>
      </c>
      <c r="E279" s="47" t="s">
        <v>736</v>
      </c>
      <c r="F279" s="45"/>
      <c r="G279" s="48" t="s">
        <v>452</v>
      </c>
      <c r="H279" s="49">
        <v>1</v>
      </c>
      <c r="I279" s="45" t="s">
        <v>1021</v>
      </c>
      <c r="J279" s="46" t="s">
        <v>752</v>
      </c>
      <c r="K279" s="46"/>
    </row>
    <row r="280" spans="1:11">
      <c r="A280" s="45">
        <f t="shared" si="4"/>
        <v>279</v>
      </c>
      <c r="B280" s="45" t="s">
        <v>1018</v>
      </c>
      <c r="C280" s="45" t="s">
        <v>734</v>
      </c>
      <c r="D280" s="46" t="s">
        <v>1180</v>
      </c>
      <c r="E280" s="47" t="s">
        <v>1181</v>
      </c>
      <c r="F280" s="45"/>
      <c r="G280" s="48" t="s">
        <v>452</v>
      </c>
      <c r="H280" s="49">
        <v>1</v>
      </c>
      <c r="I280" s="45" t="s">
        <v>1021</v>
      </c>
      <c r="J280" s="46" t="s">
        <v>752</v>
      </c>
      <c r="K280" s="46"/>
    </row>
    <row r="281" spans="1:11">
      <c r="A281" s="45">
        <f t="shared" si="4"/>
        <v>280</v>
      </c>
      <c r="B281" s="45" t="s">
        <v>1018</v>
      </c>
      <c r="C281" s="45" t="s">
        <v>734</v>
      </c>
      <c r="D281" s="46" t="s">
        <v>745</v>
      </c>
      <c r="E281" s="47" t="s">
        <v>1182</v>
      </c>
      <c r="F281" s="45"/>
      <c r="G281" s="48" t="s">
        <v>452</v>
      </c>
      <c r="H281" s="49">
        <v>1</v>
      </c>
      <c r="I281" s="45" t="s">
        <v>1021</v>
      </c>
      <c r="J281" s="46" t="s">
        <v>752</v>
      </c>
      <c r="K281" s="46"/>
    </row>
    <row r="282" spans="1:11">
      <c r="A282" s="45">
        <f t="shared" si="4"/>
        <v>281</v>
      </c>
      <c r="B282" s="45" t="s">
        <v>1018</v>
      </c>
      <c r="C282" s="45" t="s">
        <v>734</v>
      </c>
      <c r="D282" s="46" t="s">
        <v>753</v>
      </c>
      <c r="E282" s="47" t="s">
        <v>1183</v>
      </c>
      <c r="F282" s="45"/>
      <c r="G282" s="48" t="s">
        <v>452</v>
      </c>
      <c r="H282" s="49">
        <v>1</v>
      </c>
      <c r="I282" s="45" t="s">
        <v>1021</v>
      </c>
      <c r="J282" s="46" t="s">
        <v>752</v>
      </c>
      <c r="K282" s="46"/>
    </row>
    <row r="283" spans="1:11">
      <c r="A283" s="45">
        <f t="shared" si="4"/>
        <v>282</v>
      </c>
      <c r="B283" s="45" t="s">
        <v>1018</v>
      </c>
      <c r="C283" s="45" t="s">
        <v>734</v>
      </c>
      <c r="D283" s="46" t="s">
        <v>756</v>
      </c>
      <c r="E283" s="47" t="s">
        <v>1184</v>
      </c>
      <c r="F283" s="45"/>
      <c r="G283" s="48" t="s">
        <v>452</v>
      </c>
      <c r="H283" s="49">
        <v>1</v>
      </c>
      <c r="I283" s="45" t="s">
        <v>1021</v>
      </c>
      <c r="J283" s="46" t="s">
        <v>752</v>
      </c>
      <c r="K283" s="46"/>
    </row>
    <row r="284" spans="1:11">
      <c r="A284" s="45">
        <f t="shared" si="4"/>
        <v>283</v>
      </c>
      <c r="B284" s="45" t="s">
        <v>1018</v>
      </c>
      <c r="C284" s="45" t="s">
        <v>734</v>
      </c>
      <c r="D284" s="46" t="s">
        <v>1185</v>
      </c>
      <c r="E284" s="47" t="s">
        <v>1186</v>
      </c>
      <c r="F284" s="45"/>
      <c r="G284" s="48" t="s">
        <v>452</v>
      </c>
      <c r="H284" s="49">
        <v>1</v>
      </c>
      <c r="I284" s="45" t="s">
        <v>1021</v>
      </c>
      <c r="J284" s="46" t="s">
        <v>752</v>
      </c>
      <c r="K284" s="46"/>
    </row>
    <row r="285" spans="1:11">
      <c r="A285" s="45">
        <f t="shared" si="4"/>
        <v>284</v>
      </c>
      <c r="B285" s="45" t="s">
        <v>1018</v>
      </c>
      <c r="C285" s="45" t="s">
        <v>734</v>
      </c>
      <c r="D285" s="46" t="s">
        <v>764</v>
      </c>
      <c r="E285" s="47" t="s">
        <v>1187</v>
      </c>
      <c r="F285" s="45"/>
      <c r="G285" s="48" t="s">
        <v>452</v>
      </c>
      <c r="H285" s="49">
        <v>1</v>
      </c>
      <c r="I285" s="45" t="s">
        <v>1021</v>
      </c>
      <c r="J285" s="46" t="s">
        <v>752</v>
      </c>
      <c r="K285" s="46"/>
    </row>
    <row r="286" spans="1:11">
      <c r="A286" s="45">
        <f t="shared" si="4"/>
        <v>285</v>
      </c>
      <c r="B286" s="45" t="s">
        <v>1018</v>
      </c>
      <c r="C286" s="45" t="s">
        <v>734</v>
      </c>
      <c r="D286" s="46" t="s">
        <v>767</v>
      </c>
      <c r="E286" s="47" t="s">
        <v>1188</v>
      </c>
      <c r="F286" s="45"/>
      <c r="G286" s="48" t="s">
        <v>452</v>
      </c>
      <c r="H286" s="49">
        <v>1</v>
      </c>
      <c r="I286" s="45" t="s">
        <v>1021</v>
      </c>
      <c r="J286" s="46" t="s">
        <v>752</v>
      </c>
      <c r="K286" s="46"/>
    </row>
    <row r="287" spans="1:11">
      <c r="A287" s="45">
        <f t="shared" si="4"/>
        <v>286</v>
      </c>
      <c r="B287" s="45" t="s">
        <v>1018</v>
      </c>
      <c r="C287" s="45" t="s">
        <v>734</v>
      </c>
      <c r="D287" s="46" t="s">
        <v>770</v>
      </c>
      <c r="E287" s="47" t="s">
        <v>771</v>
      </c>
      <c r="F287" s="45"/>
      <c r="G287" s="48" t="s">
        <v>452</v>
      </c>
      <c r="H287" s="49">
        <v>1</v>
      </c>
      <c r="I287" s="45" t="s">
        <v>1021</v>
      </c>
      <c r="J287" s="46" t="s">
        <v>752</v>
      </c>
      <c r="K287" s="46"/>
    </row>
    <row r="288" spans="1:11">
      <c r="A288" s="45">
        <f t="shared" si="4"/>
        <v>287</v>
      </c>
      <c r="B288" s="45" t="s">
        <v>1018</v>
      </c>
      <c r="C288" s="45" t="s">
        <v>734</v>
      </c>
      <c r="D288" s="46" t="s">
        <v>1189</v>
      </c>
      <c r="E288" s="47" t="s">
        <v>1190</v>
      </c>
      <c r="F288" s="45"/>
      <c r="G288" s="48" t="s">
        <v>452</v>
      </c>
      <c r="H288" s="49">
        <v>1</v>
      </c>
      <c r="I288" s="45" t="s">
        <v>1021</v>
      </c>
      <c r="J288" s="46" t="s">
        <v>752</v>
      </c>
      <c r="K288" s="46"/>
    </row>
    <row r="289" spans="1:11">
      <c r="A289" s="45">
        <f t="shared" si="4"/>
        <v>288</v>
      </c>
      <c r="B289" s="45" t="s">
        <v>1018</v>
      </c>
      <c r="C289" s="45" t="s">
        <v>734</v>
      </c>
      <c r="D289" s="46" t="s">
        <v>778</v>
      </c>
      <c r="E289" s="47" t="s">
        <v>1191</v>
      </c>
      <c r="F289" s="45"/>
      <c r="G289" s="48" t="s">
        <v>452</v>
      </c>
      <c r="H289" s="49">
        <v>1</v>
      </c>
      <c r="I289" s="45" t="s">
        <v>1021</v>
      </c>
      <c r="J289" s="46" t="s">
        <v>752</v>
      </c>
      <c r="K289" s="46"/>
    </row>
    <row r="290" spans="1:11">
      <c r="A290" s="45">
        <f t="shared" si="4"/>
        <v>289</v>
      </c>
      <c r="B290" s="45" t="s">
        <v>1018</v>
      </c>
      <c r="C290" s="45" t="s">
        <v>734</v>
      </c>
      <c r="D290" s="46" t="s">
        <v>785</v>
      </c>
      <c r="E290" s="47" t="s">
        <v>1192</v>
      </c>
      <c r="F290" s="45"/>
      <c r="G290" s="48" t="s">
        <v>452</v>
      </c>
      <c r="H290" s="49">
        <v>1</v>
      </c>
      <c r="I290" s="45" t="s">
        <v>1021</v>
      </c>
      <c r="J290" s="46" t="s">
        <v>752</v>
      </c>
      <c r="K290" s="46"/>
    </row>
    <row r="291" spans="1:11">
      <c r="A291" s="45">
        <f t="shared" si="4"/>
        <v>290</v>
      </c>
      <c r="B291" s="45" t="s">
        <v>1018</v>
      </c>
      <c r="C291" s="45" t="s">
        <v>734</v>
      </c>
      <c r="D291" s="46" t="s">
        <v>788</v>
      </c>
      <c r="E291" s="47" t="s">
        <v>786</v>
      </c>
      <c r="F291" s="45"/>
      <c r="G291" s="48" t="s">
        <v>452</v>
      </c>
      <c r="H291" s="49">
        <v>1</v>
      </c>
      <c r="I291" s="45" t="s">
        <v>1021</v>
      </c>
      <c r="J291" s="46" t="s">
        <v>752</v>
      </c>
      <c r="K291" s="46"/>
    </row>
    <row r="292" spans="1:11">
      <c r="A292" s="45">
        <f t="shared" si="4"/>
        <v>291</v>
      </c>
      <c r="B292" s="45" t="s">
        <v>1018</v>
      </c>
      <c r="C292" s="45" t="s">
        <v>734</v>
      </c>
      <c r="D292" s="46" t="s">
        <v>790</v>
      </c>
      <c r="E292" s="47" t="s">
        <v>1193</v>
      </c>
      <c r="F292" s="45"/>
      <c r="G292" s="48" t="s">
        <v>452</v>
      </c>
      <c r="H292" s="49">
        <v>1</v>
      </c>
      <c r="I292" s="45" t="s">
        <v>1021</v>
      </c>
      <c r="J292" s="46" t="s">
        <v>752</v>
      </c>
      <c r="K292" s="46"/>
    </row>
    <row r="293" spans="1:11">
      <c r="A293" s="45">
        <f t="shared" si="4"/>
        <v>292</v>
      </c>
      <c r="B293" s="45" t="s">
        <v>1018</v>
      </c>
      <c r="C293" s="45" t="s">
        <v>734</v>
      </c>
      <c r="D293" s="46" t="s">
        <v>794</v>
      </c>
      <c r="E293" s="47" t="s">
        <v>1194</v>
      </c>
      <c r="F293" s="45"/>
      <c r="G293" s="48" t="s">
        <v>452</v>
      </c>
      <c r="H293" s="49">
        <v>1</v>
      </c>
      <c r="I293" s="45" t="s">
        <v>1021</v>
      </c>
      <c r="J293" s="46" t="s">
        <v>752</v>
      </c>
      <c r="K293" s="46"/>
    </row>
    <row r="294" spans="1:11">
      <c r="A294" s="45">
        <f t="shared" si="4"/>
        <v>293</v>
      </c>
      <c r="B294" s="45" t="s">
        <v>1018</v>
      </c>
      <c r="C294" s="45" t="s">
        <v>734</v>
      </c>
      <c r="D294" s="46" t="s">
        <v>798</v>
      </c>
      <c r="E294" s="47" t="s">
        <v>789</v>
      </c>
      <c r="F294" s="45"/>
      <c r="G294" s="48" t="s">
        <v>452</v>
      </c>
      <c r="H294" s="49">
        <v>1</v>
      </c>
      <c r="I294" s="45" t="s">
        <v>1021</v>
      </c>
      <c r="J294" s="46" t="s">
        <v>752</v>
      </c>
      <c r="K294" s="46"/>
    </row>
    <row r="295" spans="1:11">
      <c r="A295" s="45">
        <f t="shared" si="4"/>
        <v>294</v>
      </c>
      <c r="B295" s="45" t="s">
        <v>1018</v>
      </c>
      <c r="C295" s="45" t="s">
        <v>734</v>
      </c>
      <c r="D295" s="46" t="s">
        <v>802</v>
      </c>
      <c r="E295" s="47" t="s">
        <v>1195</v>
      </c>
      <c r="F295" s="45"/>
      <c r="G295" s="48" t="s">
        <v>452</v>
      </c>
      <c r="H295" s="49">
        <v>1</v>
      </c>
      <c r="I295" s="45" t="s">
        <v>1021</v>
      </c>
      <c r="J295" s="46" t="s">
        <v>752</v>
      </c>
      <c r="K295" s="46"/>
    </row>
    <row r="296" spans="1:11">
      <c r="A296" s="45">
        <f t="shared" si="4"/>
        <v>295</v>
      </c>
      <c r="B296" s="45" t="s">
        <v>1018</v>
      </c>
      <c r="C296" s="45" t="s">
        <v>734</v>
      </c>
      <c r="D296" s="46" t="s">
        <v>807</v>
      </c>
      <c r="E296" s="47" t="s">
        <v>1196</v>
      </c>
      <c r="F296" s="45"/>
      <c r="G296" s="48" t="s">
        <v>452</v>
      </c>
      <c r="H296" s="49">
        <v>1</v>
      </c>
      <c r="I296" s="45" t="s">
        <v>1021</v>
      </c>
      <c r="J296" s="46" t="s">
        <v>752</v>
      </c>
      <c r="K296" s="46"/>
    </row>
    <row r="297" spans="1:11">
      <c r="A297" s="45">
        <f t="shared" si="4"/>
        <v>296</v>
      </c>
      <c r="B297" s="45" t="s">
        <v>1018</v>
      </c>
      <c r="C297" s="45" t="s">
        <v>734</v>
      </c>
      <c r="D297" s="46" t="s">
        <v>811</v>
      </c>
      <c r="E297" s="47" t="s">
        <v>1197</v>
      </c>
      <c r="F297" s="45"/>
      <c r="G297" s="48" t="s">
        <v>452</v>
      </c>
      <c r="H297" s="49">
        <v>1</v>
      </c>
      <c r="I297" s="45" t="s">
        <v>1021</v>
      </c>
      <c r="J297" s="46" t="s">
        <v>752</v>
      </c>
      <c r="K297" s="46"/>
    </row>
    <row r="298" spans="1:11">
      <c r="A298" s="45">
        <f t="shared" si="4"/>
        <v>297</v>
      </c>
      <c r="B298" s="45" t="s">
        <v>1018</v>
      </c>
      <c r="C298" s="45" t="s">
        <v>734</v>
      </c>
      <c r="D298" s="46" t="s">
        <v>814</v>
      </c>
      <c r="E298" s="47" t="s">
        <v>1198</v>
      </c>
      <c r="F298" s="45"/>
      <c r="G298" s="48" t="s">
        <v>452</v>
      </c>
      <c r="H298" s="49">
        <v>1</v>
      </c>
      <c r="I298" s="45" t="s">
        <v>1021</v>
      </c>
      <c r="J298" s="46" t="s">
        <v>752</v>
      </c>
      <c r="K298" s="46"/>
    </row>
    <row r="299" spans="1:11">
      <c r="A299" s="45">
        <f t="shared" si="4"/>
        <v>298</v>
      </c>
      <c r="B299" s="45" t="s">
        <v>1018</v>
      </c>
      <c r="C299" s="45" t="s">
        <v>734</v>
      </c>
      <c r="D299" s="46" t="s">
        <v>816</v>
      </c>
      <c r="E299" s="47" t="s">
        <v>1199</v>
      </c>
      <c r="F299" s="45"/>
      <c r="G299" s="48" t="s">
        <v>452</v>
      </c>
      <c r="H299" s="49">
        <v>1</v>
      </c>
      <c r="I299" s="45" t="s">
        <v>1021</v>
      </c>
      <c r="J299" s="46" t="s">
        <v>752</v>
      </c>
      <c r="K299" s="46"/>
    </row>
    <row r="300" spans="1:11">
      <c r="A300" s="45">
        <f t="shared" si="4"/>
        <v>299</v>
      </c>
      <c r="B300" s="45" t="s">
        <v>1018</v>
      </c>
      <c r="C300" s="45" t="s">
        <v>734</v>
      </c>
      <c r="D300" s="46" t="s">
        <v>818</v>
      </c>
      <c r="E300" s="47" t="s">
        <v>1200</v>
      </c>
      <c r="F300" s="45"/>
      <c r="G300" s="48" t="s">
        <v>452</v>
      </c>
      <c r="H300" s="49">
        <v>1</v>
      </c>
      <c r="I300" s="45" t="s">
        <v>1021</v>
      </c>
      <c r="J300" s="46" t="s">
        <v>752</v>
      </c>
      <c r="K300" s="46"/>
    </row>
    <row r="301" spans="1:11">
      <c r="A301" s="45">
        <f t="shared" si="4"/>
        <v>300</v>
      </c>
      <c r="B301" s="45" t="s">
        <v>1018</v>
      </c>
      <c r="C301" s="45" t="s">
        <v>734</v>
      </c>
      <c r="D301" s="46" t="s">
        <v>820</v>
      </c>
      <c r="E301" s="47" t="s">
        <v>819</v>
      </c>
      <c r="F301" s="45"/>
      <c r="G301" s="48" t="s">
        <v>452</v>
      </c>
      <c r="H301" s="49">
        <v>1</v>
      </c>
      <c r="I301" s="45" t="s">
        <v>1021</v>
      </c>
      <c r="J301" s="46" t="s">
        <v>752</v>
      </c>
      <c r="K301" s="46"/>
    </row>
    <row r="302" spans="1:11">
      <c r="A302" s="45">
        <f t="shared" si="4"/>
        <v>301</v>
      </c>
      <c r="B302" s="45" t="s">
        <v>1018</v>
      </c>
      <c r="C302" s="45" t="s">
        <v>734</v>
      </c>
      <c r="D302" s="46" t="s">
        <v>822</v>
      </c>
      <c r="E302" s="47" t="s">
        <v>1201</v>
      </c>
      <c r="F302" s="45"/>
      <c r="G302" s="48" t="s">
        <v>452</v>
      </c>
      <c r="H302" s="49">
        <v>1</v>
      </c>
      <c r="I302" s="45" t="s">
        <v>1021</v>
      </c>
      <c r="J302" s="46" t="s">
        <v>752</v>
      </c>
      <c r="K302" s="46"/>
    </row>
    <row r="303" spans="1:11">
      <c r="A303" s="45">
        <f t="shared" si="4"/>
        <v>302</v>
      </c>
      <c r="B303" s="45" t="s">
        <v>1018</v>
      </c>
      <c r="C303" s="45" t="s">
        <v>734</v>
      </c>
      <c r="D303" s="46" t="s">
        <v>824</v>
      </c>
      <c r="E303" s="47" t="s">
        <v>1202</v>
      </c>
      <c r="F303" s="45"/>
      <c r="G303" s="48" t="s">
        <v>452</v>
      </c>
      <c r="H303" s="49">
        <v>1</v>
      </c>
      <c r="I303" s="45" t="s">
        <v>1021</v>
      </c>
      <c r="J303" s="46" t="s">
        <v>752</v>
      </c>
      <c r="K303" s="46"/>
    </row>
    <row r="304" spans="1:11">
      <c r="A304" s="45">
        <f t="shared" si="4"/>
        <v>303</v>
      </c>
      <c r="B304" s="45" t="s">
        <v>1018</v>
      </c>
      <c r="C304" s="45" t="s">
        <v>734</v>
      </c>
      <c r="D304" s="46" t="s">
        <v>826</v>
      </c>
      <c r="E304" s="47" t="s">
        <v>1203</v>
      </c>
      <c r="F304" s="45"/>
      <c r="G304" s="48" t="s">
        <v>452</v>
      </c>
      <c r="H304" s="49">
        <v>1</v>
      </c>
      <c r="I304" s="45" t="s">
        <v>1021</v>
      </c>
      <c r="J304" s="46" t="s">
        <v>752</v>
      </c>
      <c r="K304" s="46"/>
    </row>
    <row r="305" spans="1:11">
      <c r="A305" s="45">
        <f t="shared" si="4"/>
        <v>304</v>
      </c>
      <c r="B305" s="45" t="s">
        <v>1018</v>
      </c>
      <c r="C305" s="45" t="s">
        <v>734</v>
      </c>
      <c r="D305" s="46" t="s">
        <v>1204</v>
      </c>
      <c r="E305" s="47" t="s">
        <v>1205</v>
      </c>
      <c r="F305" s="45"/>
      <c r="G305" s="48" t="s">
        <v>452</v>
      </c>
      <c r="H305" s="49">
        <v>1</v>
      </c>
      <c r="I305" s="45" t="s">
        <v>1021</v>
      </c>
      <c r="J305" s="46" t="s">
        <v>752</v>
      </c>
      <c r="K305" s="46"/>
    </row>
    <row r="306" spans="1:11">
      <c r="A306" s="45">
        <f t="shared" si="4"/>
        <v>305</v>
      </c>
      <c r="B306" s="45" t="s">
        <v>1018</v>
      </c>
      <c r="C306" s="45" t="s">
        <v>734</v>
      </c>
      <c r="D306" s="46" t="s">
        <v>1206</v>
      </c>
      <c r="E306" s="47" t="s">
        <v>1207</v>
      </c>
      <c r="F306" s="45"/>
      <c r="G306" s="48" t="s">
        <v>452</v>
      </c>
      <c r="H306" s="49">
        <v>1</v>
      </c>
      <c r="I306" s="45" t="s">
        <v>1021</v>
      </c>
      <c r="J306" s="46" t="s">
        <v>752</v>
      </c>
      <c r="K306" s="46"/>
    </row>
    <row r="307" spans="1:11">
      <c r="A307" s="45">
        <f t="shared" si="4"/>
        <v>306</v>
      </c>
      <c r="B307" s="45" t="s">
        <v>1018</v>
      </c>
      <c r="C307" s="45" t="s">
        <v>734</v>
      </c>
      <c r="D307" s="46" t="s">
        <v>1208</v>
      </c>
      <c r="E307" s="47" t="s">
        <v>1209</v>
      </c>
      <c r="F307" s="45"/>
      <c r="G307" s="48" t="s">
        <v>452</v>
      </c>
      <c r="H307" s="49">
        <v>1</v>
      </c>
      <c r="I307" s="45" t="s">
        <v>1021</v>
      </c>
      <c r="J307" s="46" t="s">
        <v>752</v>
      </c>
      <c r="K307" s="46"/>
    </row>
    <row r="308" spans="1:11">
      <c r="A308" s="45">
        <f t="shared" si="4"/>
        <v>307</v>
      </c>
      <c r="B308" s="45" t="s">
        <v>1018</v>
      </c>
      <c r="C308" s="45" t="s">
        <v>734</v>
      </c>
      <c r="D308" s="46" t="s">
        <v>1210</v>
      </c>
      <c r="E308" s="47" t="s">
        <v>1211</v>
      </c>
      <c r="F308" s="45"/>
      <c r="G308" s="48" t="s">
        <v>452</v>
      </c>
      <c r="H308" s="49">
        <v>1</v>
      </c>
      <c r="I308" s="45" t="s">
        <v>1021</v>
      </c>
      <c r="J308" s="46" t="s">
        <v>752</v>
      </c>
      <c r="K308" s="46"/>
    </row>
    <row r="309" spans="1:11">
      <c r="A309" s="45">
        <f t="shared" si="4"/>
        <v>308</v>
      </c>
      <c r="B309" s="45" t="s">
        <v>1018</v>
      </c>
      <c r="C309" s="45" t="s">
        <v>843</v>
      </c>
      <c r="D309" s="46" t="s">
        <v>1212</v>
      </c>
      <c r="E309" s="47" t="s">
        <v>1213</v>
      </c>
      <c r="F309" s="45"/>
      <c r="G309" s="48" t="s">
        <v>452</v>
      </c>
      <c r="H309" s="49">
        <v>1</v>
      </c>
      <c r="I309" s="45" t="s">
        <v>1021</v>
      </c>
      <c r="J309" s="46" t="s">
        <v>752</v>
      </c>
      <c r="K309" s="46"/>
    </row>
    <row r="310" spans="1:11">
      <c r="A310" s="45">
        <f t="shared" si="4"/>
        <v>309</v>
      </c>
      <c r="B310" s="45" t="s">
        <v>1018</v>
      </c>
      <c r="C310" s="45" t="s">
        <v>843</v>
      </c>
      <c r="D310" s="46" t="s">
        <v>1214</v>
      </c>
      <c r="E310" s="47" t="s">
        <v>1215</v>
      </c>
      <c r="F310" s="45"/>
      <c r="G310" s="48" t="s">
        <v>452</v>
      </c>
      <c r="H310" s="49">
        <v>1</v>
      </c>
      <c r="I310" s="45" t="s">
        <v>1021</v>
      </c>
      <c r="J310" s="46" t="s">
        <v>752</v>
      </c>
      <c r="K310" s="46"/>
    </row>
    <row r="311" spans="1:11">
      <c r="A311" s="45">
        <f t="shared" si="4"/>
        <v>310</v>
      </c>
      <c r="B311" s="45" t="s">
        <v>1018</v>
      </c>
      <c r="C311" s="45" t="s">
        <v>843</v>
      </c>
      <c r="D311" s="46" t="s">
        <v>1216</v>
      </c>
      <c r="E311" s="47" t="s">
        <v>1217</v>
      </c>
      <c r="F311" s="45"/>
      <c r="G311" s="48" t="s">
        <v>452</v>
      </c>
      <c r="H311" s="49">
        <v>1</v>
      </c>
      <c r="I311" s="45" t="s">
        <v>1021</v>
      </c>
      <c r="J311" s="46" t="s">
        <v>752</v>
      </c>
      <c r="K311" s="46"/>
    </row>
    <row r="312" spans="1:11">
      <c r="A312" s="45">
        <f t="shared" si="4"/>
        <v>311</v>
      </c>
      <c r="B312" s="45" t="s">
        <v>1018</v>
      </c>
      <c r="C312" s="45" t="s">
        <v>843</v>
      </c>
      <c r="D312" s="46" t="s">
        <v>1218</v>
      </c>
      <c r="E312" s="47" t="s">
        <v>1219</v>
      </c>
      <c r="F312" s="45"/>
      <c r="G312" s="48" t="s">
        <v>452</v>
      </c>
      <c r="H312" s="49">
        <v>1</v>
      </c>
      <c r="I312" s="45" t="s">
        <v>1021</v>
      </c>
      <c r="J312" s="46" t="s">
        <v>752</v>
      </c>
      <c r="K312" s="46"/>
    </row>
    <row r="313" spans="1:11">
      <c r="A313" s="45">
        <f t="shared" si="4"/>
        <v>312</v>
      </c>
      <c r="B313" s="45" t="s">
        <v>1018</v>
      </c>
      <c r="C313" s="45" t="s">
        <v>843</v>
      </c>
      <c r="D313" s="46" t="s">
        <v>1220</v>
      </c>
      <c r="E313" s="47" t="s">
        <v>1221</v>
      </c>
      <c r="F313" s="45"/>
      <c r="G313" s="48" t="s">
        <v>452</v>
      </c>
      <c r="H313" s="49">
        <v>1</v>
      </c>
      <c r="I313" s="45" t="s">
        <v>1021</v>
      </c>
      <c r="J313" s="46" t="s">
        <v>752</v>
      </c>
      <c r="K313" s="46"/>
    </row>
    <row r="314" spans="1:11">
      <c r="A314" s="45">
        <f t="shared" si="4"/>
        <v>313</v>
      </c>
      <c r="B314" s="45" t="s">
        <v>1018</v>
      </c>
      <c r="C314" s="45" t="s">
        <v>843</v>
      </c>
      <c r="D314" s="46" t="s">
        <v>1222</v>
      </c>
      <c r="E314" s="47" t="s">
        <v>1223</v>
      </c>
      <c r="F314" s="45"/>
      <c r="G314" s="48" t="s">
        <v>452</v>
      </c>
      <c r="H314" s="49">
        <v>1</v>
      </c>
      <c r="I314" s="45" t="s">
        <v>1021</v>
      </c>
      <c r="J314" s="46" t="s">
        <v>536</v>
      </c>
      <c r="K314" s="46"/>
    </row>
    <row r="315" spans="1:11">
      <c r="A315" s="45">
        <f t="shared" si="4"/>
        <v>314</v>
      </c>
      <c r="B315" s="45" t="s">
        <v>1018</v>
      </c>
      <c r="C315" s="45" t="s">
        <v>843</v>
      </c>
      <c r="D315" s="46" t="s">
        <v>1224</v>
      </c>
      <c r="E315" s="47" t="s">
        <v>1225</v>
      </c>
      <c r="F315" s="45"/>
      <c r="G315" s="48" t="s">
        <v>452</v>
      </c>
      <c r="H315" s="49">
        <v>1</v>
      </c>
      <c r="I315" s="45" t="s">
        <v>1021</v>
      </c>
      <c r="J315" s="46" t="s">
        <v>536</v>
      </c>
      <c r="K315" s="46"/>
    </row>
    <row r="316" spans="1:11">
      <c r="A316" s="45">
        <f t="shared" si="4"/>
        <v>315</v>
      </c>
      <c r="B316" s="45" t="s">
        <v>1018</v>
      </c>
      <c r="C316" s="45" t="s">
        <v>843</v>
      </c>
      <c r="D316" s="46" t="s">
        <v>1226</v>
      </c>
      <c r="E316" s="47" t="s">
        <v>1227</v>
      </c>
      <c r="F316" s="45"/>
      <c r="G316" s="48" t="s">
        <v>452</v>
      </c>
      <c r="H316" s="49">
        <v>1</v>
      </c>
      <c r="I316" s="45" t="s">
        <v>1021</v>
      </c>
      <c r="J316" s="46" t="s">
        <v>536</v>
      </c>
      <c r="K316" s="46"/>
    </row>
    <row r="317" spans="1:11">
      <c r="A317" s="45">
        <f t="shared" si="4"/>
        <v>316</v>
      </c>
      <c r="B317" s="45" t="s">
        <v>1018</v>
      </c>
      <c r="C317" s="45" t="s">
        <v>843</v>
      </c>
      <c r="D317" s="46" t="s">
        <v>1228</v>
      </c>
      <c r="E317" s="47" t="s">
        <v>1229</v>
      </c>
      <c r="F317" s="45"/>
      <c r="G317" s="48" t="s">
        <v>452</v>
      </c>
      <c r="H317" s="49">
        <v>1</v>
      </c>
      <c r="I317" s="45" t="s">
        <v>1021</v>
      </c>
      <c r="J317" s="46" t="s">
        <v>536</v>
      </c>
      <c r="K317" s="46"/>
    </row>
    <row r="318" spans="1:11">
      <c r="A318" s="45">
        <f t="shared" si="4"/>
        <v>317</v>
      </c>
      <c r="B318" s="45" t="s">
        <v>1018</v>
      </c>
      <c r="C318" s="45" t="s">
        <v>843</v>
      </c>
      <c r="D318" s="46" t="s">
        <v>1230</v>
      </c>
      <c r="E318" s="47" t="s">
        <v>1231</v>
      </c>
      <c r="F318" s="45"/>
      <c r="G318" s="48" t="s">
        <v>452</v>
      </c>
      <c r="H318" s="49">
        <v>1</v>
      </c>
      <c r="I318" s="45" t="s">
        <v>1021</v>
      </c>
      <c r="J318" s="46" t="s">
        <v>536</v>
      </c>
      <c r="K318" s="46"/>
    </row>
    <row r="319" spans="1:11">
      <c r="A319" s="45">
        <f t="shared" si="4"/>
        <v>318</v>
      </c>
      <c r="B319" s="45" t="s">
        <v>1018</v>
      </c>
      <c r="C319" s="45" t="s">
        <v>843</v>
      </c>
      <c r="D319" s="46" t="s">
        <v>1232</v>
      </c>
      <c r="E319" s="47" t="s">
        <v>1233</v>
      </c>
      <c r="F319" s="45"/>
      <c r="G319" s="48" t="s">
        <v>452</v>
      </c>
      <c r="H319" s="49">
        <v>1</v>
      </c>
      <c r="I319" s="45" t="s">
        <v>1021</v>
      </c>
      <c r="J319" s="46" t="s">
        <v>536</v>
      </c>
      <c r="K319" s="46"/>
    </row>
    <row r="320" spans="1:11">
      <c r="A320" s="45">
        <f t="shared" si="4"/>
        <v>319</v>
      </c>
      <c r="B320" s="45" t="s">
        <v>1018</v>
      </c>
      <c r="C320" s="45" t="s">
        <v>843</v>
      </c>
      <c r="D320" s="46" t="s">
        <v>1234</v>
      </c>
      <c r="E320" s="47" t="s">
        <v>1235</v>
      </c>
      <c r="F320" s="45"/>
      <c r="G320" s="48" t="s">
        <v>452</v>
      </c>
      <c r="H320" s="49">
        <v>1</v>
      </c>
      <c r="I320" s="45" t="s">
        <v>1021</v>
      </c>
      <c r="J320" s="46" t="s">
        <v>536</v>
      </c>
      <c r="K320" s="46"/>
    </row>
    <row r="321" spans="1:11">
      <c r="A321" s="45">
        <f t="shared" si="4"/>
        <v>320</v>
      </c>
      <c r="B321" s="45" t="s">
        <v>1018</v>
      </c>
      <c r="C321" s="45" t="s">
        <v>843</v>
      </c>
      <c r="D321" s="46" t="s">
        <v>1236</v>
      </c>
      <c r="E321" s="47" t="s">
        <v>1237</v>
      </c>
      <c r="F321" s="45"/>
      <c r="G321" s="48" t="s">
        <v>452</v>
      </c>
      <c r="H321" s="49">
        <v>1</v>
      </c>
      <c r="I321" s="45" t="s">
        <v>1021</v>
      </c>
      <c r="J321" s="46" t="s">
        <v>536</v>
      </c>
      <c r="K321" s="46"/>
    </row>
    <row r="322" spans="1:11">
      <c r="A322" s="45">
        <f t="shared" si="4"/>
        <v>321</v>
      </c>
      <c r="B322" s="45" t="s">
        <v>1018</v>
      </c>
      <c r="C322" s="45" t="s">
        <v>843</v>
      </c>
      <c r="D322" s="46" t="s">
        <v>1238</v>
      </c>
      <c r="E322" s="47" t="s">
        <v>1239</v>
      </c>
      <c r="F322" s="45"/>
      <c r="G322" s="48" t="s">
        <v>452</v>
      </c>
      <c r="H322" s="49">
        <v>1</v>
      </c>
      <c r="I322" s="45" t="s">
        <v>1021</v>
      </c>
      <c r="J322" s="46" t="s">
        <v>752</v>
      </c>
      <c r="K322" s="46"/>
    </row>
    <row r="323" spans="1:11">
      <c r="A323" s="45">
        <f t="shared" ref="A323:A386" si="5">ROW()-1</f>
        <v>322</v>
      </c>
      <c r="B323" s="45" t="s">
        <v>1018</v>
      </c>
      <c r="C323" s="45" t="s">
        <v>843</v>
      </c>
      <c r="D323" s="46" t="s">
        <v>1240</v>
      </c>
      <c r="E323" s="47" t="s">
        <v>1241</v>
      </c>
      <c r="F323" s="45"/>
      <c r="G323" s="48" t="s">
        <v>452</v>
      </c>
      <c r="H323" s="49">
        <v>1</v>
      </c>
      <c r="I323" s="45" t="s">
        <v>1021</v>
      </c>
      <c r="J323" s="46" t="s">
        <v>752</v>
      </c>
      <c r="K323" s="46"/>
    </row>
    <row r="324" spans="1:11">
      <c r="A324" s="45">
        <f t="shared" si="5"/>
        <v>323</v>
      </c>
      <c r="B324" s="45" t="s">
        <v>1018</v>
      </c>
      <c r="C324" s="45" t="s">
        <v>843</v>
      </c>
      <c r="D324" s="46" t="s">
        <v>1242</v>
      </c>
      <c r="E324" s="47" t="s">
        <v>891</v>
      </c>
      <c r="F324" s="45"/>
      <c r="G324" s="48" t="s">
        <v>452</v>
      </c>
      <c r="H324" s="49">
        <v>1</v>
      </c>
      <c r="I324" s="45" t="s">
        <v>1021</v>
      </c>
      <c r="J324" s="46" t="s">
        <v>752</v>
      </c>
      <c r="K324" s="46"/>
    </row>
    <row r="325" spans="1:11">
      <c r="A325" s="45">
        <f t="shared" si="5"/>
        <v>324</v>
      </c>
      <c r="B325" s="45" t="s">
        <v>1018</v>
      </c>
      <c r="C325" s="45" t="s">
        <v>843</v>
      </c>
      <c r="D325" s="46" t="s">
        <v>1243</v>
      </c>
      <c r="E325" s="47" t="s">
        <v>1244</v>
      </c>
      <c r="F325" s="45"/>
      <c r="G325" s="48" t="s">
        <v>452</v>
      </c>
      <c r="H325" s="49">
        <v>1</v>
      </c>
      <c r="I325" s="45" t="s">
        <v>1021</v>
      </c>
      <c r="J325" s="46" t="s">
        <v>752</v>
      </c>
      <c r="K325" s="46"/>
    </row>
    <row r="326" spans="1:11">
      <c r="A326" s="45">
        <f t="shared" si="5"/>
        <v>325</v>
      </c>
      <c r="B326" s="45" t="s">
        <v>1018</v>
      </c>
      <c r="C326" s="45" t="s">
        <v>843</v>
      </c>
      <c r="D326" s="46" t="s">
        <v>1245</v>
      </c>
      <c r="E326" s="47" t="s">
        <v>1246</v>
      </c>
      <c r="F326" s="45"/>
      <c r="G326" s="48" t="s">
        <v>452</v>
      </c>
      <c r="H326" s="49">
        <v>1</v>
      </c>
      <c r="I326" s="45" t="s">
        <v>1021</v>
      </c>
      <c r="J326" s="46" t="s">
        <v>752</v>
      </c>
      <c r="K326" s="46"/>
    </row>
    <row r="327" spans="1:11">
      <c r="A327" s="45">
        <f t="shared" si="5"/>
        <v>326</v>
      </c>
      <c r="B327" s="45" t="s">
        <v>1018</v>
      </c>
      <c r="C327" s="45" t="s">
        <v>843</v>
      </c>
      <c r="D327" s="46" t="s">
        <v>1247</v>
      </c>
      <c r="E327" s="47" t="s">
        <v>1248</v>
      </c>
      <c r="F327" s="45"/>
      <c r="G327" s="48" t="s">
        <v>452</v>
      </c>
      <c r="H327" s="49">
        <v>1</v>
      </c>
      <c r="I327" s="45" t="s">
        <v>1021</v>
      </c>
      <c r="J327" s="46" t="s">
        <v>752</v>
      </c>
      <c r="K327" s="46"/>
    </row>
    <row r="328" spans="1:11">
      <c r="A328" s="45">
        <f t="shared" si="5"/>
        <v>327</v>
      </c>
      <c r="B328" s="45" t="s">
        <v>1018</v>
      </c>
      <c r="C328" s="45" t="s">
        <v>843</v>
      </c>
      <c r="D328" s="46" t="s">
        <v>1249</v>
      </c>
      <c r="E328" s="47" t="s">
        <v>1250</v>
      </c>
      <c r="F328" s="45"/>
      <c r="G328" s="48" t="s">
        <v>452</v>
      </c>
      <c r="H328" s="49">
        <v>1</v>
      </c>
      <c r="I328" s="45" t="s">
        <v>1021</v>
      </c>
      <c r="J328" s="46" t="s">
        <v>752</v>
      </c>
      <c r="K328" s="46"/>
    </row>
    <row r="329" spans="1:11">
      <c r="A329" s="45">
        <f t="shared" si="5"/>
        <v>328</v>
      </c>
      <c r="B329" s="45" t="s">
        <v>1018</v>
      </c>
      <c r="C329" s="45" t="s">
        <v>843</v>
      </c>
      <c r="D329" s="46" t="s">
        <v>1251</v>
      </c>
      <c r="E329" s="47" t="s">
        <v>894</v>
      </c>
      <c r="F329" s="45"/>
      <c r="G329" s="48" t="s">
        <v>452</v>
      </c>
      <c r="H329" s="49">
        <v>1</v>
      </c>
      <c r="I329" s="45" t="s">
        <v>1021</v>
      </c>
      <c r="J329" s="46" t="s">
        <v>752</v>
      </c>
      <c r="K329" s="46"/>
    </row>
    <row r="330" spans="1:11">
      <c r="A330" s="45">
        <f t="shared" si="5"/>
        <v>329</v>
      </c>
      <c r="B330" s="45" t="s">
        <v>1018</v>
      </c>
      <c r="C330" s="45" t="s">
        <v>843</v>
      </c>
      <c r="D330" s="46" t="s">
        <v>1252</v>
      </c>
      <c r="E330" s="47" t="s">
        <v>1253</v>
      </c>
      <c r="F330" s="45"/>
      <c r="G330" s="48" t="s">
        <v>452</v>
      </c>
      <c r="H330" s="49">
        <v>1</v>
      </c>
      <c r="I330" s="45" t="s">
        <v>1021</v>
      </c>
      <c r="J330" s="46" t="s">
        <v>752</v>
      </c>
      <c r="K330" s="46"/>
    </row>
    <row r="331" spans="1:11">
      <c r="A331" s="45">
        <f t="shared" si="5"/>
        <v>330</v>
      </c>
      <c r="B331" s="45" t="s">
        <v>1018</v>
      </c>
      <c r="C331" s="45" t="s">
        <v>843</v>
      </c>
      <c r="D331" s="46" t="s">
        <v>1254</v>
      </c>
      <c r="E331" s="47" t="s">
        <v>1255</v>
      </c>
      <c r="F331" s="45"/>
      <c r="G331" s="48" t="s">
        <v>452</v>
      </c>
      <c r="H331" s="49">
        <v>1</v>
      </c>
      <c r="I331" s="45" t="s">
        <v>1021</v>
      </c>
      <c r="J331" s="46" t="s">
        <v>536</v>
      </c>
      <c r="K331" s="46"/>
    </row>
    <row r="332" spans="1:11">
      <c r="A332" s="45">
        <f t="shared" si="5"/>
        <v>331</v>
      </c>
      <c r="B332" s="45" t="s">
        <v>1018</v>
      </c>
      <c r="C332" s="45" t="s">
        <v>843</v>
      </c>
      <c r="D332" s="46" t="s">
        <v>1256</v>
      </c>
      <c r="E332" s="47" t="s">
        <v>902</v>
      </c>
      <c r="F332" s="45"/>
      <c r="G332" s="48" t="s">
        <v>452</v>
      </c>
      <c r="H332" s="49">
        <v>1</v>
      </c>
      <c r="I332" s="45" t="s">
        <v>1021</v>
      </c>
      <c r="J332" s="46" t="s">
        <v>752</v>
      </c>
      <c r="K332" s="46"/>
    </row>
    <row r="333" spans="1:11">
      <c r="A333" s="45">
        <f t="shared" si="5"/>
        <v>332</v>
      </c>
      <c r="B333" s="45" t="s">
        <v>1018</v>
      </c>
      <c r="C333" s="45" t="s">
        <v>843</v>
      </c>
      <c r="D333" s="46" t="s">
        <v>1257</v>
      </c>
      <c r="E333" s="47" t="s">
        <v>1258</v>
      </c>
      <c r="F333" s="45"/>
      <c r="G333" s="48" t="s">
        <v>452</v>
      </c>
      <c r="H333" s="49">
        <v>1</v>
      </c>
      <c r="I333" s="45" t="s">
        <v>1021</v>
      </c>
      <c r="J333" s="46" t="s">
        <v>536</v>
      </c>
      <c r="K333" s="46"/>
    </row>
    <row r="334" spans="1:11">
      <c r="A334" s="45">
        <f t="shared" si="5"/>
        <v>333</v>
      </c>
      <c r="B334" s="45" t="s">
        <v>1018</v>
      </c>
      <c r="C334" s="45" t="s">
        <v>843</v>
      </c>
      <c r="D334" s="46" t="s">
        <v>1259</v>
      </c>
      <c r="E334" s="47" t="s">
        <v>1260</v>
      </c>
      <c r="F334" s="45"/>
      <c r="G334" s="48" t="s">
        <v>452</v>
      </c>
      <c r="H334" s="49">
        <v>1</v>
      </c>
      <c r="I334" s="45" t="s">
        <v>1021</v>
      </c>
      <c r="J334" s="46" t="s">
        <v>752</v>
      </c>
      <c r="K334" s="46"/>
    </row>
    <row r="335" spans="1:11">
      <c r="A335" s="45">
        <f t="shared" si="5"/>
        <v>334</v>
      </c>
      <c r="B335" s="45" t="s">
        <v>1018</v>
      </c>
      <c r="C335" s="45" t="s">
        <v>843</v>
      </c>
      <c r="D335" s="46" t="s">
        <v>1261</v>
      </c>
      <c r="E335" s="47" t="s">
        <v>1262</v>
      </c>
      <c r="F335" s="45"/>
      <c r="G335" s="48" t="s">
        <v>452</v>
      </c>
      <c r="H335" s="49">
        <v>1</v>
      </c>
      <c r="I335" s="45" t="s">
        <v>1021</v>
      </c>
      <c r="J335" s="46" t="s">
        <v>752</v>
      </c>
      <c r="K335" s="46"/>
    </row>
    <row r="336" spans="1:11">
      <c r="A336" s="45">
        <f t="shared" si="5"/>
        <v>335</v>
      </c>
      <c r="B336" s="45" t="s">
        <v>1018</v>
      </c>
      <c r="C336" s="45" t="s">
        <v>843</v>
      </c>
      <c r="D336" s="46" t="s">
        <v>1263</v>
      </c>
      <c r="E336" s="47" t="s">
        <v>906</v>
      </c>
      <c r="F336" s="45"/>
      <c r="G336" s="48" t="s">
        <v>452</v>
      </c>
      <c r="H336" s="49">
        <v>1</v>
      </c>
      <c r="I336" s="45" t="s">
        <v>1021</v>
      </c>
      <c r="J336" s="46" t="s">
        <v>752</v>
      </c>
      <c r="K336" s="46"/>
    </row>
    <row r="337" spans="1:11">
      <c r="A337" s="45">
        <f t="shared" si="5"/>
        <v>336</v>
      </c>
      <c r="B337" s="45" t="s">
        <v>1018</v>
      </c>
      <c r="C337" s="45" t="s">
        <v>843</v>
      </c>
      <c r="D337" s="46" t="s">
        <v>1264</v>
      </c>
      <c r="E337" s="47" t="s">
        <v>1265</v>
      </c>
      <c r="F337" s="45"/>
      <c r="G337" s="48" t="s">
        <v>452</v>
      </c>
      <c r="H337" s="49">
        <v>1</v>
      </c>
      <c r="I337" s="45" t="s">
        <v>1021</v>
      </c>
      <c r="J337" s="46" t="s">
        <v>752</v>
      </c>
      <c r="K337" s="46"/>
    </row>
    <row r="338" spans="1:11">
      <c r="A338" s="45">
        <f t="shared" si="5"/>
        <v>337</v>
      </c>
      <c r="B338" s="45" t="s">
        <v>1018</v>
      </c>
      <c r="C338" s="45" t="s">
        <v>843</v>
      </c>
      <c r="D338" s="46" t="s">
        <v>1266</v>
      </c>
      <c r="E338" s="47" t="s">
        <v>912</v>
      </c>
      <c r="F338" s="45"/>
      <c r="G338" s="48" t="s">
        <v>452</v>
      </c>
      <c r="H338" s="49">
        <v>1</v>
      </c>
      <c r="I338" s="45" t="s">
        <v>1021</v>
      </c>
      <c r="J338" s="46" t="s">
        <v>752</v>
      </c>
      <c r="K338" s="46"/>
    </row>
    <row r="339" spans="1:11">
      <c r="A339" s="45">
        <f t="shared" si="5"/>
        <v>338</v>
      </c>
      <c r="B339" s="45" t="s">
        <v>1018</v>
      </c>
      <c r="C339" s="45" t="s">
        <v>843</v>
      </c>
      <c r="D339" s="46" t="s">
        <v>1267</v>
      </c>
      <c r="E339" s="47" t="s">
        <v>915</v>
      </c>
      <c r="F339" s="45"/>
      <c r="G339" s="48" t="s">
        <v>452</v>
      </c>
      <c r="H339" s="49">
        <v>1</v>
      </c>
      <c r="I339" s="45" t="s">
        <v>1021</v>
      </c>
      <c r="J339" s="46" t="s">
        <v>752</v>
      </c>
      <c r="K339" s="46"/>
    </row>
    <row r="340" spans="1:11">
      <c r="A340" s="45">
        <f t="shared" si="5"/>
        <v>339</v>
      </c>
      <c r="B340" s="45" t="s">
        <v>1018</v>
      </c>
      <c r="C340" s="45" t="s">
        <v>843</v>
      </c>
      <c r="D340" s="46" t="s">
        <v>1268</v>
      </c>
      <c r="E340" s="47" t="s">
        <v>1269</v>
      </c>
      <c r="F340" s="45"/>
      <c r="G340" s="48" t="s">
        <v>452</v>
      </c>
      <c r="H340" s="49">
        <v>1</v>
      </c>
      <c r="I340" s="45" t="s">
        <v>1021</v>
      </c>
      <c r="J340" s="46" t="s">
        <v>752</v>
      </c>
      <c r="K340" s="46"/>
    </row>
    <row r="341" spans="1:11">
      <c r="A341" s="45">
        <f t="shared" si="5"/>
        <v>340</v>
      </c>
      <c r="B341" s="45" t="s">
        <v>1018</v>
      </c>
      <c r="C341" s="45" t="s">
        <v>843</v>
      </c>
      <c r="D341" s="46" t="s">
        <v>1270</v>
      </c>
      <c r="E341" s="47" t="s">
        <v>917</v>
      </c>
      <c r="F341" s="45"/>
      <c r="G341" s="48" t="s">
        <v>452</v>
      </c>
      <c r="H341" s="49">
        <v>1</v>
      </c>
      <c r="I341" s="45" t="s">
        <v>1021</v>
      </c>
      <c r="J341" s="46" t="s">
        <v>752</v>
      </c>
      <c r="K341" s="46"/>
    </row>
    <row r="342" spans="1:11">
      <c r="A342" s="45">
        <f t="shared" si="5"/>
        <v>341</v>
      </c>
      <c r="B342" s="45" t="s">
        <v>1018</v>
      </c>
      <c r="C342" s="45" t="s">
        <v>843</v>
      </c>
      <c r="D342" s="46" t="s">
        <v>1271</v>
      </c>
      <c r="E342" s="47" t="s">
        <v>920</v>
      </c>
      <c r="F342" s="45"/>
      <c r="G342" s="48" t="s">
        <v>452</v>
      </c>
      <c r="H342" s="49">
        <v>1</v>
      </c>
      <c r="I342" s="45" t="s">
        <v>1021</v>
      </c>
      <c r="J342" s="46" t="s">
        <v>752</v>
      </c>
      <c r="K342" s="46"/>
    </row>
    <row r="343" spans="1:11">
      <c r="A343" s="45">
        <f t="shared" si="5"/>
        <v>342</v>
      </c>
      <c r="B343" s="45" t="s">
        <v>1018</v>
      </c>
      <c r="C343" s="45" t="s">
        <v>843</v>
      </c>
      <c r="D343" s="46" t="s">
        <v>1272</v>
      </c>
      <c r="E343" s="47" t="s">
        <v>1273</v>
      </c>
      <c r="F343" s="45"/>
      <c r="G343" s="48" t="s">
        <v>452</v>
      </c>
      <c r="H343" s="49">
        <v>1</v>
      </c>
      <c r="I343" s="45" t="s">
        <v>1021</v>
      </c>
      <c r="J343" s="46" t="s">
        <v>752</v>
      </c>
      <c r="K343" s="46"/>
    </row>
    <row r="344" spans="1:11">
      <c r="A344" s="45">
        <f t="shared" si="5"/>
        <v>343</v>
      </c>
      <c r="B344" s="45" t="s">
        <v>1018</v>
      </c>
      <c r="C344" s="45" t="s">
        <v>843</v>
      </c>
      <c r="D344" s="46" t="s">
        <v>1274</v>
      </c>
      <c r="E344" s="47" t="s">
        <v>1275</v>
      </c>
      <c r="F344" s="45"/>
      <c r="G344" s="48" t="s">
        <v>452</v>
      </c>
      <c r="H344" s="49">
        <v>1</v>
      </c>
      <c r="I344" s="45" t="s">
        <v>1021</v>
      </c>
      <c r="J344" s="46" t="s">
        <v>752</v>
      </c>
      <c r="K344" s="46"/>
    </row>
    <row r="345" spans="1:11">
      <c r="A345" s="45">
        <f t="shared" si="5"/>
        <v>344</v>
      </c>
      <c r="B345" s="45" t="s">
        <v>1018</v>
      </c>
      <c r="C345" s="45" t="s">
        <v>607</v>
      </c>
      <c r="D345" s="46" t="s">
        <v>1276</v>
      </c>
      <c r="E345" s="47" t="s">
        <v>1277</v>
      </c>
      <c r="F345" s="45"/>
      <c r="G345" s="48" t="s">
        <v>452</v>
      </c>
      <c r="H345" s="49">
        <v>1</v>
      </c>
      <c r="I345" s="45" t="s">
        <v>1021</v>
      </c>
      <c r="J345" s="46" t="s">
        <v>536</v>
      </c>
      <c r="K345" s="46"/>
    </row>
    <row r="346" spans="1:11">
      <c r="A346" s="45">
        <f t="shared" si="5"/>
        <v>345</v>
      </c>
      <c r="B346" s="45" t="s">
        <v>1018</v>
      </c>
      <c r="C346" s="45" t="s">
        <v>607</v>
      </c>
      <c r="D346" s="46" t="s">
        <v>1278</v>
      </c>
      <c r="E346" s="47" t="s">
        <v>1279</v>
      </c>
      <c r="F346" s="45"/>
      <c r="G346" s="48" t="s">
        <v>452</v>
      </c>
      <c r="H346" s="49">
        <v>1</v>
      </c>
      <c r="I346" s="45" t="s">
        <v>1021</v>
      </c>
      <c r="J346" s="46" t="s">
        <v>536</v>
      </c>
      <c r="K346" s="46"/>
    </row>
    <row r="347" spans="1:11">
      <c r="A347" s="45">
        <f t="shared" si="5"/>
        <v>346</v>
      </c>
      <c r="B347" s="45" t="s">
        <v>1018</v>
      </c>
      <c r="C347" s="45" t="s">
        <v>520</v>
      </c>
      <c r="D347" s="46" t="s">
        <v>1280</v>
      </c>
      <c r="E347" s="47" t="s">
        <v>1281</v>
      </c>
      <c r="F347" s="45"/>
      <c r="G347" s="48" t="s">
        <v>452</v>
      </c>
      <c r="H347" s="49">
        <v>1</v>
      </c>
      <c r="I347" s="45" t="s">
        <v>1021</v>
      </c>
      <c r="J347" s="46" t="s">
        <v>444</v>
      </c>
      <c r="K347" s="46" t="s">
        <v>536</v>
      </c>
    </row>
    <row r="348" spans="1:11">
      <c r="A348" s="45">
        <f t="shared" si="5"/>
        <v>347</v>
      </c>
      <c r="B348" s="45" t="s">
        <v>1018</v>
      </c>
      <c r="C348" s="45" t="s">
        <v>520</v>
      </c>
      <c r="D348" s="46" t="s">
        <v>1282</v>
      </c>
      <c r="E348" s="47" t="s">
        <v>1283</v>
      </c>
      <c r="F348" s="45"/>
      <c r="G348" s="48" t="s">
        <v>452</v>
      </c>
      <c r="H348" s="49">
        <v>1</v>
      </c>
      <c r="I348" s="45" t="s">
        <v>1021</v>
      </c>
      <c r="J348" s="46" t="s">
        <v>444</v>
      </c>
      <c r="K348" s="46" t="s">
        <v>536</v>
      </c>
    </row>
    <row r="349" spans="1:11">
      <c r="A349" s="45">
        <f t="shared" si="5"/>
        <v>348</v>
      </c>
      <c r="B349" s="45" t="s">
        <v>1284</v>
      </c>
      <c r="C349" s="45" t="s">
        <v>440</v>
      </c>
      <c r="D349" s="46" t="s">
        <v>441</v>
      </c>
      <c r="E349" s="71" t="s">
        <v>1285</v>
      </c>
      <c r="F349" s="45"/>
      <c r="G349" s="48" t="s">
        <v>452</v>
      </c>
      <c r="H349" s="49">
        <v>1</v>
      </c>
      <c r="I349" s="69" t="s">
        <v>1021</v>
      </c>
      <c r="J349" s="46" t="s">
        <v>470</v>
      </c>
      <c r="K349" s="46"/>
    </row>
    <row r="350" spans="1:11">
      <c r="A350" s="45">
        <f t="shared" si="5"/>
        <v>349</v>
      </c>
      <c r="B350" s="45" t="s">
        <v>1284</v>
      </c>
      <c r="C350" s="45" t="s">
        <v>440</v>
      </c>
      <c r="D350" s="46" t="s">
        <v>446</v>
      </c>
      <c r="E350" s="71" t="s">
        <v>1286</v>
      </c>
      <c r="F350" s="45"/>
      <c r="G350" s="48" t="s">
        <v>452</v>
      </c>
      <c r="H350" s="49">
        <v>1</v>
      </c>
      <c r="I350" s="69" t="s">
        <v>1021</v>
      </c>
      <c r="J350" s="46" t="s">
        <v>470</v>
      </c>
      <c r="K350" s="46"/>
    </row>
    <row r="351" spans="1:11">
      <c r="A351" s="45">
        <f t="shared" si="5"/>
        <v>350</v>
      </c>
      <c r="B351" s="45" t="s">
        <v>1284</v>
      </c>
      <c r="C351" s="45" t="s">
        <v>440</v>
      </c>
      <c r="D351" s="46" t="s">
        <v>449</v>
      </c>
      <c r="E351" s="71" t="s">
        <v>1287</v>
      </c>
      <c r="F351" s="45"/>
      <c r="G351" s="48" t="s">
        <v>452</v>
      </c>
      <c r="H351" s="49">
        <v>1</v>
      </c>
      <c r="I351" s="69" t="s">
        <v>1021</v>
      </c>
      <c r="J351" s="46" t="s">
        <v>470</v>
      </c>
      <c r="K351" s="46"/>
    </row>
    <row r="352" spans="1:11">
      <c r="A352" s="45">
        <f t="shared" si="5"/>
        <v>351</v>
      </c>
      <c r="B352" s="45" t="s">
        <v>1284</v>
      </c>
      <c r="C352" s="45" t="s">
        <v>440</v>
      </c>
      <c r="D352" s="46" t="s">
        <v>453</v>
      </c>
      <c r="E352" s="71" t="s">
        <v>1288</v>
      </c>
      <c r="F352" s="45"/>
      <c r="G352" s="48" t="s">
        <v>452</v>
      </c>
      <c r="H352" s="49">
        <v>1</v>
      </c>
      <c r="I352" s="45" t="s">
        <v>1021</v>
      </c>
      <c r="J352" s="46" t="s">
        <v>470</v>
      </c>
      <c r="K352" s="46"/>
    </row>
    <row r="353" spans="1:11">
      <c r="A353" s="45">
        <f t="shared" si="5"/>
        <v>352</v>
      </c>
      <c r="B353" s="45" t="s">
        <v>1284</v>
      </c>
      <c r="C353" s="45" t="s">
        <v>440</v>
      </c>
      <c r="D353" s="46" t="s">
        <v>458</v>
      </c>
      <c r="E353" s="71" t="s">
        <v>1047</v>
      </c>
      <c r="F353" s="45"/>
      <c r="G353" s="48" t="s">
        <v>452</v>
      </c>
      <c r="H353" s="49">
        <v>1</v>
      </c>
      <c r="I353" s="45" t="s">
        <v>1021</v>
      </c>
      <c r="J353" s="46" t="s">
        <v>470</v>
      </c>
      <c r="K353" s="46"/>
    </row>
    <row r="354" spans="1:11">
      <c r="A354" s="45">
        <f t="shared" si="5"/>
        <v>353</v>
      </c>
      <c r="B354" s="45" t="s">
        <v>1284</v>
      </c>
      <c r="C354" s="45" t="s">
        <v>440</v>
      </c>
      <c r="D354" s="46" t="s">
        <v>461</v>
      </c>
      <c r="E354" s="71" t="s">
        <v>1289</v>
      </c>
      <c r="F354" s="45"/>
      <c r="G354" s="48" t="s">
        <v>452</v>
      </c>
      <c r="H354" s="49">
        <v>1</v>
      </c>
      <c r="I354" s="45" t="s">
        <v>1021</v>
      </c>
      <c r="J354" s="46" t="s">
        <v>470</v>
      </c>
      <c r="K354" s="46"/>
    </row>
    <row r="355" spans="1:11">
      <c r="A355" s="45">
        <f t="shared" si="5"/>
        <v>354</v>
      </c>
      <c r="B355" s="45" t="s">
        <v>1284</v>
      </c>
      <c r="C355" s="45" t="s">
        <v>440</v>
      </c>
      <c r="D355" s="46" t="s">
        <v>464</v>
      </c>
      <c r="E355" s="71" t="s">
        <v>490</v>
      </c>
      <c r="F355" s="45"/>
      <c r="G355" s="48" t="s">
        <v>452</v>
      </c>
      <c r="H355" s="49">
        <v>1</v>
      </c>
      <c r="I355" s="45" t="s">
        <v>1021</v>
      </c>
      <c r="J355" s="46" t="s">
        <v>470</v>
      </c>
      <c r="K355" s="46"/>
    </row>
    <row r="356" spans="1:11">
      <c r="A356" s="45">
        <f t="shared" si="5"/>
        <v>355</v>
      </c>
      <c r="B356" s="45" t="s">
        <v>1284</v>
      </c>
      <c r="C356" s="45" t="s">
        <v>440</v>
      </c>
      <c r="D356" s="46" t="s">
        <v>466</v>
      </c>
      <c r="E356" s="71" t="s">
        <v>1290</v>
      </c>
      <c r="F356" s="45"/>
      <c r="G356" s="48" t="s">
        <v>452</v>
      </c>
      <c r="H356" s="49">
        <v>1</v>
      </c>
      <c r="I356" s="45" t="s">
        <v>1021</v>
      </c>
      <c r="J356" s="46" t="s">
        <v>470</v>
      </c>
      <c r="K356" s="46"/>
    </row>
    <row r="357" spans="1:11" ht="60">
      <c r="A357" s="45">
        <f t="shared" si="5"/>
        <v>356</v>
      </c>
      <c r="B357" s="45" t="s">
        <v>1284</v>
      </c>
      <c r="C357" s="45" t="s">
        <v>440</v>
      </c>
      <c r="D357" s="46" t="s">
        <v>1037</v>
      </c>
      <c r="E357" s="71" t="s">
        <v>1291</v>
      </c>
      <c r="F357" s="69" t="s">
        <v>1292</v>
      </c>
      <c r="G357" s="48" t="s">
        <v>452</v>
      </c>
      <c r="H357" s="49">
        <v>1</v>
      </c>
      <c r="I357" s="69" t="s">
        <v>1293</v>
      </c>
      <c r="J357" s="46" t="s">
        <v>470</v>
      </c>
      <c r="K357" s="46" t="s">
        <v>445</v>
      </c>
    </row>
    <row r="358" spans="1:11" ht="60">
      <c r="A358" s="39">
        <f t="shared" si="5"/>
        <v>357</v>
      </c>
      <c r="B358" s="39" t="s">
        <v>1284</v>
      </c>
      <c r="C358" s="39" t="s">
        <v>440</v>
      </c>
      <c r="D358" s="40" t="s">
        <v>1294</v>
      </c>
      <c r="E358" s="41" t="s">
        <v>510</v>
      </c>
      <c r="F358" s="56" t="s">
        <v>1295</v>
      </c>
      <c r="G358" s="42">
        <v>46170</v>
      </c>
      <c r="H358" s="43">
        <v>0.99</v>
      </c>
      <c r="I358" s="39" t="s">
        <v>1296</v>
      </c>
      <c r="J358" s="40" t="s">
        <v>470</v>
      </c>
      <c r="K358" s="40" t="s">
        <v>445</v>
      </c>
    </row>
    <row r="359" spans="1:11">
      <c r="A359" s="45">
        <f t="shared" si="5"/>
        <v>358</v>
      </c>
      <c r="B359" s="45" t="s">
        <v>1284</v>
      </c>
      <c r="C359" s="45" t="s">
        <v>440</v>
      </c>
      <c r="D359" s="46" t="s">
        <v>1038</v>
      </c>
      <c r="E359" s="71" t="s">
        <v>1297</v>
      </c>
      <c r="F359" s="45"/>
      <c r="G359" s="48" t="s">
        <v>452</v>
      </c>
      <c r="H359" s="49">
        <v>1</v>
      </c>
      <c r="I359" s="45" t="s">
        <v>1021</v>
      </c>
      <c r="J359" s="46" t="s">
        <v>470</v>
      </c>
      <c r="K359" s="46"/>
    </row>
    <row r="360" spans="1:11">
      <c r="A360" s="45">
        <f t="shared" si="5"/>
        <v>359</v>
      </c>
      <c r="B360" s="45" t="s">
        <v>1284</v>
      </c>
      <c r="C360" s="45" t="s">
        <v>440</v>
      </c>
      <c r="D360" s="46" t="s">
        <v>1039</v>
      </c>
      <c r="E360" s="71" t="s">
        <v>478</v>
      </c>
      <c r="F360" s="45"/>
      <c r="G360" s="48" t="s">
        <v>452</v>
      </c>
      <c r="H360" s="49">
        <v>1</v>
      </c>
      <c r="I360" s="45" t="s">
        <v>1021</v>
      </c>
      <c r="J360" s="46" t="s">
        <v>470</v>
      </c>
      <c r="K360" s="46"/>
    </row>
    <row r="361" spans="1:11">
      <c r="A361" s="45">
        <f t="shared" si="5"/>
        <v>360</v>
      </c>
      <c r="B361" s="45" t="s">
        <v>1284</v>
      </c>
      <c r="C361" s="45" t="s">
        <v>440</v>
      </c>
      <c r="D361" s="46" t="s">
        <v>479</v>
      </c>
      <c r="E361" s="71" t="s">
        <v>1298</v>
      </c>
      <c r="F361" s="45"/>
      <c r="G361" s="48" t="s">
        <v>452</v>
      </c>
      <c r="H361" s="49">
        <v>1</v>
      </c>
      <c r="I361" s="69" t="s">
        <v>1299</v>
      </c>
      <c r="J361" s="46" t="s">
        <v>536</v>
      </c>
      <c r="K361" s="46" t="s">
        <v>1017</v>
      </c>
    </row>
    <row r="362" spans="1:11">
      <c r="A362" s="45">
        <f t="shared" si="5"/>
        <v>361</v>
      </c>
      <c r="B362" s="45" t="s">
        <v>1284</v>
      </c>
      <c r="C362" s="45" t="s">
        <v>440</v>
      </c>
      <c r="D362" s="46" t="s">
        <v>482</v>
      </c>
      <c r="E362" s="71" t="s">
        <v>1300</v>
      </c>
      <c r="F362" s="45"/>
      <c r="G362" s="48" t="s">
        <v>452</v>
      </c>
      <c r="H362" s="49">
        <v>1</v>
      </c>
      <c r="I362" s="45"/>
      <c r="J362" s="46" t="s">
        <v>938</v>
      </c>
      <c r="K362" s="46" t="s">
        <v>470</v>
      </c>
    </row>
    <row r="363" spans="1:11">
      <c r="A363" s="45">
        <f t="shared" si="5"/>
        <v>362</v>
      </c>
      <c r="B363" s="45" t="s">
        <v>1284</v>
      </c>
      <c r="C363" s="45" t="s">
        <v>440</v>
      </c>
      <c r="D363" s="46" t="s">
        <v>489</v>
      </c>
      <c r="E363" s="71" t="s">
        <v>1301</v>
      </c>
      <c r="F363" s="45"/>
      <c r="G363" s="48" t="s">
        <v>452</v>
      </c>
      <c r="H363" s="49">
        <v>1</v>
      </c>
      <c r="I363" s="45" t="s">
        <v>1021</v>
      </c>
      <c r="J363" s="46" t="s">
        <v>470</v>
      </c>
      <c r="K363" s="46"/>
    </row>
    <row r="364" spans="1:11">
      <c r="A364" s="45">
        <f t="shared" si="5"/>
        <v>363</v>
      </c>
      <c r="B364" s="45" t="s">
        <v>1284</v>
      </c>
      <c r="C364" s="45" t="s">
        <v>440</v>
      </c>
      <c r="D364" s="46" t="s">
        <v>493</v>
      </c>
      <c r="E364" s="71" t="s">
        <v>1302</v>
      </c>
      <c r="F364" s="45"/>
      <c r="G364" s="48" t="s">
        <v>452</v>
      </c>
      <c r="H364" s="49">
        <v>1</v>
      </c>
      <c r="I364" s="45" t="s">
        <v>1021</v>
      </c>
      <c r="J364" s="46" t="s">
        <v>470</v>
      </c>
      <c r="K364" s="46"/>
    </row>
    <row r="365" spans="1:11">
      <c r="A365" s="45">
        <f t="shared" si="5"/>
        <v>364</v>
      </c>
      <c r="B365" s="45" t="s">
        <v>1284</v>
      </c>
      <c r="C365" s="45" t="s">
        <v>440</v>
      </c>
      <c r="D365" s="46" t="s">
        <v>500</v>
      </c>
      <c r="E365" s="71" t="s">
        <v>1071</v>
      </c>
      <c r="F365" s="45"/>
      <c r="G365" s="48" t="s">
        <v>452</v>
      </c>
      <c r="H365" s="49">
        <v>1</v>
      </c>
      <c r="I365" s="45" t="s">
        <v>1021</v>
      </c>
      <c r="J365" s="46" t="s">
        <v>470</v>
      </c>
      <c r="K365" s="46"/>
    </row>
    <row r="366" spans="1:11">
      <c r="A366" s="45">
        <f t="shared" si="5"/>
        <v>365</v>
      </c>
      <c r="B366" s="45" t="s">
        <v>1284</v>
      </c>
      <c r="C366" s="45" t="s">
        <v>529</v>
      </c>
      <c r="D366" s="46" t="s">
        <v>1014</v>
      </c>
      <c r="E366" s="71" t="s">
        <v>1303</v>
      </c>
      <c r="F366" s="45"/>
      <c r="G366" s="48" t="s">
        <v>452</v>
      </c>
      <c r="H366" s="49">
        <v>1</v>
      </c>
      <c r="I366" s="45" t="s">
        <v>1021</v>
      </c>
      <c r="J366" s="46" t="s">
        <v>1017</v>
      </c>
      <c r="K366" s="46"/>
    </row>
    <row r="367" spans="1:11">
      <c r="A367" s="45">
        <f t="shared" si="5"/>
        <v>366</v>
      </c>
      <c r="B367" s="45" t="s">
        <v>1284</v>
      </c>
      <c r="C367" s="45" t="s">
        <v>529</v>
      </c>
      <c r="D367" s="46" t="s">
        <v>1304</v>
      </c>
      <c r="E367" s="71" t="s">
        <v>1305</v>
      </c>
      <c r="F367" s="45"/>
      <c r="G367" s="48" t="s">
        <v>452</v>
      </c>
      <c r="H367" s="49">
        <v>1</v>
      </c>
      <c r="I367" s="45" t="s">
        <v>1021</v>
      </c>
      <c r="J367" s="46" t="s">
        <v>1017</v>
      </c>
      <c r="K367" s="46"/>
    </row>
    <row r="368" spans="1:11">
      <c r="A368" s="45">
        <f t="shared" si="5"/>
        <v>367</v>
      </c>
      <c r="B368" s="45" t="s">
        <v>1284</v>
      </c>
      <c r="C368" s="45" t="s">
        <v>529</v>
      </c>
      <c r="D368" s="46" t="s">
        <v>1306</v>
      </c>
      <c r="E368" s="71" t="s">
        <v>1307</v>
      </c>
      <c r="F368" s="45"/>
      <c r="G368" s="48" t="s">
        <v>452</v>
      </c>
      <c r="H368" s="49">
        <v>1</v>
      </c>
      <c r="I368" s="45" t="s">
        <v>1021</v>
      </c>
      <c r="J368" s="46" t="s">
        <v>1017</v>
      </c>
      <c r="K368" s="46"/>
    </row>
    <row r="369" spans="1:11">
      <c r="A369" s="45">
        <f t="shared" si="5"/>
        <v>368</v>
      </c>
      <c r="B369" s="45" t="s">
        <v>1284</v>
      </c>
      <c r="C369" s="45" t="s">
        <v>529</v>
      </c>
      <c r="D369" s="46" t="s">
        <v>1308</v>
      </c>
      <c r="E369" s="71" t="s">
        <v>1309</v>
      </c>
      <c r="F369" s="45"/>
      <c r="G369" s="48" t="s">
        <v>452</v>
      </c>
      <c r="H369" s="49">
        <v>1</v>
      </c>
      <c r="I369" s="45" t="s">
        <v>1021</v>
      </c>
      <c r="J369" s="46" t="s">
        <v>1017</v>
      </c>
      <c r="K369" s="46"/>
    </row>
    <row r="370" spans="1:11">
      <c r="A370" s="45">
        <f t="shared" si="5"/>
        <v>369</v>
      </c>
      <c r="B370" s="45" t="s">
        <v>1284</v>
      </c>
      <c r="C370" s="45" t="s">
        <v>529</v>
      </c>
      <c r="D370" s="46" t="s">
        <v>1310</v>
      </c>
      <c r="E370" s="71" t="s">
        <v>1311</v>
      </c>
      <c r="F370" s="45"/>
      <c r="G370" s="48" t="s">
        <v>452</v>
      </c>
      <c r="H370" s="49">
        <v>1</v>
      </c>
      <c r="I370" s="45" t="s">
        <v>1021</v>
      </c>
      <c r="J370" s="46" t="s">
        <v>1017</v>
      </c>
      <c r="K370" s="46"/>
    </row>
    <row r="371" spans="1:11">
      <c r="A371" s="45">
        <f t="shared" si="5"/>
        <v>370</v>
      </c>
      <c r="B371" s="45" t="s">
        <v>1284</v>
      </c>
      <c r="C371" s="45" t="s">
        <v>529</v>
      </c>
      <c r="D371" s="46" t="s">
        <v>1312</v>
      </c>
      <c r="E371" s="71" t="s">
        <v>1070</v>
      </c>
      <c r="F371" s="45"/>
      <c r="G371" s="48" t="s">
        <v>452</v>
      </c>
      <c r="H371" s="49">
        <v>1</v>
      </c>
      <c r="I371" s="45" t="s">
        <v>1021</v>
      </c>
      <c r="J371" s="46" t="s">
        <v>1017</v>
      </c>
      <c r="K371" s="46"/>
    </row>
    <row r="372" spans="1:11">
      <c r="A372" s="45">
        <f t="shared" si="5"/>
        <v>371</v>
      </c>
      <c r="B372" s="45" t="s">
        <v>1284</v>
      </c>
      <c r="C372" s="45" t="s">
        <v>529</v>
      </c>
      <c r="D372" s="46" t="s">
        <v>1313</v>
      </c>
      <c r="E372" s="71" t="s">
        <v>1314</v>
      </c>
      <c r="F372" s="45"/>
      <c r="G372" s="48" t="s">
        <v>452</v>
      </c>
      <c r="H372" s="49">
        <v>1</v>
      </c>
      <c r="I372" s="45" t="s">
        <v>1021</v>
      </c>
      <c r="J372" s="46" t="s">
        <v>1017</v>
      </c>
      <c r="K372" s="46"/>
    </row>
    <row r="373" spans="1:11">
      <c r="A373" s="45">
        <f t="shared" si="5"/>
        <v>372</v>
      </c>
      <c r="B373" s="45" t="s">
        <v>1284</v>
      </c>
      <c r="C373" s="45" t="s">
        <v>529</v>
      </c>
      <c r="D373" s="46" t="s">
        <v>1315</v>
      </c>
      <c r="E373" s="71" t="s">
        <v>1316</v>
      </c>
      <c r="F373" s="45"/>
      <c r="G373" s="48" t="s">
        <v>452</v>
      </c>
      <c r="H373" s="49">
        <v>1</v>
      </c>
      <c r="I373" s="45" t="s">
        <v>1021</v>
      </c>
      <c r="J373" s="46" t="s">
        <v>1017</v>
      </c>
      <c r="K373" s="46"/>
    </row>
    <row r="374" spans="1:11">
      <c r="A374" s="45">
        <f t="shared" si="5"/>
        <v>373</v>
      </c>
      <c r="B374" s="45" t="s">
        <v>1284</v>
      </c>
      <c r="C374" s="45" t="s">
        <v>529</v>
      </c>
      <c r="D374" s="46" t="s">
        <v>1317</v>
      </c>
      <c r="E374" s="71" t="s">
        <v>588</v>
      </c>
      <c r="F374" s="45"/>
      <c r="G374" s="48" t="s">
        <v>452</v>
      </c>
      <c r="H374" s="49">
        <v>1</v>
      </c>
      <c r="I374" s="45"/>
      <c r="J374" s="46" t="s">
        <v>1017</v>
      </c>
      <c r="K374" s="46"/>
    </row>
    <row r="375" spans="1:11">
      <c r="A375" s="45">
        <f t="shared" si="5"/>
        <v>374</v>
      </c>
      <c r="B375" s="45" t="s">
        <v>1284</v>
      </c>
      <c r="C375" s="45" t="s">
        <v>529</v>
      </c>
      <c r="D375" s="46" t="s">
        <v>1318</v>
      </c>
      <c r="E375" s="71" t="s">
        <v>584</v>
      </c>
      <c r="F375" s="45"/>
      <c r="G375" s="48" t="s">
        <v>452</v>
      </c>
      <c r="H375" s="49">
        <v>1</v>
      </c>
      <c r="I375" s="45" t="s">
        <v>1021</v>
      </c>
      <c r="J375" s="46" t="s">
        <v>1017</v>
      </c>
      <c r="K375" s="46"/>
    </row>
    <row r="376" spans="1:11">
      <c r="A376" s="45">
        <f t="shared" si="5"/>
        <v>375</v>
      </c>
      <c r="B376" s="45" t="s">
        <v>1284</v>
      </c>
      <c r="C376" s="45" t="s">
        <v>529</v>
      </c>
      <c r="D376" s="46" t="s">
        <v>1319</v>
      </c>
      <c r="E376" s="71" t="s">
        <v>1320</v>
      </c>
      <c r="F376" s="45"/>
      <c r="G376" s="48" t="s">
        <v>452</v>
      </c>
      <c r="H376" s="49">
        <v>1</v>
      </c>
      <c r="I376" s="45" t="s">
        <v>1021</v>
      </c>
      <c r="J376" s="46" t="s">
        <v>1017</v>
      </c>
      <c r="K376" s="46"/>
    </row>
    <row r="377" spans="1:11">
      <c r="A377" s="45">
        <f t="shared" si="5"/>
        <v>376</v>
      </c>
      <c r="B377" s="45" t="s">
        <v>1284</v>
      </c>
      <c r="C377" s="45" t="s">
        <v>529</v>
      </c>
      <c r="D377" s="46" t="s">
        <v>1321</v>
      </c>
      <c r="E377" s="71" t="s">
        <v>1322</v>
      </c>
      <c r="F377" s="45"/>
      <c r="G377" s="48" t="s">
        <v>452</v>
      </c>
      <c r="H377" s="49">
        <v>1</v>
      </c>
      <c r="I377" s="45"/>
      <c r="J377" s="46" t="s">
        <v>1017</v>
      </c>
      <c r="K377" s="46" t="s">
        <v>1017</v>
      </c>
    </row>
    <row r="378" spans="1:11">
      <c r="A378" s="45">
        <f t="shared" si="5"/>
        <v>377</v>
      </c>
      <c r="B378" s="45" t="s">
        <v>1284</v>
      </c>
      <c r="C378" s="45" t="s">
        <v>529</v>
      </c>
      <c r="D378" s="46" t="s">
        <v>1323</v>
      </c>
      <c r="E378" s="71" t="s">
        <v>1324</v>
      </c>
      <c r="F378" s="45"/>
      <c r="G378" s="48" t="s">
        <v>452</v>
      </c>
      <c r="H378" s="49">
        <v>1</v>
      </c>
      <c r="I378" s="45" t="s">
        <v>1021</v>
      </c>
      <c r="J378" s="46" t="s">
        <v>1017</v>
      </c>
      <c r="K378" s="46"/>
    </row>
    <row r="379" spans="1:11">
      <c r="A379" s="45">
        <f t="shared" si="5"/>
        <v>378</v>
      </c>
      <c r="B379" s="45" t="s">
        <v>1284</v>
      </c>
      <c r="C379" s="45" t="s">
        <v>529</v>
      </c>
      <c r="D379" s="46" t="s">
        <v>1325</v>
      </c>
      <c r="E379" s="71" t="s">
        <v>577</v>
      </c>
      <c r="F379" s="45"/>
      <c r="G379" s="48" t="s">
        <v>452</v>
      </c>
      <c r="H379" s="49">
        <v>1</v>
      </c>
      <c r="I379" s="45"/>
      <c r="J379" s="46" t="s">
        <v>1017</v>
      </c>
      <c r="K379" s="46"/>
    </row>
    <row r="380" spans="1:11">
      <c r="A380" s="45">
        <f t="shared" si="5"/>
        <v>379</v>
      </c>
      <c r="B380" s="45" t="s">
        <v>1284</v>
      </c>
      <c r="C380" s="45" t="s">
        <v>529</v>
      </c>
      <c r="D380" s="46" t="s">
        <v>1326</v>
      </c>
      <c r="E380" s="71" t="s">
        <v>1327</v>
      </c>
      <c r="F380" s="45"/>
      <c r="G380" s="48" t="s">
        <v>452</v>
      </c>
      <c r="H380" s="49">
        <v>1</v>
      </c>
      <c r="I380" s="45"/>
      <c r="J380" s="46" t="s">
        <v>1017</v>
      </c>
      <c r="K380" s="46"/>
    </row>
    <row r="381" spans="1:11">
      <c r="A381" s="45">
        <f t="shared" si="5"/>
        <v>380</v>
      </c>
      <c r="B381" s="45" t="s">
        <v>1284</v>
      </c>
      <c r="C381" s="45" t="s">
        <v>529</v>
      </c>
      <c r="D381" s="46" t="s">
        <v>1328</v>
      </c>
      <c r="E381" s="71" t="s">
        <v>1079</v>
      </c>
      <c r="F381" s="45"/>
      <c r="G381" s="48" t="s">
        <v>452</v>
      </c>
      <c r="H381" s="49">
        <v>1</v>
      </c>
      <c r="I381" s="45" t="s">
        <v>1021</v>
      </c>
      <c r="J381" s="46" t="s">
        <v>1017</v>
      </c>
      <c r="K381" s="46"/>
    </row>
    <row r="382" spans="1:11">
      <c r="A382" s="45">
        <f t="shared" si="5"/>
        <v>381</v>
      </c>
      <c r="B382" s="45" t="s">
        <v>1284</v>
      </c>
      <c r="C382" s="45" t="s">
        <v>529</v>
      </c>
      <c r="D382" s="46" t="s">
        <v>1329</v>
      </c>
      <c r="E382" s="71" t="s">
        <v>1330</v>
      </c>
      <c r="F382" s="45"/>
      <c r="G382" s="48" t="s">
        <v>452</v>
      </c>
      <c r="H382" s="49">
        <v>1</v>
      </c>
      <c r="I382" s="45" t="s">
        <v>1021</v>
      </c>
      <c r="J382" s="46" t="s">
        <v>1017</v>
      </c>
      <c r="K382" s="46"/>
    </row>
    <row r="383" spans="1:11">
      <c r="A383" s="45">
        <f t="shared" si="5"/>
        <v>382</v>
      </c>
      <c r="B383" s="45" t="s">
        <v>1284</v>
      </c>
      <c r="C383" s="45" t="s">
        <v>529</v>
      </c>
      <c r="D383" s="46" t="s">
        <v>1331</v>
      </c>
      <c r="E383" s="71" t="s">
        <v>1332</v>
      </c>
      <c r="F383" s="45"/>
      <c r="G383" s="48" t="s">
        <v>452</v>
      </c>
      <c r="H383" s="49">
        <v>1</v>
      </c>
      <c r="I383" s="45"/>
      <c r="J383" s="46" t="s">
        <v>1017</v>
      </c>
      <c r="K383" s="46"/>
    </row>
    <row r="384" spans="1:11">
      <c r="A384" s="45">
        <f t="shared" si="5"/>
        <v>383</v>
      </c>
      <c r="B384" s="45" t="s">
        <v>1284</v>
      </c>
      <c r="C384" s="45" t="s">
        <v>529</v>
      </c>
      <c r="D384" s="46" t="s">
        <v>1333</v>
      </c>
      <c r="E384" s="71" t="s">
        <v>1334</v>
      </c>
      <c r="F384" s="45"/>
      <c r="G384" s="48" t="s">
        <v>452</v>
      </c>
      <c r="H384" s="49">
        <v>1</v>
      </c>
      <c r="I384" s="45" t="s">
        <v>1021</v>
      </c>
      <c r="J384" s="46" t="s">
        <v>1017</v>
      </c>
      <c r="K384" s="46"/>
    </row>
    <row r="385" spans="1:11">
      <c r="A385" s="45">
        <f t="shared" si="5"/>
        <v>384</v>
      </c>
      <c r="B385" s="45" t="s">
        <v>1284</v>
      </c>
      <c r="C385" s="45" t="s">
        <v>529</v>
      </c>
      <c r="D385" s="46" t="s">
        <v>1335</v>
      </c>
      <c r="E385" s="71" t="s">
        <v>1336</v>
      </c>
      <c r="F385" s="45"/>
      <c r="G385" s="48" t="s">
        <v>452</v>
      </c>
      <c r="H385" s="49">
        <v>1</v>
      </c>
      <c r="I385" s="45" t="s">
        <v>1021</v>
      </c>
      <c r="J385" s="46" t="s">
        <v>1017</v>
      </c>
      <c r="K385" s="46"/>
    </row>
    <row r="386" spans="1:11">
      <c r="A386" s="45">
        <f t="shared" si="5"/>
        <v>385</v>
      </c>
      <c r="B386" s="45" t="s">
        <v>1284</v>
      </c>
      <c r="C386" s="45" t="s">
        <v>615</v>
      </c>
      <c r="D386" s="46" t="s">
        <v>616</v>
      </c>
      <c r="E386" s="71" t="s">
        <v>1337</v>
      </c>
      <c r="F386" s="45"/>
      <c r="G386" s="48" t="s">
        <v>452</v>
      </c>
      <c r="H386" s="49">
        <v>1</v>
      </c>
      <c r="I386" s="45" t="s">
        <v>1021</v>
      </c>
      <c r="J386" s="46" t="s">
        <v>536</v>
      </c>
      <c r="K386" s="46"/>
    </row>
    <row r="387" spans="1:11">
      <c r="A387" s="45">
        <f t="shared" ref="A387:A450" si="6">ROW()-1</f>
        <v>386</v>
      </c>
      <c r="B387" s="45" t="s">
        <v>1284</v>
      </c>
      <c r="C387" s="45" t="s">
        <v>615</v>
      </c>
      <c r="D387" s="46" t="s">
        <v>1338</v>
      </c>
      <c r="E387" s="71" t="s">
        <v>1339</v>
      </c>
      <c r="F387" s="45"/>
      <c r="G387" s="48" t="s">
        <v>452</v>
      </c>
      <c r="H387" s="49">
        <v>1</v>
      </c>
      <c r="I387" s="45" t="s">
        <v>1021</v>
      </c>
      <c r="J387" s="46" t="s">
        <v>536</v>
      </c>
      <c r="K387" s="46"/>
    </row>
    <row r="388" spans="1:11">
      <c r="A388" s="50">
        <f t="shared" si="6"/>
        <v>387</v>
      </c>
      <c r="B388" s="50" t="s">
        <v>1284</v>
      </c>
      <c r="C388" s="50" t="s">
        <v>615</v>
      </c>
      <c r="D388" s="51" t="s">
        <v>1340</v>
      </c>
      <c r="E388" s="72" t="s">
        <v>1341</v>
      </c>
      <c r="F388" s="50"/>
      <c r="G388" s="53" t="s">
        <v>452</v>
      </c>
      <c r="H388" s="54">
        <v>1</v>
      </c>
      <c r="I388" s="50" t="s">
        <v>649</v>
      </c>
      <c r="J388" s="51" t="s">
        <v>536</v>
      </c>
      <c r="K388" s="51"/>
    </row>
    <row r="389" spans="1:11">
      <c r="A389" s="45">
        <f t="shared" si="6"/>
        <v>388</v>
      </c>
      <c r="B389" s="45" t="s">
        <v>1284</v>
      </c>
      <c r="C389" s="45" t="s">
        <v>615</v>
      </c>
      <c r="D389" s="46" t="s">
        <v>1342</v>
      </c>
      <c r="E389" s="71" t="s">
        <v>1343</v>
      </c>
      <c r="F389" s="45"/>
      <c r="G389" s="48" t="s">
        <v>452</v>
      </c>
      <c r="H389" s="49">
        <v>1</v>
      </c>
      <c r="I389" s="45" t="s">
        <v>1021</v>
      </c>
      <c r="J389" s="46" t="s">
        <v>536</v>
      </c>
      <c r="K389" s="46"/>
    </row>
    <row r="390" spans="1:11">
      <c r="A390" s="45">
        <f t="shared" si="6"/>
        <v>389</v>
      </c>
      <c r="B390" s="45" t="s">
        <v>1284</v>
      </c>
      <c r="C390" s="45" t="s">
        <v>615</v>
      </c>
      <c r="D390" s="46" t="s">
        <v>1344</v>
      </c>
      <c r="E390" s="71" t="s">
        <v>713</v>
      </c>
      <c r="F390" s="45" t="s">
        <v>1345</v>
      </c>
      <c r="G390" s="48" t="s">
        <v>452</v>
      </c>
      <c r="H390" s="49">
        <v>1.091</v>
      </c>
      <c r="I390" s="45" t="s">
        <v>1346</v>
      </c>
      <c r="J390" s="46" t="s">
        <v>536</v>
      </c>
      <c r="K390" s="46" t="s">
        <v>1017</v>
      </c>
    </row>
    <row r="391" spans="1:11">
      <c r="A391" s="45">
        <f t="shared" si="6"/>
        <v>390</v>
      </c>
      <c r="B391" s="45" t="s">
        <v>1284</v>
      </c>
      <c r="C391" s="45" t="s">
        <v>615</v>
      </c>
      <c r="D391" s="46" t="s">
        <v>640</v>
      </c>
      <c r="E391" s="71" t="s">
        <v>1104</v>
      </c>
      <c r="F391" s="45"/>
      <c r="G391" s="48" t="s">
        <v>452</v>
      </c>
      <c r="H391" s="49">
        <v>1</v>
      </c>
      <c r="I391" s="45" t="s">
        <v>1347</v>
      </c>
      <c r="J391" s="46" t="s">
        <v>536</v>
      </c>
      <c r="K391" s="46" t="s">
        <v>1017</v>
      </c>
    </row>
    <row r="392" spans="1:11">
      <c r="A392" s="50">
        <f t="shared" si="6"/>
        <v>391</v>
      </c>
      <c r="B392" s="50" t="s">
        <v>1284</v>
      </c>
      <c r="C392" s="50" t="s">
        <v>615</v>
      </c>
      <c r="D392" s="51" t="s">
        <v>643</v>
      </c>
      <c r="E392" s="72" t="s">
        <v>1106</v>
      </c>
      <c r="F392" s="50"/>
      <c r="G392" s="53" t="s">
        <v>452</v>
      </c>
      <c r="H392" s="54">
        <v>1</v>
      </c>
      <c r="I392" s="50"/>
      <c r="J392" s="51" t="s">
        <v>536</v>
      </c>
      <c r="K392" s="51"/>
    </row>
    <row r="393" spans="1:11">
      <c r="A393" s="45">
        <f t="shared" si="6"/>
        <v>392</v>
      </c>
      <c r="B393" s="45" t="s">
        <v>1284</v>
      </c>
      <c r="C393" s="45" t="s">
        <v>615</v>
      </c>
      <c r="D393" s="46" t="s">
        <v>646</v>
      </c>
      <c r="E393" s="71" t="s">
        <v>617</v>
      </c>
      <c r="F393" s="45"/>
      <c r="G393" s="48" t="s">
        <v>452</v>
      </c>
      <c r="H393" s="49">
        <v>1</v>
      </c>
      <c r="I393" s="45" t="s">
        <v>1021</v>
      </c>
      <c r="J393" s="46" t="s">
        <v>536</v>
      </c>
      <c r="K393" s="46"/>
    </row>
    <row r="394" spans="1:11">
      <c r="A394" s="45">
        <f t="shared" si="6"/>
        <v>393</v>
      </c>
      <c r="B394" s="45" t="s">
        <v>1284</v>
      </c>
      <c r="C394" s="45" t="s">
        <v>615</v>
      </c>
      <c r="D394" s="46" t="s">
        <v>1108</v>
      </c>
      <c r="E394" s="71" t="s">
        <v>1107</v>
      </c>
      <c r="F394" s="45"/>
      <c r="G394" s="48" t="s">
        <v>452</v>
      </c>
      <c r="H394" s="49">
        <v>1</v>
      </c>
      <c r="I394" s="45" t="s">
        <v>1021</v>
      </c>
      <c r="J394" s="46" t="s">
        <v>536</v>
      </c>
      <c r="K394" s="46"/>
    </row>
    <row r="395" spans="1:11">
      <c r="A395" s="45">
        <f t="shared" si="6"/>
        <v>394</v>
      </c>
      <c r="B395" s="45" t="s">
        <v>1284</v>
      </c>
      <c r="C395" s="45" t="s">
        <v>615</v>
      </c>
      <c r="D395" s="46" t="s">
        <v>1348</v>
      </c>
      <c r="E395" s="71" t="s">
        <v>1349</v>
      </c>
      <c r="F395" s="45"/>
      <c r="G395" s="48" t="s">
        <v>452</v>
      </c>
      <c r="H395" s="49">
        <v>1</v>
      </c>
      <c r="I395" s="45"/>
      <c r="J395" s="46" t="s">
        <v>536</v>
      </c>
      <c r="K395" s="46" t="s">
        <v>1017</v>
      </c>
    </row>
    <row r="396" spans="1:11">
      <c r="A396" s="45">
        <f t="shared" si="6"/>
        <v>395</v>
      </c>
      <c r="B396" s="45" t="s">
        <v>1284</v>
      </c>
      <c r="C396" s="45" t="s">
        <v>615</v>
      </c>
      <c r="D396" s="46" t="s">
        <v>667</v>
      </c>
      <c r="E396" s="71" t="s">
        <v>644</v>
      </c>
      <c r="F396" s="45"/>
      <c r="G396" s="48" t="s">
        <v>452</v>
      </c>
      <c r="H396" s="49">
        <v>1</v>
      </c>
      <c r="I396" s="45"/>
      <c r="J396" s="46" t="s">
        <v>536</v>
      </c>
      <c r="K396" s="46" t="s">
        <v>1017</v>
      </c>
    </row>
    <row r="397" spans="1:11">
      <c r="A397" s="45">
        <f t="shared" si="6"/>
        <v>396</v>
      </c>
      <c r="B397" s="45" t="s">
        <v>1284</v>
      </c>
      <c r="C397" s="45" t="s">
        <v>615</v>
      </c>
      <c r="D397" s="46" t="s">
        <v>1350</v>
      </c>
      <c r="E397" s="71" t="s">
        <v>647</v>
      </c>
      <c r="F397" s="45"/>
      <c r="G397" s="48" t="s">
        <v>452</v>
      </c>
      <c r="H397" s="49">
        <v>1</v>
      </c>
      <c r="I397" s="45" t="s">
        <v>1351</v>
      </c>
      <c r="J397" s="46" t="s">
        <v>536</v>
      </c>
      <c r="K397" s="46" t="s">
        <v>1017</v>
      </c>
    </row>
    <row r="398" spans="1:11">
      <c r="A398" s="45">
        <f t="shared" si="6"/>
        <v>397</v>
      </c>
      <c r="B398" s="45" t="s">
        <v>1284</v>
      </c>
      <c r="C398" s="45" t="s">
        <v>615</v>
      </c>
      <c r="D398" s="46" t="s">
        <v>1352</v>
      </c>
      <c r="E398" s="71" t="s">
        <v>654</v>
      </c>
      <c r="F398" s="45"/>
      <c r="G398" s="48" t="s">
        <v>452</v>
      </c>
      <c r="H398" s="49">
        <v>1</v>
      </c>
      <c r="I398" s="45" t="s">
        <v>1353</v>
      </c>
      <c r="J398" s="46" t="s">
        <v>536</v>
      </c>
      <c r="K398" s="46" t="s">
        <v>1017</v>
      </c>
    </row>
    <row r="399" spans="1:11">
      <c r="A399" s="45">
        <f t="shared" si="6"/>
        <v>398</v>
      </c>
      <c r="B399" s="45" t="s">
        <v>1284</v>
      </c>
      <c r="C399" s="45" t="s">
        <v>615</v>
      </c>
      <c r="D399" s="46" t="s">
        <v>679</v>
      </c>
      <c r="E399" s="71" t="s">
        <v>1354</v>
      </c>
      <c r="F399" s="45"/>
      <c r="G399" s="48" t="s">
        <v>452</v>
      </c>
      <c r="H399" s="49">
        <v>1</v>
      </c>
      <c r="I399" s="45"/>
      <c r="J399" s="46" t="s">
        <v>536</v>
      </c>
      <c r="K399" s="46" t="s">
        <v>1017</v>
      </c>
    </row>
    <row r="400" spans="1:11">
      <c r="A400" s="45">
        <f t="shared" si="6"/>
        <v>399</v>
      </c>
      <c r="B400" s="45" t="s">
        <v>1284</v>
      </c>
      <c r="C400" s="45" t="s">
        <v>615</v>
      </c>
      <c r="D400" s="46" t="s">
        <v>1355</v>
      </c>
      <c r="E400" s="71" t="s">
        <v>1122</v>
      </c>
      <c r="F400" s="45"/>
      <c r="G400" s="48" t="s">
        <v>452</v>
      </c>
      <c r="H400" s="49">
        <v>1</v>
      </c>
      <c r="I400" s="45" t="s">
        <v>1356</v>
      </c>
      <c r="J400" s="46" t="s">
        <v>536</v>
      </c>
      <c r="K400" s="46" t="s">
        <v>1017</v>
      </c>
    </row>
    <row r="401" spans="1:11">
      <c r="A401" s="45">
        <f t="shared" si="6"/>
        <v>400</v>
      </c>
      <c r="B401" s="45" t="s">
        <v>1284</v>
      </c>
      <c r="C401" s="45" t="s">
        <v>615</v>
      </c>
      <c r="D401" s="46" t="s">
        <v>688</v>
      </c>
      <c r="E401" s="71" t="s">
        <v>1112</v>
      </c>
      <c r="F401" s="45"/>
      <c r="G401" s="48" t="s">
        <v>452</v>
      </c>
      <c r="H401" s="49">
        <v>1</v>
      </c>
      <c r="I401" s="49">
        <v>1</v>
      </c>
      <c r="J401" s="46" t="s">
        <v>536</v>
      </c>
      <c r="K401" s="46"/>
    </row>
    <row r="402" spans="1:11">
      <c r="A402" s="50">
        <f t="shared" si="6"/>
        <v>401</v>
      </c>
      <c r="B402" s="50" t="s">
        <v>1284</v>
      </c>
      <c r="C402" s="50" t="s">
        <v>615</v>
      </c>
      <c r="D402" s="51" t="s">
        <v>690</v>
      </c>
      <c r="E402" s="72" t="s">
        <v>1114</v>
      </c>
      <c r="F402" s="50"/>
      <c r="G402" s="53" t="s">
        <v>452</v>
      </c>
      <c r="H402" s="54">
        <v>1</v>
      </c>
      <c r="I402" s="50" t="s">
        <v>1021</v>
      </c>
      <c r="J402" s="51" t="s">
        <v>536</v>
      </c>
      <c r="K402" s="51"/>
    </row>
    <row r="403" spans="1:11">
      <c r="A403" s="50">
        <f t="shared" si="6"/>
        <v>402</v>
      </c>
      <c r="B403" s="50" t="s">
        <v>1284</v>
      </c>
      <c r="C403" s="50" t="s">
        <v>615</v>
      </c>
      <c r="D403" s="51" t="s">
        <v>1357</v>
      </c>
      <c r="E403" s="72" t="s">
        <v>662</v>
      </c>
      <c r="F403" s="50"/>
      <c r="G403" s="53" t="s">
        <v>452</v>
      </c>
      <c r="H403" s="54">
        <v>1</v>
      </c>
      <c r="I403" s="50"/>
      <c r="J403" s="51" t="s">
        <v>536</v>
      </c>
      <c r="K403" s="51" t="s">
        <v>1017</v>
      </c>
    </row>
    <row r="404" spans="1:11" ht="48">
      <c r="A404" s="45">
        <f t="shared" si="6"/>
        <v>403</v>
      </c>
      <c r="B404" s="45" t="s">
        <v>1284</v>
      </c>
      <c r="C404" s="45" t="s">
        <v>615</v>
      </c>
      <c r="D404" s="46" t="s">
        <v>712</v>
      </c>
      <c r="E404" s="71" t="s">
        <v>668</v>
      </c>
      <c r="F404" s="45"/>
      <c r="G404" s="48" t="s">
        <v>452</v>
      </c>
      <c r="H404" s="49">
        <v>1</v>
      </c>
      <c r="I404" s="69" t="s">
        <v>1358</v>
      </c>
      <c r="J404" s="46" t="s">
        <v>536</v>
      </c>
      <c r="K404" s="46" t="s">
        <v>1017</v>
      </c>
    </row>
    <row r="405" spans="1:11" ht="24">
      <c r="A405" s="50">
        <f t="shared" si="6"/>
        <v>404</v>
      </c>
      <c r="B405" s="50" t="s">
        <v>1284</v>
      </c>
      <c r="C405" s="50" t="s">
        <v>615</v>
      </c>
      <c r="D405" s="51" t="s">
        <v>714</v>
      </c>
      <c r="E405" s="72" t="s">
        <v>677</v>
      </c>
      <c r="F405" s="50"/>
      <c r="G405" s="48" t="s">
        <v>452</v>
      </c>
      <c r="H405" s="54">
        <v>1</v>
      </c>
      <c r="I405" s="73" t="s">
        <v>1359</v>
      </c>
      <c r="J405" s="51" t="s">
        <v>536</v>
      </c>
      <c r="K405" s="51" t="s">
        <v>1017</v>
      </c>
    </row>
    <row r="406" spans="1:11">
      <c r="A406" s="45">
        <f t="shared" si="6"/>
        <v>405</v>
      </c>
      <c r="B406" s="45" t="s">
        <v>1284</v>
      </c>
      <c r="C406" s="45" t="s">
        <v>615</v>
      </c>
      <c r="D406" s="46" t="s">
        <v>716</v>
      </c>
      <c r="E406" s="71" t="s">
        <v>674</v>
      </c>
      <c r="F406" s="45"/>
      <c r="G406" s="48" t="s">
        <v>452</v>
      </c>
      <c r="H406" s="49">
        <v>1</v>
      </c>
      <c r="I406" s="45" t="s">
        <v>1360</v>
      </c>
      <c r="J406" s="46" t="s">
        <v>536</v>
      </c>
      <c r="K406" s="46" t="s">
        <v>1017</v>
      </c>
    </row>
    <row r="407" spans="1:11">
      <c r="A407" s="45">
        <f t="shared" si="6"/>
        <v>406</v>
      </c>
      <c r="B407" s="45" t="s">
        <v>1284</v>
      </c>
      <c r="C407" s="45" t="s">
        <v>615</v>
      </c>
      <c r="D407" s="46" t="s">
        <v>1361</v>
      </c>
      <c r="E407" s="71" t="s">
        <v>680</v>
      </c>
      <c r="F407" s="45"/>
      <c r="G407" s="48" t="s">
        <v>452</v>
      </c>
      <c r="H407" s="49">
        <v>1</v>
      </c>
      <c r="I407" s="45" t="s">
        <v>1021</v>
      </c>
      <c r="J407" s="46" t="s">
        <v>536</v>
      </c>
      <c r="K407" s="46"/>
    </row>
    <row r="408" spans="1:11">
      <c r="A408" s="45">
        <f t="shared" si="6"/>
        <v>407</v>
      </c>
      <c r="B408" s="45" t="s">
        <v>1284</v>
      </c>
      <c r="C408" s="45" t="s">
        <v>615</v>
      </c>
      <c r="D408" s="46" t="s">
        <v>719</v>
      </c>
      <c r="E408" s="71" t="s">
        <v>1362</v>
      </c>
      <c r="F408" s="45"/>
      <c r="G408" s="48" t="s">
        <v>452</v>
      </c>
      <c r="H408" s="49">
        <v>1</v>
      </c>
      <c r="I408" s="45" t="s">
        <v>1021</v>
      </c>
      <c r="J408" s="46" t="s">
        <v>536</v>
      </c>
      <c r="K408" s="46"/>
    </row>
    <row r="409" spans="1:11">
      <c r="A409" s="45">
        <f t="shared" si="6"/>
        <v>408</v>
      </c>
      <c r="B409" s="45" t="s">
        <v>1284</v>
      </c>
      <c r="C409" s="45" t="s">
        <v>615</v>
      </c>
      <c r="D409" s="46" t="s">
        <v>722</v>
      </c>
      <c r="E409" s="71" t="s">
        <v>1363</v>
      </c>
      <c r="F409" s="45"/>
      <c r="G409" s="48" t="s">
        <v>452</v>
      </c>
      <c r="H409" s="49">
        <v>1</v>
      </c>
      <c r="I409" s="45" t="s">
        <v>1021</v>
      </c>
      <c r="J409" s="46" t="s">
        <v>536</v>
      </c>
      <c r="K409" s="46"/>
    </row>
    <row r="410" spans="1:11">
      <c r="A410" s="45">
        <f t="shared" si="6"/>
        <v>409</v>
      </c>
      <c r="B410" s="45" t="s">
        <v>1284</v>
      </c>
      <c r="C410" s="45" t="s">
        <v>615</v>
      </c>
      <c r="D410" s="46" t="s">
        <v>725</v>
      </c>
      <c r="E410" s="71" t="s">
        <v>686</v>
      </c>
      <c r="F410" s="45"/>
      <c r="G410" s="48" t="s">
        <v>452</v>
      </c>
      <c r="H410" s="49">
        <v>1</v>
      </c>
      <c r="I410" s="45" t="s">
        <v>1364</v>
      </c>
      <c r="J410" s="46" t="s">
        <v>536</v>
      </c>
      <c r="K410" s="46" t="s">
        <v>1017</v>
      </c>
    </row>
    <row r="411" spans="1:11">
      <c r="A411" s="45">
        <f t="shared" si="6"/>
        <v>410</v>
      </c>
      <c r="B411" s="45" t="s">
        <v>1284</v>
      </c>
      <c r="C411" s="45" t="s">
        <v>615</v>
      </c>
      <c r="D411" s="46" t="s">
        <v>728</v>
      </c>
      <c r="E411" s="71" t="s">
        <v>671</v>
      </c>
      <c r="F411" s="45"/>
      <c r="G411" s="48" t="s">
        <v>452</v>
      </c>
      <c r="H411" s="49">
        <v>1</v>
      </c>
      <c r="I411" s="45" t="s">
        <v>1021</v>
      </c>
      <c r="J411" s="46" t="s">
        <v>536</v>
      </c>
      <c r="K411" s="46"/>
    </row>
    <row r="412" spans="1:11" ht="36">
      <c r="A412" s="45">
        <f t="shared" si="6"/>
        <v>411</v>
      </c>
      <c r="B412" s="45" t="s">
        <v>1284</v>
      </c>
      <c r="C412" s="45" t="s">
        <v>615</v>
      </c>
      <c r="D412" s="46" t="s">
        <v>731</v>
      </c>
      <c r="E412" s="71" t="s">
        <v>683</v>
      </c>
      <c r="F412" s="45"/>
      <c r="G412" s="48" t="s">
        <v>452</v>
      </c>
      <c r="H412" s="49">
        <v>1</v>
      </c>
      <c r="I412" s="69" t="s">
        <v>1365</v>
      </c>
      <c r="J412" s="46" t="s">
        <v>536</v>
      </c>
      <c r="K412" s="46" t="s">
        <v>1017</v>
      </c>
    </row>
    <row r="413" spans="1:11">
      <c r="A413" s="45">
        <f t="shared" si="6"/>
        <v>412</v>
      </c>
      <c r="B413" s="45" t="s">
        <v>1284</v>
      </c>
      <c r="C413" s="45" t="s">
        <v>615</v>
      </c>
      <c r="D413" s="46" t="s">
        <v>1133</v>
      </c>
      <c r="E413" s="71" t="s">
        <v>1366</v>
      </c>
      <c r="F413" s="45"/>
      <c r="G413" s="48" t="s">
        <v>452</v>
      </c>
      <c r="H413" s="49">
        <v>1</v>
      </c>
      <c r="I413" s="45" t="s">
        <v>1021</v>
      </c>
      <c r="J413" s="46" t="s">
        <v>536</v>
      </c>
      <c r="K413" s="46"/>
    </row>
    <row r="414" spans="1:11">
      <c r="A414" s="45">
        <f t="shared" si="6"/>
        <v>413</v>
      </c>
      <c r="B414" s="45" t="s">
        <v>1284</v>
      </c>
      <c r="C414" s="45" t="s">
        <v>615</v>
      </c>
      <c r="D414" s="46" t="s">
        <v>1367</v>
      </c>
      <c r="E414" s="71" t="s">
        <v>701</v>
      </c>
      <c r="F414" s="45"/>
      <c r="G414" s="48" t="s">
        <v>452</v>
      </c>
      <c r="H414" s="49">
        <v>1</v>
      </c>
      <c r="I414" s="45" t="s">
        <v>1021</v>
      </c>
      <c r="J414" s="46" t="s">
        <v>536</v>
      </c>
      <c r="K414" s="46"/>
    </row>
    <row r="415" spans="1:11">
      <c r="A415" s="50">
        <f t="shared" si="6"/>
        <v>414</v>
      </c>
      <c r="B415" s="50" t="s">
        <v>1284</v>
      </c>
      <c r="C415" s="50" t="s">
        <v>615</v>
      </c>
      <c r="D415" s="51" t="s">
        <v>1368</v>
      </c>
      <c r="E415" s="72" t="s">
        <v>1369</v>
      </c>
      <c r="F415" s="50"/>
      <c r="G415" s="53" t="s">
        <v>514</v>
      </c>
      <c r="H415" s="54">
        <v>1</v>
      </c>
      <c r="I415" s="50" t="s">
        <v>1356</v>
      </c>
      <c r="J415" s="51" t="s">
        <v>536</v>
      </c>
      <c r="K415" s="51"/>
    </row>
    <row r="416" spans="1:11">
      <c r="A416" s="45">
        <f t="shared" si="6"/>
        <v>415</v>
      </c>
      <c r="B416" s="45" t="s">
        <v>1284</v>
      </c>
      <c r="C416" s="45" t="s">
        <v>615</v>
      </c>
      <c r="D416" s="46" t="s">
        <v>1370</v>
      </c>
      <c r="E416" s="71" t="s">
        <v>707</v>
      </c>
      <c r="F416" s="45"/>
      <c r="G416" s="48" t="s">
        <v>452</v>
      </c>
      <c r="H416" s="49">
        <v>1</v>
      </c>
      <c r="I416" s="45" t="s">
        <v>1021</v>
      </c>
      <c r="J416" s="46" t="s">
        <v>536</v>
      </c>
      <c r="K416" s="46"/>
    </row>
    <row r="417" spans="1:11">
      <c r="A417" s="45">
        <f t="shared" si="6"/>
        <v>416</v>
      </c>
      <c r="B417" s="45" t="s">
        <v>1284</v>
      </c>
      <c r="C417" s="45" t="s">
        <v>615</v>
      </c>
      <c r="D417" s="46" t="s">
        <v>1371</v>
      </c>
      <c r="E417" s="71" t="s">
        <v>1372</v>
      </c>
      <c r="F417" s="45"/>
      <c r="G417" s="48" t="s">
        <v>452</v>
      </c>
      <c r="H417" s="49">
        <v>1</v>
      </c>
      <c r="I417" s="45" t="s">
        <v>1021</v>
      </c>
      <c r="J417" s="46" t="s">
        <v>536</v>
      </c>
      <c r="K417" s="46"/>
    </row>
    <row r="418" spans="1:11">
      <c r="A418" s="45">
        <f t="shared" si="6"/>
        <v>417</v>
      </c>
      <c r="B418" s="45" t="s">
        <v>1284</v>
      </c>
      <c r="C418" s="45" t="s">
        <v>615</v>
      </c>
      <c r="D418" s="46" t="s">
        <v>1373</v>
      </c>
      <c r="E418" s="71" t="s">
        <v>1161</v>
      </c>
      <c r="F418" s="45"/>
      <c r="G418" s="48" t="s">
        <v>452</v>
      </c>
      <c r="H418" s="49">
        <v>1</v>
      </c>
      <c r="I418" s="45" t="s">
        <v>1021</v>
      </c>
      <c r="J418" s="46" t="s">
        <v>536</v>
      </c>
      <c r="K418" s="46"/>
    </row>
    <row r="419" spans="1:11">
      <c r="A419" s="45">
        <f t="shared" si="6"/>
        <v>418</v>
      </c>
      <c r="B419" s="45" t="s">
        <v>1284</v>
      </c>
      <c r="C419" s="45" t="s">
        <v>615</v>
      </c>
      <c r="D419" s="46" t="s">
        <v>1148</v>
      </c>
      <c r="E419" s="71" t="s">
        <v>1374</v>
      </c>
      <c r="F419" s="45"/>
      <c r="G419" s="48" t="s">
        <v>452</v>
      </c>
      <c r="H419" s="49">
        <v>1</v>
      </c>
      <c r="I419" s="45" t="s">
        <v>1021</v>
      </c>
      <c r="J419" s="46" t="s">
        <v>536</v>
      </c>
      <c r="K419" s="46"/>
    </row>
    <row r="420" spans="1:11">
      <c r="A420" s="45">
        <f t="shared" si="6"/>
        <v>419</v>
      </c>
      <c r="B420" s="45" t="s">
        <v>1284</v>
      </c>
      <c r="C420" s="45" t="s">
        <v>615</v>
      </c>
      <c r="D420" s="46" t="s">
        <v>1152</v>
      </c>
      <c r="E420" s="71" t="s">
        <v>1149</v>
      </c>
      <c r="F420" s="45"/>
      <c r="G420" s="48" t="s">
        <v>452</v>
      </c>
      <c r="H420" s="49">
        <v>1</v>
      </c>
      <c r="I420" s="45" t="s">
        <v>1021</v>
      </c>
      <c r="J420" s="46" t="s">
        <v>536</v>
      </c>
      <c r="K420" s="46"/>
    </row>
    <row r="421" spans="1:11">
      <c r="A421" s="45">
        <f t="shared" si="6"/>
        <v>420</v>
      </c>
      <c r="B421" s="45" t="s">
        <v>1284</v>
      </c>
      <c r="C421" s="45" t="s">
        <v>615</v>
      </c>
      <c r="D421" s="46" t="s">
        <v>1156</v>
      </c>
      <c r="E421" s="71" t="s">
        <v>1375</v>
      </c>
      <c r="F421" s="45"/>
      <c r="G421" s="48" t="s">
        <v>452</v>
      </c>
      <c r="H421" s="49">
        <v>1</v>
      </c>
      <c r="I421" s="45" t="s">
        <v>1021</v>
      </c>
      <c r="J421" s="46" t="s">
        <v>536</v>
      </c>
      <c r="K421" s="46"/>
    </row>
    <row r="422" spans="1:11">
      <c r="A422" s="45">
        <f t="shared" si="6"/>
        <v>421</v>
      </c>
      <c r="B422" s="45" t="s">
        <v>1284</v>
      </c>
      <c r="C422" s="45" t="s">
        <v>615</v>
      </c>
      <c r="D422" s="46" t="s">
        <v>1158</v>
      </c>
      <c r="E422" s="71" t="s">
        <v>1151</v>
      </c>
      <c r="F422" s="45"/>
      <c r="G422" s="48" t="s">
        <v>452</v>
      </c>
      <c r="H422" s="49">
        <v>1</v>
      </c>
      <c r="I422" s="45" t="s">
        <v>1021</v>
      </c>
      <c r="J422" s="46" t="s">
        <v>536</v>
      </c>
      <c r="K422" s="46"/>
    </row>
    <row r="423" spans="1:11">
      <c r="A423" s="45">
        <f t="shared" si="6"/>
        <v>422</v>
      </c>
      <c r="B423" s="45" t="s">
        <v>1284</v>
      </c>
      <c r="C423" s="45" t="s">
        <v>615</v>
      </c>
      <c r="D423" s="46" t="s">
        <v>1160</v>
      </c>
      <c r="E423" s="71" t="s">
        <v>1376</v>
      </c>
      <c r="F423" s="45"/>
      <c r="G423" s="48" t="s">
        <v>452</v>
      </c>
      <c r="H423" s="49">
        <v>1</v>
      </c>
      <c r="I423" s="45" t="s">
        <v>1021</v>
      </c>
      <c r="J423" s="46" t="s">
        <v>536</v>
      </c>
      <c r="K423" s="46"/>
    </row>
    <row r="424" spans="1:11">
      <c r="A424" s="45">
        <f t="shared" si="6"/>
        <v>423</v>
      </c>
      <c r="B424" s="45" t="s">
        <v>1284</v>
      </c>
      <c r="C424" s="45" t="s">
        <v>615</v>
      </c>
      <c r="D424" s="46" t="s">
        <v>1377</v>
      </c>
      <c r="E424" s="71" t="s">
        <v>1378</v>
      </c>
      <c r="F424" s="45"/>
      <c r="G424" s="48" t="s">
        <v>452</v>
      </c>
      <c r="H424" s="49">
        <v>1</v>
      </c>
      <c r="I424" s="45" t="s">
        <v>1346</v>
      </c>
      <c r="J424" s="46" t="s">
        <v>536</v>
      </c>
      <c r="K424" s="46" t="s">
        <v>1017</v>
      </c>
    </row>
    <row r="425" spans="1:11">
      <c r="A425" s="50">
        <f t="shared" si="6"/>
        <v>424</v>
      </c>
      <c r="B425" s="50" t="s">
        <v>1284</v>
      </c>
      <c r="C425" s="50" t="s">
        <v>615</v>
      </c>
      <c r="D425" s="51" t="s">
        <v>1379</v>
      </c>
      <c r="E425" s="72" t="s">
        <v>1380</v>
      </c>
      <c r="F425" s="50"/>
      <c r="G425" s="53" t="s">
        <v>514</v>
      </c>
      <c r="H425" s="54">
        <v>1</v>
      </c>
      <c r="I425" s="50"/>
      <c r="J425" s="51" t="s">
        <v>536</v>
      </c>
      <c r="K425" s="51"/>
    </row>
    <row r="426" spans="1:11">
      <c r="A426" s="45">
        <f t="shared" si="6"/>
        <v>425</v>
      </c>
      <c r="B426" s="45" t="s">
        <v>1284</v>
      </c>
      <c r="C426" s="45" t="s">
        <v>615</v>
      </c>
      <c r="D426" s="46" t="s">
        <v>1381</v>
      </c>
      <c r="E426" s="71" t="s">
        <v>677</v>
      </c>
      <c r="F426" s="45"/>
      <c r="G426" s="48" t="s">
        <v>452</v>
      </c>
      <c r="H426" s="49">
        <v>1</v>
      </c>
      <c r="I426" s="45" t="s">
        <v>1021</v>
      </c>
      <c r="J426" s="46" t="s">
        <v>536</v>
      </c>
      <c r="K426" s="46"/>
    </row>
    <row r="427" spans="1:11">
      <c r="A427" s="45">
        <f t="shared" si="6"/>
        <v>426</v>
      </c>
      <c r="B427" s="45" t="s">
        <v>1284</v>
      </c>
      <c r="C427" s="45" t="s">
        <v>615</v>
      </c>
      <c r="D427" s="46" t="s">
        <v>1382</v>
      </c>
      <c r="E427" s="71" t="s">
        <v>1383</v>
      </c>
      <c r="F427" s="45"/>
      <c r="G427" s="48" t="s">
        <v>452</v>
      </c>
      <c r="H427" s="49">
        <v>1</v>
      </c>
      <c r="I427" s="45"/>
      <c r="J427" s="46" t="s">
        <v>536</v>
      </c>
      <c r="K427" s="46" t="s">
        <v>1017</v>
      </c>
    </row>
    <row r="428" spans="1:11">
      <c r="A428" s="45">
        <f t="shared" si="6"/>
        <v>427</v>
      </c>
      <c r="B428" s="45" t="s">
        <v>1284</v>
      </c>
      <c r="C428" s="45" t="s">
        <v>615</v>
      </c>
      <c r="D428" s="46" t="s">
        <v>1384</v>
      </c>
      <c r="E428" s="71" t="s">
        <v>1385</v>
      </c>
      <c r="F428" s="45"/>
      <c r="G428" s="48" t="s">
        <v>452</v>
      </c>
      <c r="H428" s="49">
        <v>1</v>
      </c>
      <c r="I428" s="45" t="s">
        <v>1021</v>
      </c>
      <c r="J428" s="46" t="s">
        <v>536</v>
      </c>
      <c r="K428" s="46"/>
    </row>
    <row r="429" spans="1:11">
      <c r="A429" s="45">
        <f t="shared" si="6"/>
        <v>428</v>
      </c>
      <c r="B429" s="45" t="s">
        <v>1284</v>
      </c>
      <c r="C429" s="45" t="s">
        <v>734</v>
      </c>
      <c r="D429" s="46" t="s">
        <v>735</v>
      </c>
      <c r="E429" s="71" t="s">
        <v>1386</v>
      </c>
      <c r="F429" s="45" t="s">
        <v>1387</v>
      </c>
      <c r="G429" s="48" t="s">
        <v>452</v>
      </c>
      <c r="H429" s="49">
        <v>1</v>
      </c>
      <c r="I429" s="45" t="s">
        <v>1021</v>
      </c>
      <c r="J429" s="46" t="s">
        <v>739</v>
      </c>
      <c r="K429" s="46"/>
    </row>
    <row r="430" spans="1:11">
      <c r="A430" s="45">
        <f t="shared" si="6"/>
        <v>429</v>
      </c>
      <c r="B430" s="45" t="s">
        <v>1284</v>
      </c>
      <c r="C430" s="45" t="s">
        <v>734</v>
      </c>
      <c r="D430" s="46" t="s">
        <v>1388</v>
      </c>
      <c r="E430" s="71" t="s">
        <v>1389</v>
      </c>
      <c r="F430" s="45" t="s">
        <v>1390</v>
      </c>
      <c r="G430" s="48" t="s">
        <v>452</v>
      </c>
      <c r="H430" s="49">
        <v>1</v>
      </c>
      <c r="I430" s="45" t="s">
        <v>1021</v>
      </c>
      <c r="J430" s="46" t="s">
        <v>739</v>
      </c>
      <c r="K430" s="46"/>
    </row>
    <row r="431" spans="1:11">
      <c r="A431" s="45">
        <f t="shared" si="6"/>
        <v>430</v>
      </c>
      <c r="B431" s="45" t="s">
        <v>1284</v>
      </c>
      <c r="C431" s="45" t="s">
        <v>734</v>
      </c>
      <c r="D431" s="46" t="s">
        <v>745</v>
      </c>
      <c r="E431" s="71" t="s">
        <v>1391</v>
      </c>
      <c r="F431" s="45" t="s">
        <v>1392</v>
      </c>
      <c r="G431" s="48" t="s">
        <v>452</v>
      </c>
      <c r="H431" s="49">
        <v>1</v>
      </c>
      <c r="I431" s="45" t="s">
        <v>1021</v>
      </c>
      <c r="J431" s="46" t="s">
        <v>739</v>
      </c>
      <c r="K431" s="46"/>
    </row>
    <row r="432" spans="1:11">
      <c r="A432" s="45">
        <f t="shared" si="6"/>
        <v>431</v>
      </c>
      <c r="B432" s="45" t="s">
        <v>1284</v>
      </c>
      <c r="C432" s="45" t="s">
        <v>734</v>
      </c>
      <c r="D432" s="46" t="s">
        <v>748</v>
      </c>
      <c r="E432" s="71" t="s">
        <v>1393</v>
      </c>
      <c r="F432" s="45" t="s">
        <v>1394</v>
      </c>
      <c r="G432" s="48" t="s">
        <v>452</v>
      </c>
      <c r="H432" s="49">
        <v>1</v>
      </c>
      <c r="I432" s="45" t="s">
        <v>1021</v>
      </c>
      <c r="J432" s="46" t="s">
        <v>739</v>
      </c>
      <c r="K432" s="46"/>
    </row>
    <row r="433" spans="1:11">
      <c r="A433" s="45">
        <f t="shared" si="6"/>
        <v>432</v>
      </c>
      <c r="B433" s="45" t="s">
        <v>1284</v>
      </c>
      <c r="C433" s="45" t="s">
        <v>734</v>
      </c>
      <c r="D433" s="46" t="s">
        <v>753</v>
      </c>
      <c r="E433" s="71" t="s">
        <v>1188</v>
      </c>
      <c r="F433" s="45" t="s">
        <v>1395</v>
      </c>
      <c r="G433" s="48" t="s">
        <v>452</v>
      </c>
      <c r="H433" s="49">
        <v>1</v>
      </c>
      <c r="I433" s="45" t="s">
        <v>1021</v>
      </c>
      <c r="J433" s="46" t="s">
        <v>739</v>
      </c>
      <c r="K433" s="46"/>
    </row>
    <row r="434" spans="1:11">
      <c r="A434" s="45">
        <f t="shared" si="6"/>
        <v>433</v>
      </c>
      <c r="B434" s="45" t="s">
        <v>1284</v>
      </c>
      <c r="C434" s="45" t="s">
        <v>734</v>
      </c>
      <c r="D434" s="46" t="s">
        <v>756</v>
      </c>
      <c r="E434" s="71" t="s">
        <v>776</v>
      </c>
      <c r="F434" s="45" t="s">
        <v>769</v>
      </c>
      <c r="G434" s="48" t="s">
        <v>452</v>
      </c>
      <c r="H434" s="49">
        <v>1</v>
      </c>
      <c r="I434" s="45" t="s">
        <v>1021</v>
      </c>
      <c r="J434" s="46" t="s">
        <v>739</v>
      </c>
      <c r="K434" s="46"/>
    </row>
    <row r="435" spans="1:11">
      <c r="A435" s="45">
        <f t="shared" si="6"/>
        <v>434</v>
      </c>
      <c r="B435" s="45" t="s">
        <v>1284</v>
      </c>
      <c r="C435" s="45" t="s">
        <v>734</v>
      </c>
      <c r="D435" s="46" t="s">
        <v>760</v>
      </c>
      <c r="E435" s="71" t="s">
        <v>771</v>
      </c>
      <c r="F435" s="45" t="s">
        <v>1396</v>
      </c>
      <c r="G435" s="48" t="s">
        <v>452</v>
      </c>
      <c r="H435" s="49">
        <v>1</v>
      </c>
      <c r="I435" s="45" t="s">
        <v>1021</v>
      </c>
      <c r="J435" s="46" t="s">
        <v>739</v>
      </c>
      <c r="K435" s="46"/>
    </row>
    <row r="436" spans="1:11">
      <c r="A436" s="45">
        <f t="shared" si="6"/>
        <v>435</v>
      </c>
      <c r="B436" s="45" t="s">
        <v>1284</v>
      </c>
      <c r="C436" s="45" t="s">
        <v>734</v>
      </c>
      <c r="D436" s="46" t="s">
        <v>764</v>
      </c>
      <c r="E436" s="71" t="s">
        <v>812</v>
      </c>
      <c r="F436" s="45" t="s">
        <v>603</v>
      </c>
      <c r="G436" s="48" t="s">
        <v>452</v>
      </c>
      <c r="H436" s="49">
        <v>1</v>
      </c>
      <c r="I436" s="45" t="s">
        <v>1356</v>
      </c>
      <c r="J436" s="46" t="s">
        <v>774</v>
      </c>
      <c r="K436" s="46"/>
    </row>
    <row r="437" spans="1:11">
      <c r="A437" s="45">
        <f t="shared" si="6"/>
        <v>436</v>
      </c>
      <c r="B437" s="45" t="s">
        <v>1284</v>
      </c>
      <c r="C437" s="45" t="s">
        <v>734</v>
      </c>
      <c r="D437" s="46" t="s">
        <v>767</v>
      </c>
      <c r="E437" s="71" t="s">
        <v>789</v>
      </c>
      <c r="F437" s="45" t="s">
        <v>603</v>
      </c>
      <c r="G437" s="48" t="s">
        <v>452</v>
      </c>
      <c r="H437" s="49">
        <v>1</v>
      </c>
      <c r="I437" s="45" t="s">
        <v>1356</v>
      </c>
      <c r="J437" s="46" t="s">
        <v>774</v>
      </c>
      <c r="K437" s="46"/>
    </row>
    <row r="438" spans="1:11">
      <c r="A438" s="45">
        <f t="shared" si="6"/>
        <v>437</v>
      </c>
      <c r="B438" s="45" t="s">
        <v>1284</v>
      </c>
      <c r="C438" s="45" t="s">
        <v>734</v>
      </c>
      <c r="D438" s="46" t="s">
        <v>770</v>
      </c>
      <c r="E438" s="71" t="s">
        <v>1397</v>
      </c>
      <c r="F438" s="45" t="s">
        <v>603</v>
      </c>
      <c r="G438" s="48" t="s">
        <v>452</v>
      </c>
      <c r="H438" s="49">
        <v>1</v>
      </c>
      <c r="I438" s="45" t="s">
        <v>1356</v>
      </c>
      <c r="J438" s="46" t="s">
        <v>774</v>
      </c>
      <c r="K438" s="46"/>
    </row>
    <row r="439" spans="1:11">
      <c r="A439" s="45">
        <f t="shared" si="6"/>
        <v>438</v>
      </c>
      <c r="B439" s="45" t="s">
        <v>1284</v>
      </c>
      <c r="C439" s="45" t="s">
        <v>734</v>
      </c>
      <c r="D439" s="46" t="s">
        <v>775</v>
      </c>
      <c r="E439" s="71" t="s">
        <v>1398</v>
      </c>
      <c r="F439" s="45" t="s">
        <v>603</v>
      </c>
      <c r="G439" s="48" t="s">
        <v>452</v>
      </c>
      <c r="H439" s="49">
        <v>1</v>
      </c>
      <c r="I439" s="45" t="s">
        <v>1356</v>
      </c>
      <c r="J439" s="46" t="s">
        <v>774</v>
      </c>
      <c r="K439" s="46"/>
    </row>
    <row r="440" spans="1:11">
      <c r="A440" s="45">
        <f t="shared" si="6"/>
        <v>439</v>
      </c>
      <c r="B440" s="45" t="s">
        <v>1284</v>
      </c>
      <c r="C440" s="45" t="s">
        <v>734</v>
      </c>
      <c r="D440" s="46" t="s">
        <v>778</v>
      </c>
      <c r="E440" s="71" t="s">
        <v>786</v>
      </c>
      <c r="F440" s="45" t="s">
        <v>603</v>
      </c>
      <c r="G440" s="48" t="s">
        <v>452</v>
      </c>
      <c r="H440" s="49">
        <v>1</v>
      </c>
      <c r="I440" s="45" t="s">
        <v>1021</v>
      </c>
      <c r="J440" s="46" t="s">
        <v>774</v>
      </c>
      <c r="K440" s="46"/>
    </row>
    <row r="441" spans="1:11">
      <c r="A441" s="45">
        <f t="shared" si="6"/>
        <v>440</v>
      </c>
      <c r="B441" s="45" t="s">
        <v>1284</v>
      </c>
      <c r="C441" s="45" t="s">
        <v>734</v>
      </c>
      <c r="D441" s="46" t="s">
        <v>785</v>
      </c>
      <c r="E441" s="71" t="s">
        <v>1399</v>
      </c>
      <c r="F441" s="45" t="s">
        <v>603</v>
      </c>
      <c r="G441" s="48" t="s">
        <v>452</v>
      </c>
      <c r="H441" s="49">
        <v>1</v>
      </c>
      <c r="I441" s="45" t="s">
        <v>1356</v>
      </c>
      <c r="J441" s="46" t="s">
        <v>774</v>
      </c>
      <c r="K441" s="46"/>
    </row>
    <row r="442" spans="1:11">
      <c r="A442" s="45">
        <f t="shared" si="6"/>
        <v>441</v>
      </c>
      <c r="B442" s="45" t="s">
        <v>1284</v>
      </c>
      <c r="C442" s="45" t="s">
        <v>734</v>
      </c>
      <c r="D442" s="46" t="s">
        <v>788</v>
      </c>
      <c r="E442" s="71" t="s">
        <v>799</v>
      </c>
      <c r="F442" s="45" t="s">
        <v>603</v>
      </c>
      <c r="G442" s="48" t="s">
        <v>452</v>
      </c>
      <c r="H442" s="49">
        <v>1</v>
      </c>
      <c r="I442" s="45" t="s">
        <v>1356</v>
      </c>
      <c r="J442" s="46" t="s">
        <v>774</v>
      </c>
      <c r="K442" s="46"/>
    </row>
    <row r="443" spans="1:11">
      <c r="A443" s="45">
        <f t="shared" si="6"/>
        <v>442</v>
      </c>
      <c r="B443" s="45" t="s">
        <v>1284</v>
      </c>
      <c r="C443" s="45" t="s">
        <v>734</v>
      </c>
      <c r="D443" s="46" t="s">
        <v>790</v>
      </c>
      <c r="E443" s="71" t="s">
        <v>823</v>
      </c>
      <c r="F443" s="45" t="s">
        <v>603</v>
      </c>
      <c r="G443" s="48" t="s">
        <v>452</v>
      </c>
      <c r="H443" s="49">
        <v>1</v>
      </c>
      <c r="I443" s="45" t="s">
        <v>1356</v>
      </c>
      <c r="J443" s="46" t="s">
        <v>774</v>
      </c>
      <c r="K443" s="46"/>
    </row>
    <row r="444" spans="1:11">
      <c r="A444" s="45">
        <f t="shared" si="6"/>
        <v>443</v>
      </c>
      <c r="B444" s="45" t="s">
        <v>1284</v>
      </c>
      <c r="C444" s="45" t="s">
        <v>734</v>
      </c>
      <c r="D444" s="46" t="s">
        <v>794</v>
      </c>
      <c r="E444" s="71" t="s">
        <v>819</v>
      </c>
      <c r="F444" s="45" t="s">
        <v>603</v>
      </c>
      <c r="G444" s="48" t="s">
        <v>452</v>
      </c>
      <c r="H444" s="49">
        <v>1</v>
      </c>
      <c r="I444" s="45" t="s">
        <v>1356</v>
      </c>
      <c r="J444" s="46" t="s">
        <v>774</v>
      </c>
      <c r="K444" s="46"/>
    </row>
    <row r="445" spans="1:11">
      <c r="A445" s="45">
        <f t="shared" si="6"/>
        <v>444</v>
      </c>
      <c r="B445" s="45" t="s">
        <v>1284</v>
      </c>
      <c r="C445" s="45" t="s">
        <v>734</v>
      </c>
      <c r="D445" s="46" t="s">
        <v>798</v>
      </c>
      <c r="E445" s="71" t="s">
        <v>821</v>
      </c>
      <c r="F445" s="45" t="s">
        <v>603</v>
      </c>
      <c r="G445" s="48" t="s">
        <v>452</v>
      </c>
      <c r="H445" s="49">
        <v>1</v>
      </c>
      <c r="I445" s="45" t="s">
        <v>1356</v>
      </c>
      <c r="J445" s="46" t="s">
        <v>774</v>
      </c>
      <c r="K445" s="46"/>
    </row>
    <row r="446" spans="1:11">
      <c r="A446" s="45">
        <f t="shared" si="6"/>
        <v>445</v>
      </c>
      <c r="B446" s="45" t="s">
        <v>1284</v>
      </c>
      <c r="C446" s="45" t="s">
        <v>734</v>
      </c>
      <c r="D446" s="46" t="s">
        <v>802</v>
      </c>
      <c r="E446" s="71" t="s">
        <v>1400</v>
      </c>
      <c r="F446" s="45" t="s">
        <v>603</v>
      </c>
      <c r="G446" s="48" t="s">
        <v>452</v>
      </c>
      <c r="H446" s="49">
        <v>1</v>
      </c>
      <c r="I446" s="45" t="s">
        <v>1356</v>
      </c>
      <c r="J446" s="46" t="s">
        <v>774</v>
      </c>
      <c r="K446" s="46"/>
    </row>
    <row r="447" spans="1:11">
      <c r="A447" s="45">
        <f t="shared" si="6"/>
        <v>446</v>
      </c>
      <c r="B447" s="45" t="s">
        <v>1284</v>
      </c>
      <c r="C447" s="45" t="s">
        <v>734</v>
      </c>
      <c r="D447" s="46" t="s">
        <v>1401</v>
      </c>
      <c r="E447" s="71" t="s">
        <v>795</v>
      </c>
      <c r="F447" s="45" t="s">
        <v>603</v>
      </c>
      <c r="G447" s="48" t="s">
        <v>452</v>
      </c>
      <c r="H447" s="49">
        <v>1</v>
      </c>
      <c r="I447" s="45" t="s">
        <v>1021</v>
      </c>
      <c r="J447" s="46" t="s">
        <v>739</v>
      </c>
      <c r="K447" s="46"/>
    </row>
    <row r="448" spans="1:11">
      <c r="A448" s="45">
        <f t="shared" si="6"/>
        <v>447</v>
      </c>
      <c r="B448" s="45" t="s">
        <v>1284</v>
      </c>
      <c r="C448" s="45" t="s">
        <v>840</v>
      </c>
      <c r="D448" s="46" t="s">
        <v>841</v>
      </c>
      <c r="E448" s="71" t="s">
        <v>1402</v>
      </c>
      <c r="F448" s="45"/>
      <c r="G448" s="48" t="s">
        <v>452</v>
      </c>
      <c r="H448" s="49">
        <v>1</v>
      </c>
      <c r="I448" s="45" t="s">
        <v>1021</v>
      </c>
      <c r="J448" s="46" t="s">
        <v>739</v>
      </c>
      <c r="K448" s="46"/>
    </row>
    <row r="449" spans="1:11">
      <c r="A449" s="45">
        <f t="shared" si="6"/>
        <v>448</v>
      </c>
      <c r="B449" s="45" t="s">
        <v>1284</v>
      </c>
      <c r="C449" s="45" t="s">
        <v>840</v>
      </c>
      <c r="D449" s="46" t="s">
        <v>1403</v>
      </c>
      <c r="E449" s="71" t="s">
        <v>1404</v>
      </c>
      <c r="F449" s="45"/>
      <c r="G449" s="48" t="s">
        <v>452</v>
      </c>
      <c r="H449" s="49">
        <v>1</v>
      </c>
      <c r="I449" s="45" t="s">
        <v>1021</v>
      </c>
      <c r="J449" s="46" t="s">
        <v>739</v>
      </c>
      <c r="K449" s="46"/>
    </row>
    <row r="450" spans="1:11">
      <c r="A450" s="45">
        <f t="shared" si="6"/>
        <v>449</v>
      </c>
      <c r="B450" s="45" t="s">
        <v>1284</v>
      </c>
      <c r="C450" s="45" t="s">
        <v>840</v>
      </c>
      <c r="D450" s="46" t="s">
        <v>1405</v>
      </c>
      <c r="E450" s="71" t="s">
        <v>1406</v>
      </c>
      <c r="F450" s="45"/>
      <c r="G450" s="48" t="s">
        <v>452</v>
      </c>
      <c r="H450" s="49">
        <v>1</v>
      </c>
      <c r="I450" s="45" t="s">
        <v>1021</v>
      </c>
      <c r="J450" s="46" t="s">
        <v>739</v>
      </c>
      <c r="K450" s="46"/>
    </row>
    <row r="451" spans="1:11">
      <c r="A451" s="45">
        <f t="shared" ref="A451:A514" si="7">ROW()-1</f>
        <v>450</v>
      </c>
      <c r="B451" s="45" t="s">
        <v>1284</v>
      </c>
      <c r="C451" s="45" t="s">
        <v>840</v>
      </c>
      <c r="D451" s="46" t="s">
        <v>1407</v>
      </c>
      <c r="E451" s="71" t="s">
        <v>1408</v>
      </c>
      <c r="F451" s="45"/>
      <c r="G451" s="48" t="s">
        <v>452</v>
      </c>
      <c r="H451" s="49">
        <v>1</v>
      </c>
      <c r="I451" s="45" t="s">
        <v>1021</v>
      </c>
      <c r="J451" s="46" t="s">
        <v>739</v>
      </c>
      <c r="K451" s="46"/>
    </row>
    <row r="452" spans="1:11">
      <c r="A452" s="45">
        <f t="shared" si="7"/>
        <v>451</v>
      </c>
      <c r="B452" s="45" t="s">
        <v>1284</v>
      </c>
      <c r="C452" s="45" t="s">
        <v>840</v>
      </c>
      <c r="D452" s="46" t="s">
        <v>1409</v>
      </c>
      <c r="E452" s="71" t="s">
        <v>1410</v>
      </c>
      <c r="F452" s="45"/>
      <c r="G452" s="48" t="s">
        <v>452</v>
      </c>
      <c r="H452" s="49">
        <v>1</v>
      </c>
      <c r="I452" s="45" t="s">
        <v>1021</v>
      </c>
      <c r="J452" s="46" t="s">
        <v>739</v>
      </c>
      <c r="K452" s="46"/>
    </row>
    <row r="453" spans="1:11">
      <c r="A453" s="45">
        <f t="shared" si="7"/>
        <v>452</v>
      </c>
      <c r="B453" s="45" t="s">
        <v>1284</v>
      </c>
      <c r="C453" s="45" t="s">
        <v>840</v>
      </c>
      <c r="D453" s="46" t="s">
        <v>1411</v>
      </c>
      <c r="E453" s="71" t="s">
        <v>1412</v>
      </c>
      <c r="F453" s="45"/>
      <c r="G453" s="48" t="s">
        <v>452</v>
      </c>
      <c r="H453" s="49">
        <v>1</v>
      </c>
      <c r="I453" s="45" t="s">
        <v>1021</v>
      </c>
      <c r="J453" s="46" t="s">
        <v>739</v>
      </c>
      <c r="K453" s="46"/>
    </row>
    <row r="454" spans="1:11">
      <c r="A454" s="45">
        <f t="shared" si="7"/>
        <v>453</v>
      </c>
      <c r="B454" s="45" t="s">
        <v>1284</v>
      </c>
      <c r="C454" s="45" t="s">
        <v>734</v>
      </c>
      <c r="D454" s="46" t="s">
        <v>1413</v>
      </c>
      <c r="E454" s="71" t="s">
        <v>1414</v>
      </c>
      <c r="F454" s="45" t="s">
        <v>1415</v>
      </c>
      <c r="G454" s="48" t="s">
        <v>452</v>
      </c>
      <c r="H454" s="49">
        <v>1</v>
      </c>
      <c r="I454" s="45" t="s">
        <v>1021</v>
      </c>
      <c r="J454" s="46" t="s">
        <v>739</v>
      </c>
      <c r="K454" s="46"/>
    </row>
    <row r="455" spans="1:11">
      <c r="A455" s="45">
        <f t="shared" si="7"/>
        <v>454</v>
      </c>
      <c r="B455" s="45" t="s">
        <v>1284</v>
      </c>
      <c r="C455" s="45" t="s">
        <v>734</v>
      </c>
      <c r="D455" s="46" t="s">
        <v>1416</v>
      </c>
      <c r="E455" s="71" t="s">
        <v>746</v>
      </c>
      <c r="F455" s="45" t="s">
        <v>1417</v>
      </c>
      <c r="G455" s="48" t="s">
        <v>452</v>
      </c>
      <c r="H455" s="49">
        <v>1</v>
      </c>
      <c r="I455" s="45" t="s">
        <v>1021</v>
      </c>
      <c r="J455" s="46" t="s">
        <v>739</v>
      </c>
      <c r="K455" s="46"/>
    </row>
    <row r="456" spans="1:11">
      <c r="A456" s="45">
        <f t="shared" si="7"/>
        <v>455</v>
      </c>
      <c r="B456" s="45" t="s">
        <v>1284</v>
      </c>
      <c r="C456" s="45" t="s">
        <v>734</v>
      </c>
      <c r="D456" s="46" t="s">
        <v>1418</v>
      </c>
      <c r="E456" s="71" t="s">
        <v>1419</v>
      </c>
      <c r="F456" s="45" t="s">
        <v>1420</v>
      </c>
      <c r="G456" s="48" t="s">
        <v>452</v>
      </c>
      <c r="H456" s="49">
        <v>1</v>
      </c>
      <c r="I456" s="45" t="s">
        <v>1021</v>
      </c>
      <c r="J456" s="46" t="s">
        <v>739</v>
      </c>
      <c r="K456" s="46"/>
    </row>
    <row r="457" spans="1:11">
      <c r="A457" s="45">
        <f t="shared" si="7"/>
        <v>456</v>
      </c>
      <c r="B457" s="45" t="s">
        <v>1284</v>
      </c>
      <c r="C457" s="45" t="s">
        <v>843</v>
      </c>
      <c r="D457" s="46" t="s">
        <v>1421</v>
      </c>
      <c r="E457" s="71" t="s">
        <v>1422</v>
      </c>
      <c r="F457" s="45" t="s">
        <v>1423</v>
      </c>
      <c r="G457" s="48" t="s">
        <v>452</v>
      </c>
      <c r="H457" s="49">
        <v>1</v>
      </c>
      <c r="I457" s="45" t="s">
        <v>1021</v>
      </c>
      <c r="J457" s="46" t="s">
        <v>739</v>
      </c>
      <c r="K457" s="46"/>
    </row>
    <row r="458" spans="1:11">
      <c r="A458" s="45">
        <f t="shared" si="7"/>
        <v>457</v>
      </c>
      <c r="B458" s="45" t="s">
        <v>1284</v>
      </c>
      <c r="C458" s="45" t="s">
        <v>843</v>
      </c>
      <c r="D458" s="46" t="s">
        <v>1424</v>
      </c>
      <c r="E458" s="71" t="s">
        <v>1425</v>
      </c>
      <c r="F458" s="45" t="s">
        <v>1426</v>
      </c>
      <c r="G458" s="48" t="s">
        <v>452</v>
      </c>
      <c r="H458" s="49">
        <v>1</v>
      </c>
      <c r="I458" s="45" t="s">
        <v>1427</v>
      </c>
      <c r="J458" s="46" t="s">
        <v>739</v>
      </c>
      <c r="K458" s="46" t="s">
        <v>752</v>
      </c>
    </row>
    <row r="459" spans="1:11">
      <c r="A459" s="45">
        <f t="shared" si="7"/>
        <v>458</v>
      </c>
      <c r="B459" s="45" t="s">
        <v>1284</v>
      </c>
      <c r="C459" s="45" t="s">
        <v>843</v>
      </c>
      <c r="D459" s="46" t="s">
        <v>1216</v>
      </c>
      <c r="E459" s="71" t="s">
        <v>1428</v>
      </c>
      <c r="F459" s="45" t="s">
        <v>603</v>
      </c>
      <c r="G459" s="48" t="s">
        <v>452</v>
      </c>
      <c r="H459" s="49">
        <v>1</v>
      </c>
      <c r="I459" s="45" t="s">
        <v>1356</v>
      </c>
      <c r="J459" s="46" t="s">
        <v>774</v>
      </c>
      <c r="K459" s="46"/>
    </row>
    <row r="460" spans="1:11">
      <c r="A460" s="45">
        <f t="shared" si="7"/>
        <v>459</v>
      </c>
      <c r="B460" s="45" t="s">
        <v>1284</v>
      </c>
      <c r="C460" s="45" t="s">
        <v>843</v>
      </c>
      <c r="D460" s="46" t="s">
        <v>1429</v>
      </c>
      <c r="E460" s="71" t="s">
        <v>1430</v>
      </c>
      <c r="F460" s="45" t="s">
        <v>603</v>
      </c>
      <c r="G460" s="48" t="s">
        <v>452</v>
      </c>
      <c r="H460" s="49">
        <v>1</v>
      </c>
      <c r="I460" s="45" t="s">
        <v>1356</v>
      </c>
      <c r="J460" s="46" t="s">
        <v>774</v>
      </c>
      <c r="K460" s="46"/>
    </row>
    <row r="461" spans="1:11" ht="48">
      <c r="A461" s="45">
        <f t="shared" si="7"/>
        <v>460</v>
      </c>
      <c r="B461" s="45" t="s">
        <v>1284</v>
      </c>
      <c r="C461" s="45" t="s">
        <v>843</v>
      </c>
      <c r="D461" s="46" t="s">
        <v>1218</v>
      </c>
      <c r="E461" s="71" t="s">
        <v>1431</v>
      </c>
      <c r="F461" s="45"/>
      <c r="G461" s="48" t="s">
        <v>452</v>
      </c>
      <c r="H461" s="49">
        <v>1</v>
      </c>
      <c r="I461" s="69" t="s">
        <v>1432</v>
      </c>
      <c r="J461" s="46" t="s">
        <v>536</v>
      </c>
      <c r="K461" s="46" t="s">
        <v>1017</v>
      </c>
    </row>
    <row r="462" spans="1:11">
      <c r="A462" s="45">
        <f t="shared" si="7"/>
        <v>461</v>
      </c>
      <c r="B462" s="45" t="s">
        <v>1284</v>
      </c>
      <c r="C462" s="45" t="s">
        <v>843</v>
      </c>
      <c r="D462" s="46" t="s">
        <v>1433</v>
      </c>
      <c r="E462" s="71" t="s">
        <v>1434</v>
      </c>
      <c r="F462" s="45"/>
      <c r="G462" s="48" t="s">
        <v>452</v>
      </c>
      <c r="H462" s="49">
        <v>1</v>
      </c>
      <c r="I462" s="45" t="s">
        <v>1021</v>
      </c>
      <c r="J462" s="46" t="s">
        <v>536</v>
      </c>
      <c r="K462" s="46"/>
    </row>
    <row r="463" spans="1:11">
      <c r="A463" s="45">
        <f t="shared" si="7"/>
        <v>462</v>
      </c>
      <c r="B463" s="45" t="s">
        <v>1284</v>
      </c>
      <c r="C463" s="45" t="s">
        <v>843</v>
      </c>
      <c r="D463" s="46" t="s">
        <v>1435</v>
      </c>
      <c r="E463" s="71" t="s">
        <v>1436</v>
      </c>
      <c r="F463" s="45"/>
      <c r="G463" s="48" t="s">
        <v>514</v>
      </c>
      <c r="H463" s="49">
        <v>1</v>
      </c>
      <c r="I463" s="45" t="s">
        <v>1021</v>
      </c>
      <c r="J463" s="46" t="s">
        <v>536</v>
      </c>
      <c r="K463" s="46" t="s">
        <v>1017</v>
      </c>
    </row>
    <row r="464" spans="1:11">
      <c r="A464" s="50">
        <f t="shared" si="7"/>
        <v>463</v>
      </c>
      <c r="B464" s="50" t="s">
        <v>1284</v>
      </c>
      <c r="C464" s="50" t="s">
        <v>843</v>
      </c>
      <c r="D464" s="51" t="s">
        <v>1222</v>
      </c>
      <c r="E464" s="72" t="s">
        <v>1437</v>
      </c>
      <c r="F464" s="50"/>
      <c r="G464" s="53" t="s">
        <v>514</v>
      </c>
      <c r="H464" s="54">
        <v>1</v>
      </c>
      <c r="I464" s="45" t="s">
        <v>1021</v>
      </c>
      <c r="J464" s="51" t="s">
        <v>536</v>
      </c>
      <c r="K464" s="51"/>
    </row>
    <row r="465" spans="1:11">
      <c r="A465" s="45">
        <f t="shared" si="7"/>
        <v>464</v>
      </c>
      <c r="B465" s="45" t="s">
        <v>1284</v>
      </c>
      <c r="C465" s="45" t="s">
        <v>843</v>
      </c>
      <c r="D465" s="46" t="s">
        <v>1224</v>
      </c>
      <c r="E465" s="71" t="s">
        <v>1438</v>
      </c>
      <c r="F465" s="45"/>
      <c r="G465" s="48" t="s">
        <v>452</v>
      </c>
      <c r="H465" s="49">
        <v>1</v>
      </c>
      <c r="I465" s="45" t="s">
        <v>1021</v>
      </c>
      <c r="J465" s="46" t="s">
        <v>536</v>
      </c>
      <c r="K465" s="46"/>
    </row>
    <row r="466" spans="1:11">
      <c r="A466" s="45">
        <f t="shared" si="7"/>
        <v>465</v>
      </c>
      <c r="B466" s="45" t="s">
        <v>1284</v>
      </c>
      <c r="C466" s="45" t="s">
        <v>843</v>
      </c>
      <c r="D466" s="46" t="s">
        <v>1439</v>
      </c>
      <c r="E466" s="71" t="s">
        <v>1440</v>
      </c>
      <c r="F466" s="45" t="s">
        <v>443</v>
      </c>
      <c r="G466" s="48" t="s">
        <v>452</v>
      </c>
      <c r="H466" s="49">
        <v>1</v>
      </c>
      <c r="I466" s="45" t="s">
        <v>1021</v>
      </c>
      <c r="J466" s="46" t="s">
        <v>739</v>
      </c>
      <c r="K466" s="46"/>
    </row>
    <row r="467" spans="1:11">
      <c r="A467" s="45">
        <f t="shared" si="7"/>
        <v>466</v>
      </c>
      <c r="B467" s="45" t="s">
        <v>1284</v>
      </c>
      <c r="C467" s="45" t="s">
        <v>843</v>
      </c>
      <c r="D467" s="46" t="s">
        <v>1228</v>
      </c>
      <c r="E467" s="71" t="s">
        <v>1441</v>
      </c>
      <c r="F467" s="45" t="s">
        <v>1442</v>
      </c>
      <c r="G467" s="48" t="s">
        <v>452</v>
      </c>
      <c r="H467" s="49">
        <v>1</v>
      </c>
      <c r="I467" s="45" t="s">
        <v>1021</v>
      </c>
      <c r="J467" s="46" t="s">
        <v>739</v>
      </c>
      <c r="K467" s="46"/>
    </row>
    <row r="468" spans="1:11">
      <c r="A468" s="45">
        <f t="shared" si="7"/>
        <v>467</v>
      </c>
      <c r="B468" s="45" t="s">
        <v>1284</v>
      </c>
      <c r="C468" s="45" t="s">
        <v>843</v>
      </c>
      <c r="D468" s="46" t="s">
        <v>1443</v>
      </c>
      <c r="E468" s="71" t="s">
        <v>1444</v>
      </c>
      <c r="F468" s="45" t="s">
        <v>1445</v>
      </c>
      <c r="G468" s="48" t="s">
        <v>452</v>
      </c>
      <c r="H468" s="49">
        <v>1</v>
      </c>
      <c r="I468" s="45" t="s">
        <v>1021</v>
      </c>
      <c r="J468" s="46" t="s">
        <v>739</v>
      </c>
      <c r="K468" s="46" t="s">
        <v>752</v>
      </c>
    </row>
    <row r="469" spans="1:11">
      <c r="A469" s="45">
        <f t="shared" si="7"/>
        <v>468</v>
      </c>
      <c r="B469" s="45" t="s">
        <v>1284</v>
      </c>
      <c r="C469" s="45" t="s">
        <v>843</v>
      </c>
      <c r="D469" s="46" t="s">
        <v>1446</v>
      </c>
      <c r="E469" s="71" t="s">
        <v>1447</v>
      </c>
      <c r="F469" s="45" t="s">
        <v>1448</v>
      </c>
      <c r="G469" s="48" t="s">
        <v>452</v>
      </c>
      <c r="H469" s="49">
        <v>1</v>
      </c>
      <c r="I469" s="45" t="s">
        <v>1021</v>
      </c>
      <c r="J469" s="46" t="s">
        <v>739</v>
      </c>
      <c r="K469" s="46"/>
    </row>
    <row r="470" spans="1:11">
      <c r="A470" s="45">
        <f t="shared" si="7"/>
        <v>469</v>
      </c>
      <c r="B470" s="45" t="s">
        <v>1284</v>
      </c>
      <c r="C470" s="45" t="s">
        <v>843</v>
      </c>
      <c r="D470" s="46" t="s">
        <v>1249</v>
      </c>
      <c r="E470" s="71" t="s">
        <v>1449</v>
      </c>
      <c r="F470" s="45" t="s">
        <v>1450</v>
      </c>
      <c r="G470" s="48" t="s">
        <v>452</v>
      </c>
      <c r="H470" s="49">
        <v>1</v>
      </c>
      <c r="I470" s="45" t="s">
        <v>1021</v>
      </c>
      <c r="J470" s="46" t="s">
        <v>739</v>
      </c>
      <c r="K470" s="46" t="s">
        <v>752</v>
      </c>
    </row>
    <row r="471" spans="1:11">
      <c r="A471" s="45">
        <f t="shared" si="7"/>
        <v>470</v>
      </c>
      <c r="B471" s="45" t="s">
        <v>1284</v>
      </c>
      <c r="C471" s="45" t="s">
        <v>843</v>
      </c>
      <c r="D471" s="46" t="s">
        <v>1451</v>
      </c>
      <c r="E471" s="71" t="s">
        <v>1452</v>
      </c>
      <c r="F471" s="45" t="s">
        <v>1453</v>
      </c>
      <c r="G471" s="48" t="s">
        <v>452</v>
      </c>
      <c r="H471" s="49">
        <v>1</v>
      </c>
      <c r="I471" s="45" t="s">
        <v>1021</v>
      </c>
      <c r="J471" s="46" t="s">
        <v>739</v>
      </c>
      <c r="K471" s="46" t="s">
        <v>752</v>
      </c>
    </row>
    <row r="472" spans="1:11">
      <c r="A472" s="45">
        <f t="shared" si="7"/>
        <v>471</v>
      </c>
      <c r="B472" s="45" t="s">
        <v>1284</v>
      </c>
      <c r="C472" s="45" t="s">
        <v>843</v>
      </c>
      <c r="D472" s="46" t="s">
        <v>1252</v>
      </c>
      <c r="E472" s="71" t="s">
        <v>1454</v>
      </c>
      <c r="F472" s="45" t="s">
        <v>1455</v>
      </c>
      <c r="G472" s="48" t="s">
        <v>452</v>
      </c>
      <c r="H472" s="49">
        <v>1</v>
      </c>
      <c r="I472" s="45" t="s">
        <v>1021</v>
      </c>
      <c r="J472" s="46" t="s">
        <v>739</v>
      </c>
      <c r="K472" s="46"/>
    </row>
    <row r="473" spans="1:11">
      <c r="A473" s="45">
        <f t="shared" si="7"/>
        <v>472</v>
      </c>
      <c r="B473" s="45" t="s">
        <v>1284</v>
      </c>
      <c r="C473" s="45" t="s">
        <v>843</v>
      </c>
      <c r="D473" s="46" t="s">
        <v>1254</v>
      </c>
      <c r="E473" s="71" t="s">
        <v>1456</v>
      </c>
      <c r="F473" s="45" t="s">
        <v>1457</v>
      </c>
      <c r="G473" s="48" t="s">
        <v>452</v>
      </c>
      <c r="H473" s="49">
        <v>1</v>
      </c>
      <c r="I473" s="45" t="s">
        <v>1021</v>
      </c>
      <c r="J473" s="46" t="s">
        <v>774</v>
      </c>
      <c r="K473" s="46"/>
    </row>
    <row r="474" spans="1:11">
      <c r="A474" s="45">
        <f t="shared" si="7"/>
        <v>473</v>
      </c>
      <c r="B474" s="45" t="s">
        <v>1284</v>
      </c>
      <c r="C474" s="45" t="s">
        <v>843</v>
      </c>
      <c r="D474" s="46" t="s">
        <v>1458</v>
      </c>
      <c r="E474" s="71" t="s">
        <v>1459</v>
      </c>
      <c r="F474" s="45" t="s">
        <v>603</v>
      </c>
      <c r="G474" s="48" t="s">
        <v>452</v>
      </c>
      <c r="H474" s="49">
        <v>1</v>
      </c>
      <c r="I474" s="45" t="s">
        <v>1021</v>
      </c>
      <c r="J474" s="46" t="s">
        <v>774</v>
      </c>
      <c r="K474" s="46"/>
    </row>
    <row r="475" spans="1:11">
      <c r="A475" s="45">
        <f t="shared" si="7"/>
        <v>474</v>
      </c>
      <c r="B475" s="45" t="s">
        <v>1284</v>
      </c>
      <c r="C475" s="45" t="s">
        <v>843</v>
      </c>
      <c r="D475" s="46" t="s">
        <v>1460</v>
      </c>
      <c r="E475" s="71" t="s">
        <v>1461</v>
      </c>
      <c r="F475" s="45" t="s">
        <v>769</v>
      </c>
      <c r="G475" s="48" t="s">
        <v>452</v>
      </c>
      <c r="H475" s="49">
        <v>1</v>
      </c>
      <c r="I475" s="45" t="s">
        <v>1021</v>
      </c>
      <c r="J475" s="46" t="s">
        <v>739</v>
      </c>
      <c r="K475" s="46"/>
    </row>
    <row r="476" spans="1:11">
      <c r="A476" s="45">
        <f t="shared" si="7"/>
        <v>475</v>
      </c>
      <c r="B476" s="45" t="s">
        <v>1284</v>
      </c>
      <c r="C476" s="45" t="s">
        <v>843</v>
      </c>
      <c r="D476" s="46" t="s">
        <v>1462</v>
      </c>
      <c r="E476" s="71" t="s">
        <v>906</v>
      </c>
      <c r="F476" s="45" t="s">
        <v>603</v>
      </c>
      <c r="G476" s="48" t="s">
        <v>452</v>
      </c>
      <c r="H476" s="49">
        <v>1</v>
      </c>
      <c r="I476" s="45" t="s">
        <v>1021</v>
      </c>
      <c r="J476" s="46" t="s">
        <v>774</v>
      </c>
      <c r="K476" s="46"/>
    </row>
    <row r="477" spans="1:11">
      <c r="A477" s="45">
        <f t="shared" si="7"/>
        <v>476</v>
      </c>
      <c r="B477" s="45" t="s">
        <v>1284</v>
      </c>
      <c r="C477" s="45" t="s">
        <v>843</v>
      </c>
      <c r="D477" s="46" t="s">
        <v>1463</v>
      </c>
      <c r="E477" s="71" t="s">
        <v>910</v>
      </c>
      <c r="F477" s="45" t="s">
        <v>603</v>
      </c>
      <c r="G477" s="48" t="s">
        <v>452</v>
      </c>
      <c r="H477" s="49">
        <v>1</v>
      </c>
      <c r="I477" s="45" t="s">
        <v>1021</v>
      </c>
      <c r="J477" s="46" t="s">
        <v>774</v>
      </c>
      <c r="K477" s="46"/>
    </row>
    <row r="478" spans="1:11">
      <c r="A478" s="45">
        <f t="shared" si="7"/>
        <v>477</v>
      </c>
      <c r="B478" s="45" t="s">
        <v>1284</v>
      </c>
      <c r="C478" s="45" t="s">
        <v>843</v>
      </c>
      <c r="D478" s="46" t="s">
        <v>1464</v>
      </c>
      <c r="E478" s="71" t="s">
        <v>1465</v>
      </c>
      <c r="F478" s="45" t="s">
        <v>603</v>
      </c>
      <c r="G478" s="48" t="s">
        <v>452</v>
      </c>
      <c r="H478" s="49">
        <v>1</v>
      </c>
      <c r="I478" s="45" t="s">
        <v>1021</v>
      </c>
      <c r="J478" s="46" t="s">
        <v>774</v>
      </c>
      <c r="K478" s="46"/>
    </row>
    <row r="479" spans="1:11">
      <c r="A479" s="45">
        <f t="shared" si="7"/>
        <v>478</v>
      </c>
      <c r="B479" s="45" t="s">
        <v>1284</v>
      </c>
      <c r="C479" s="45" t="s">
        <v>843</v>
      </c>
      <c r="D479" s="46" t="s">
        <v>1466</v>
      </c>
      <c r="E479" s="71" t="s">
        <v>915</v>
      </c>
      <c r="F479" s="45" t="s">
        <v>603</v>
      </c>
      <c r="G479" s="48" t="s">
        <v>452</v>
      </c>
      <c r="H479" s="49">
        <v>1</v>
      </c>
      <c r="I479" s="45" t="s">
        <v>1021</v>
      </c>
      <c r="J479" s="46" t="s">
        <v>774</v>
      </c>
      <c r="K479" s="46"/>
    </row>
    <row r="480" spans="1:11">
      <c r="A480" s="45">
        <f t="shared" si="7"/>
        <v>479</v>
      </c>
      <c r="B480" s="45" t="s">
        <v>1284</v>
      </c>
      <c r="C480" s="45" t="s">
        <v>843</v>
      </c>
      <c r="D480" s="46" t="s">
        <v>1467</v>
      </c>
      <c r="E480" s="71" t="s">
        <v>917</v>
      </c>
      <c r="F480" s="45" t="s">
        <v>603</v>
      </c>
      <c r="G480" s="48" t="s">
        <v>452</v>
      </c>
      <c r="H480" s="49">
        <v>1</v>
      </c>
      <c r="I480" s="45" t="s">
        <v>1021</v>
      </c>
      <c r="J480" s="46" t="s">
        <v>774</v>
      </c>
      <c r="K480" s="46"/>
    </row>
    <row r="481" spans="1:11">
      <c r="A481" s="45">
        <f t="shared" si="7"/>
        <v>480</v>
      </c>
      <c r="B481" s="45" t="s">
        <v>1284</v>
      </c>
      <c r="C481" s="45" t="s">
        <v>843</v>
      </c>
      <c r="D481" s="46" t="s">
        <v>1468</v>
      </c>
      <c r="E481" s="71" t="s">
        <v>1469</v>
      </c>
      <c r="F481" s="45" t="s">
        <v>603</v>
      </c>
      <c r="G481" s="48" t="s">
        <v>452</v>
      </c>
      <c r="H481" s="49">
        <v>1</v>
      </c>
      <c r="I481" s="45" t="s">
        <v>1021</v>
      </c>
      <c r="J481" s="46" t="s">
        <v>774</v>
      </c>
      <c r="K481" s="46"/>
    </row>
    <row r="482" spans="1:11">
      <c r="A482" s="39">
        <f t="shared" si="7"/>
        <v>481</v>
      </c>
      <c r="B482" s="39" t="s">
        <v>1284</v>
      </c>
      <c r="C482" s="39" t="s">
        <v>843</v>
      </c>
      <c r="D482" s="40" t="s">
        <v>1470</v>
      </c>
      <c r="E482" s="41" t="s">
        <v>931</v>
      </c>
      <c r="F482" s="39" t="s">
        <v>1471</v>
      </c>
      <c r="G482" s="42">
        <v>46142</v>
      </c>
      <c r="H482" s="43">
        <v>0.85709999999999997</v>
      </c>
      <c r="I482" s="39" t="s">
        <v>1472</v>
      </c>
      <c r="J482" s="40" t="s">
        <v>536</v>
      </c>
      <c r="K482" s="40" t="s">
        <v>1017</v>
      </c>
    </row>
    <row r="483" spans="1:11">
      <c r="A483" s="45">
        <f t="shared" si="7"/>
        <v>482</v>
      </c>
      <c r="B483" s="45" t="s">
        <v>1284</v>
      </c>
      <c r="C483" s="45" t="s">
        <v>843</v>
      </c>
      <c r="D483" s="46" t="s">
        <v>1473</v>
      </c>
      <c r="E483" s="71" t="s">
        <v>1474</v>
      </c>
      <c r="F483" s="45" t="s">
        <v>1475</v>
      </c>
      <c r="G483" s="48" t="s">
        <v>452</v>
      </c>
      <c r="H483" s="49">
        <v>1</v>
      </c>
      <c r="I483" s="45" t="s">
        <v>1021</v>
      </c>
      <c r="J483" s="46" t="s">
        <v>739</v>
      </c>
      <c r="K483" s="46"/>
    </row>
    <row r="484" spans="1:11">
      <c r="A484" s="45">
        <f t="shared" si="7"/>
        <v>483</v>
      </c>
      <c r="B484" s="45" t="s">
        <v>1284</v>
      </c>
      <c r="C484" s="45" t="s">
        <v>843</v>
      </c>
      <c r="D484" s="46" t="s">
        <v>1476</v>
      </c>
      <c r="E484" s="71" t="s">
        <v>1477</v>
      </c>
      <c r="F484" s="45"/>
      <c r="G484" s="48" t="s">
        <v>452</v>
      </c>
      <c r="H484" s="49">
        <v>1</v>
      </c>
      <c r="I484" s="45" t="s">
        <v>1021</v>
      </c>
      <c r="J484" s="46" t="s">
        <v>536</v>
      </c>
      <c r="K484" s="46"/>
    </row>
    <row r="485" spans="1:11">
      <c r="A485" s="45">
        <f t="shared" si="7"/>
        <v>484</v>
      </c>
      <c r="B485" s="45" t="s">
        <v>1284</v>
      </c>
      <c r="C485" s="45" t="s">
        <v>843</v>
      </c>
      <c r="D485" s="46" t="s">
        <v>1478</v>
      </c>
      <c r="E485" s="71" t="s">
        <v>1479</v>
      </c>
      <c r="F485" s="45"/>
      <c r="G485" s="48" t="s">
        <v>452</v>
      </c>
      <c r="H485" s="49">
        <v>1</v>
      </c>
      <c r="I485" s="45" t="s">
        <v>1021</v>
      </c>
      <c r="J485" s="46" t="s">
        <v>536</v>
      </c>
      <c r="K485" s="46" t="s">
        <v>1017</v>
      </c>
    </row>
    <row r="486" spans="1:11">
      <c r="A486" s="45">
        <f t="shared" si="7"/>
        <v>485</v>
      </c>
      <c r="B486" s="45" t="s">
        <v>1284</v>
      </c>
      <c r="C486" s="45" t="s">
        <v>843</v>
      </c>
      <c r="D486" s="46" t="s">
        <v>1480</v>
      </c>
      <c r="E486" s="71" t="s">
        <v>872</v>
      </c>
      <c r="F486" s="45"/>
      <c r="G486" s="48" t="s">
        <v>452</v>
      </c>
      <c r="H486" s="49">
        <v>1</v>
      </c>
      <c r="I486" s="45" t="s">
        <v>1021</v>
      </c>
      <c r="J486" s="46" t="s">
        <v>536</v>
      </c>
      <c r="K486" s="46"/>
    </row>
    <row r="487" spans="1:11">
      <c r="A487" s="45">
        <f t="shared" si="7"/>
        <v>486</v>
      </c>
      <c r="B487" s="45" t="s">
        <v>1284</v>
      </c>
      <c r="C487" s="45" t="s">
        <v>843</v>
      </c>
      <c r="D487" s="46" t="s">
        <v>1481</v>
      </c>
      <c r="E487" s="71" t="s">
        <v>1482</v>
      </c>
      <c r="F487" s="45" t="s">
        <v>599</v>
      </c>
      <c r="G487" s="48" t="s">
        <v>452</v>
      </c>
      <c r="H487" s="49">
        <v>1</v>
      </c>
      <c r="I487" s="45" t="s">
        <v>1021</v>
      </c>
      <c r="J487" s="46" t="s">
        <v>739</v>
      </c>
      <c r="K487" s="46"/>
    </row>
    <row r="488" spans="1:11">
      <c r="A488" s="45">
        <f t="shared" si="7"/>
        <v>487</v>
      </c>
      <c r="B488" s="45" t="s">
        <v>1284</v>
      </c>
      <c r="C488" s="45" t="s">
        <v>843</v>
      </c>
      <c r="D488" s="46" t="s">
        <v>1483</v>
      </c>
      <c r="E488" s="71" t="s">
        <v>1484</v>
      </c>
      <c r="F488" s="45"/>
      <c r="G488" s="48" t="s">
        <v>452</v>
      </c>
      <c r="H488" s="49">
        <v>1</v>
      </c>
      <c r="I488" s="45" t="s">
        <v>1021</v>
      </c>
      <c r="J488" s="46" t="s">
        <v>536</v>
      </c>
      <c r="K488" s="46"/>
    </row>
    <row r="489" spans="1:11">
      <c r="A489" s="45">
        <f t="shared" si="7"/>
        <v>488</v>
      </c>
      <c r="B489" s="45" t="s">
        <v>1284</v>
      </c>
      <c r="C489" s="45" t="s">
        <v>843</v>
      </c>
      <c r="D489" s="46" t="s">
        <v>1485</v>
      </c>
      <c r="E489" s="71" t="s">
        <v>1486</v>
      </c>
      <c r="F489" s="45"/>
      <c r="G489" s="48" t="s">
        <v>452</v>
      </c>
      <c r="H489" s="49">
        <v>1</v>
      </c>
      <c r="I489" s="45" t="s">
        <v>1021</v>
      </c>
      <c r="J489" s="46" t="s">
        <v>536</v>
      </c>
      <c r="K489" s="46" t="s">
        <v>1017</v>
      </c>
    </row>
    <row r="490" spans="1:11">
      <c r="A490" s="45">
        <f t="shared" si="7"/>
        <v>489</v>
      </c>
      <c r="B490" s="45" t="s">
        <v>1284</v>
      </c>
      <c r="C490" s="45" t="s">
        <v>610</v>
      </c>
      <c r="D490" s="46" t="s">
        <v>611</v>
      </c>
      <c r="E490" s="71" t="s">
        <v>612</v>
      </c>
      <c r="F490" s="45"/>
      <c r="G490" s="48" t="s">
        <v>452</v>
      </c>
      <c r="H490" s="49">
        <v>1</v>
      </c>
      <c r="I490" s="45" t="s">
        <v>1021</v>
      </c>
      <c r="J490" s="46" t="s">
        <v>470</v>
      </c>
      <c r="K490" s="46"/>
    </row>
    <row r="491" spans="1:11">
      <c r="A491" s="45">
        <f t="shared" si="7"/>
        <v>490</v>
      </c>
      <c r="B491" s="45" t="s">
        <v>1284</v>
      </c>
      <c r="C491" s="45" t="s">
        <v>610</v>
      </c>
      <c r="D491" s="46" t="s">
        <v>1487</v>
      </c>
      <c r="E491" s="71" t="s">
        <v>1009</v>
      </c>
      <c r="F491" s="45"/>
      <c r="G491" s="48" t="s">
        <v>452</v>
      </c>
      <c r="H491" s="49">
        <v>1</v>
      </c>
      <c r="I491" s="45" t="s">
        <v>1021</v>
      </c>
      <c r="J491" s="46" t="s">
        <v>470</v>
      </c>
      <c r="K491" s="46"/>
    </row>
    <row r="492" spans="1:11">
      <c r="A492" s="50">
        <f t="shared" si="7"/>
        <v>491</v>
      </c>
      <c r="B492" s="50" t="s">
        <v>1284</v>
      </c>
      <c r="C492" s="50" t="s">
        <v>600</v>
      </c>
      <c r="D492" s="51" t="s">
        <v>601</v>
      </c>
      <c r="E492" s="72" t="s">
        <v>1081</v>
      </c>
      <c r="F492" s="50"/>
      <c r="G492" s="53" t="s">
        <v>514</v>
      </c>
      <c r="H492" s="54">
        <v>1</v>
      </c>
      <c r="I492" s="45" t="s">
        <v>1021</v>
      </c>
      <c r="J492" s="51" t="s">
        <v>536</v>
      </c>
      <c r="K492" s="51"/>
    </row>
    <row r="493" spans="1:11">
      <c r="A493" s="45">
        <f t="shared" si="7"/>
        <v>492</v>
      </c>
      <c r="B493" s="45" t="s">
        <v>1284</v>
      </c>
      <c r="C493" s="45" t="s">
        <v>607</v>
      </c>
      <c r="D493" s="46" t="s">
        <v>608</v>
      </c>
      <c r="E493" s="71" t="s">
        <v>1277</v>
      </c>
      <c r="F493" s="45"/>
      <c r="G493" s="48" t="s">
        <v>452</v>
      </c>
      <c r="H493" s="49" t="s">
        <v>1021</v>
      </c>
      <c r="I493" s="45" t="s">
        <v>1021</v>
      </c>
      <c r="J493" s="46" t="s">
        <v>536</v>
      </c>
      <c r="K493" s="46"/>
    </row>
    <row r="494" spans="1:11">
      <c r="A494" s="45">
        <f t="shared" si="7"/>
        <v>493</v>
      </c>
      <c r="B494" s="45" t="s">
        <v>1284</v>
      </c>
      <c r="C494" s="45" t="s">
        <v>520</v>
      </c>
      <c r="D494" s="46" t="s">
        <v>1488</v>
      </c>
      <c r="E494" s="71" t="s">
        <v>1489</v>
      </c>
      <c r="F494" s="45"/>
      <c r="G494" s="48" t="s">
        <v>452</v>
      </c>
      <c r="H494" s="49">
        <v>1</v>
      </c>
      <c r="I494" s="45"/>
      <c r="J494" s="46" t="s">
        <v>504</v>
      </c>
      <c r="K494" s="46" t="s">
        <v>536</v>
      </c>
    </row>
    <row r="495" spans="1:11">
      <c r="A495" s="45">
        <f t="shared" si="7"/>
        <v>494</v>
      </c>
      <c r="B495" s="45" t="s">
        <v>1284</v>
      </c>
      <c r="C495" s="45" t="s">
        <v>520</v>
      </c>
      <c r="D495" s="46" t="s">
        <v>525</v>
      </c>
      <c r="E495" s="71" t="s">
        <v>1490</v>
      </c>
      <c r="F495" s="45"/>
      <c r="G495" s="48" t="s">
        <v>452</v>
      </c>
      <c r="H495" s="49">
        <v>1</v>
      </c>
      <c r="I495" s="45" t="s">
        <v>1021</v>
      </c>
      <c r="J495" s="46" t="s">
        <v>504</v>
      </c>
      <c r="K495" s="46" t="s">
        <v>1017</v>
      </c>
    </row>
    <row r="496" spans="1:11">
      <c r="A496" s="39">
        <f t="shared" si="7"/>
        <v>495</v>
      </c>
      <c r="B496" s="39" t="s">
        <v>1491</v>
      </c>
      <c r="C496" s="39" t="s">
        <v>843</v>
      </c>
      <c r="D496" s="40" t="s">
        <v>1492</v>
      </c>
      <c r="E496" s="41" t="s">
        <v>1493</v>
      </c>
      <c r="F496" s="39" t="s">
        <v>1494</v>
      </c>
      <c r="G496" s="42">
        <v>46233</v>
      </c>
      <c r="H496" s="55">
        <v>0.52300000000000002</v>
      </c>
      <c r="I496" s="56"/>
      <c r="J496" s="40" t="s">
        <v>908</v>
      </c>
      <c r="K496" s="40" t="s">
        <v>806</v>
      </c>
    </row>
    <row r="497" spans="1:11" ht="24">
      <c r="A497" s="39">
        <f t="shared" si="7"/>
        <v>496</v>
      </c>
      <c r="B497" s="39" t="s">
        <v>1491</v>
      </c>
      <c r="C497" s="39" t="s">
        <v>843</v>
      </c>
      <c r="D497" s="40" t="s">
        <v>1495</v>
      </c>
      <c r="E497" s="41" t="s">
        <v>1496</v>
      </c>
      <c r="F497" s="56" t="s">
        <v>1497</v>
      </c>
      <c r="G497" s="42">
        <v>46233</v>
      </c>
      <c r="H497" s="55">
        <v>0</v>
      </c>
      <c r="I497" s="56" t="s">
        <v>1498</v>
      </c>
      <c r="J497" s="40" t="s">
        <v>908</v>
      </c>
      <c r="K497" s="40" t="s">
        <v>806</v>
      </c>
    </row>
    <row r="498" spans="1:11">
      <c r="A498" s="39">
        <f t="shared" si="7"/>
        <v>497</v>
      </c>
      <c r="B498" s="39" t="s">
        <v>1491</v>
      </c>
      <c r="C498" s="39" t="s">
        <v>843</v>
      </c>
      <c r="D498" s="40" t="s">
        <v>1499</v>
      </c>
      <c r="E498" s="41" t="s">
        <v>1500</v>
      </c>
      <c r="F498" s="39" t="s">
        <v>1501</v>
      </c>
      <c r="G498" s="42">
        <v>46173</v>
      </c>
      <c r="H498" s="55">
        <v>1</v>
      </c>
      <c r="I498" s="39" t="s">
        <v>1502</v>
      </c>
      <c r="J498" s="40" t="s">
        <v>908</v>
      </c>
      <c r="K498" s="40" t="s">
        <v>806</v>
      </c>
    </row>
    <row r="499" spans="1:11" ht="24">
      <c r="A499" s="39">
        <f t="shared" si="7"/>
        <v>498</v>
      </c>
      <c r="B499" s="39" t="s">
        <v>1491</v>
      </c>
      <c r="C499" s="39" t="s">
        <v>843</v>
      </c>
      <c r="D499" s="40" t="s">
        <v>1503</v>
      </c>
      <c r="E499" s="41" t="s">
        <v>1504</v>
      </c>
      <c r="F499" s="56" t="s">
        <v>1505</v>
      </c>
      <c r="G499" s="42" t="s">
        <v>792</v>
      </c>
      <c r="H499" s="43" t="s">
        <v>484</v>
      </c>
      <c r="I499" s="39" t="s">
        <v>485</v>
      </c>
      <c r="J499" s="40" t="s">
        <v>908</v>
      </c>
      <c r="K499" s="40" t="s">
        <v>806</v>
      </c>
    </row>
    <row r="500" spans="1:11" ht="24">
      <c r="A500" s="39">
        <f t="shared" si="7"/>
        <v>499</v>
      </c>
      <c r="B500" s="39" t="s">
        <v>1491</v>
      </c>
      <c r="C500" s="39" t="s">
        <v>843</v>
      </c>
      <c r="D500" s="40" t="s">
        <v>1506</v>
      </c>
      <c r="E500" s="41" t="s">
        <v>1507</v>
      </c>
      <c r="F500" s="56" t="s">
        <v>1508</v>
      </c>
      <c r="G500" s="42" t="s">
        <v>792</v>
      </c>
      <c r="H500" s="43" t="s">
        <v>484</v>
      </c>
      <c r="I500" s="39" t="s">
        <v>485</v>
      </c>
      <c r="J500" s="40" t="s">
        <v>908</v>
      </c>
      <c r="K500" s="40" t="s">
        <v>806</v>
      </c>
    </row>
    <row r="501" spans="1:11" ht="60">
      <c r="A501" s="39">
        <f t="shared" si="7"/>
        <v>500</v>
      </c>
      <c r="B501" s="39" t="s">
        <v>1491</v>
      </c>
      <c r="C501" s="39" t="s">
        <v>843</v>
      </c>
      <c r="D501" s="40" t="s">
        <v>1509</v>
      </c>
      <c r="E501" s="41" t="s">
        <v>1510</v>
      </c>
      <c r="F501" s="74" t="s">
        <v>1511</v>
      </c>
      <c r="G501" s="42">
        <v>46325</v>
      </c>
      <c r="H501" s="55">
        <v>0.219</v>
      </c>
      <c r="I501" s="39"/>
      <c r="J501" s="40" t="s">
        <v>908</v>
      </c>
      <c r="K501" s="40" t="s">
        <v>806</v>
      </c>
    </row>
    <row r="502" spans="1:11">
      <c r="A502" s="39">
        <f t="shared" si="7"/>
        <v>501</v>
      </c>
      <c r="B502" s="39" t="s">
        <v>1491</v>
      </c>
      <c r="C502" s="39" t="s">
        <v>843</v>
      </c>
      <c r="D502" s="40" t="s">
        <v>1512</v>
      </c>
      <c r="E502" s="41" t="s">
        <v>855</v>
      </c>
      <c r="F502" s="39" t="s">
        <v>1513</v>
      </c>
      <c r="G502" s="42">
        <v>46345</v>
      </c>
      <c r="H502" s="43">
        <v>0.20799999999999999</v>
      </c>
      <c r="I502" s="39"/>
      <c r="J502" s="40" t="s">
        <v>1514</v>
      </c>
      <c r="K502" s="40" t="s">
        <v>1515</v>
      </c>
    </row>
    <row r="503" spans="1:11">
      <c r="A503" s="39">
        <f t="shared" si="7"/>
        <v>502</v>
      </c>
      <c r="B503" s="39" t="s">
        <v>1491</v>
      </c>
      <c r="C503" s="39" t="s">
        <v>843</v>
      </c>
      <c r="D503" s="40" t="s">
        <v>1516</v>
      </c>
      <c r="E503" s="41" t="s">
        <v>1517</v>
      </c>
      <c r="F503" s="39" t="s">
        <v>1518</v>
      </c>
      <c r="G503" s="42">
        <v>46216</v>
      </c>
      <c r="H503" s="43">
        <v>0.316</v>
      </c>
      <c r="I503" s="39" t="s">
        <v>1519</v>
      </c>
      <c r="J503" s="40" t="s">
        <v>1514</v>
      </c>
      <c r="K503" s="40" t="s">
        <v>1515</v>
      </c>
    </row>
    <row r="504" spans="1:11">
      <c r="A504" s="39">
        <f t="shared" si="7"/>
        <v>503</v>
      </c>
      <c r="B504" s="39" t="s">
        <v>1491</v>
      </c>
      <c r="C504" s="39" t="s">
        <v>843</v>
      </c>
      <c r="D504" s="40" t="s">
        <v>1520</v>
      </c>
      <c r="E504" s="41" t="s">
        <v>1521</v>
      </c>
      <c r="F504" s="39" t="s">
        <v>1522</v>
      </c>
      <c r="G504" s="42">
        <v>46208</v>
      </c>
      <c r="H504" s="43">
        <v>0.2</v>
      </c>
      <c r="I504" s="39"/>
      <c r="J504" s="40" t="s">
        <v>1514</v>
      </c>
      <c r="K504" s="40" t="s">
        <v>1515</v>
      </c>
    </row>
    <row r="505" spans="1:11">
      <c r="A505" s="39">
        <f t="shared" si="7"/>
        <v>504</v>
      </c>
      <c r="B505" s="39" t="s">
        <v>1491</v>
      </c>
      <c r="C505" s="39" t="s">
        <v>843</v>
      </c>
      <c r="D505" s="40" t="s">
        <v>1523</v>
      </c>
      <c r="E505" s="41" t="s">
        <v>1524</v>
      </c>
      <c r="F505" s="39" t="s">
        <v>1525</v>
      </c>
      <c r="G505" s="42">
        <v>46327</v>
      </c>
      <c r="H505" s="43">
        <v>0.39700000000000002</v>
      </c>
      <c r="I505" s="39" t="s">
        <v>1526</v>
      </c>
      <c r="J505" s="40" t="s">
        <v>1514</v>
      </c>
      <c r="K505" s="40" t="s">
        <v>1515</v>
      </c>
    </row>
    <row r="506" spans="1:11">
      <c r="A506" s="39">
        <f t="shared" si="7"/>
        <v>505</v>
      </c>
      <c r="B506" s="39" t="s">
        <v>1491</v>
      </c>
      <c r="C506" s="39" t="s">
        <v>843</v>
      </c>
      <c r="D506" s="40" t="s">
        <v>1527</v>
      </c>
      <c r="E506" s="41" t="s">
        <v>1528</v>
      </c>
      <c r="F506" s="39" t="s">
        <v>1529</v>
      </c>
      <c r="G506" s="42">
        <v>46327</v>
      </c>
      <c r="H506" s="43">
        <v>0.53500000000000003</v>
      </c>
      <c r="I506" s="39" t="s">
        <v>1530</v>
      </c>
      <c r="J506" s="40" t="s">
        <v>1514</v>
      </c>
      <c r="K506" s="40" t="s">
        <v>1515</v>
      </c>
    </row>
    <row r="507" spans="1:11">
      <c r="A507" s="39">
        <f t="shared" si="7"/>
        <v>506</v>
      </c>
      <c r="B507" s="39" t="s">
        <v>1491</v>
      </c>
      <c r="C507" s="39" t="s">
        <v>843</v>
      </c>
      <c r="D507" s="40" t="s">
        <v>1531</v>
      </c>
      <c r="E507" s="41" t="s">
        <v>872</v>
      </c>
      <c r="F507" s="39" t="s">
        <v>1532</v>
      </c>
      <c r="G507" s="42">
        <v>46204</v>
      </c>
      <c r="H507" s="43">
        <v>0.85299999999999998</v>
      </c>
      <c r="I507" s="39"/>
      <c r="J507" s="40" t="s">
        <v>1514</v>
      </c>
      <c r="K507" s="40" t="s">
        <v>1515</v>
      </c>
    </row>
    <row r="508" spans="1:11">
      <c r="A508" s="39">
        <f t="shared" si="7"/>
        <v>507</v>
      </c>
      <c r="B508" s="39" t="s">
        <v>1491</v>
      </c>
      <c r="C508" s="39" t="s">
        <v>843</v>
      </c>
      <c r="D508" s="40" t="s">
        <v>1533</v>
      </c>
      <c r="E508" s="41" t="s">
        <v>1534</v>
      </c>
      <c r="F508" s="39" t="s">
        <v>1535</v>
      </c>
      <c r="G508" s="42">
        <v>46173</v>
      </c>
      <c r="H508" s="55">
        <v>1</v>
      </c>
      <c r="I508" s="39" t="s">
        <v>1536</v>
      </c>
      <c r="J508" s="40" t="s">
        <v>908</v>
      </c>
      <c r="K508" s="40" t="s">
        <v>1537</v>
      </c>
    </row>
    <row r="509" spans="1:11">
      <c r="A509" s="39">
        <f t="shared" si="7"/>
        <v>508</v>
      </c>
      <c r="B509" s="39" t="s">
        <v>1491</v>
      </c>
      <c r="C509" s="39" t="s">
        <v>843</v>
      </c>
      <c r="D509" s="40" t="s">
        <v>1538</v>
      </c>
      <c r="E509" s="41" t="s">
        <v>1539</v>
      </c>
      <c r="F509" s="39" t="s">
        <v>1540</v>
      </c>
      <c r="G509" s="42">
        <v>46204</v>
      </c>
      <c r="H509" s="43">
        <v>0.93100000000000005</v>
      </c>
      <c r="I509" s="39"/>
      <c r="J509" s="40" t="s">
        <v>908</v>
      </c>
      <c r="K509" s="40" t="s">
        <v>806</v>
      </c>
    </row>
    <row r="510" spans="1:11">
      <c r="A510" s="39">
        <f t="shared" si="7"/>
        <v>509</v>
      </c>
      <c r="B510" s="39" t="s">
        <v>1491</v>
      </c>
      <c r="C510" s="39" t="s">
        <v>843</v>
      </c>
      <c r="D510" s="40" t="s">
        <v>1541</v>
      </c>
      <c r="E510" s="41" t="s">
        <v>1542</v>
      </c>
      <c r="F510" s="39" t="s">
        <v>1543</v>
      </c>
      <c r="G510" s="42">
        <v>46233</v>
      </c>
      <c r="H510" s="43">
        <v>0</v>
      </c>
      <c r="I510" s="39"/>
      <c r="J510" s="40" t="s">
        <v>908</v>
      </c>
      <c r="K510" s="40" t="s">
        <v>806</v>
      </c>
    </row>
    <row r="511" spans="1:11">
      <c r="A511" s="39">
        <f t="shared" si="7"/>
        <v>510</v>
      </c>
      <c r="B511" s="39" t="s">
        <v>1491</v>
      </c>
      <c r="C511" s="39" t="s">
        <v>843</v>
      </c>
      <c r="D511" s="40" t="s">
        <v>1544</v>
      </c>
      <c r="E511" s="41" t="s">
        <v>877</v>
      </c>
      <c r="F511" s="39" t="s">
        <v>599</v>
      </c>
      <c r="G511" s="42">
        <v>46173</v>
      </c>
      <c r="H511" s="55">
        <v>1</v>
      </c>
      <c r="I511" s="39" t="s">
        <v>1536</v>
      </c>
      <c r="J511" s="40" t="s">
        <v>908</v>
      </c>
      <c r="K511" s="40" t="s">
        <v>806</v>
      </c>
    </row>
    <row r="512" spans="1:11">
      <c r="A512" s="39">
        <f t="shared" si="7"/>
        <v>511</v>
      </c>
      <c r="B512" s="39" t="s">
        <v>1491</v>
      </c>
      <c r="C512" s="39" t="s">
        <v>843</v>
      </c>
      <c r="D512" s="40" t="s">
        <v>1545</v>
      </c>
      <c r="E512" s="41" t="s">
        <v>1546</v>
      </c>
      <c r="F512" s="39" t="s">
        <v>730</v>
      </c>
      <c r="G512" s="42">
        <v>46203</v>
      </c>
      <c r="H512" s="55">
        <v>1</v>
      </c>
      <c r="I512" s="39" t="s">
        <v>1547</v>
      </c>
      <c r="J512" s="40" t="s">
        <v>908</v>
      </c>
      <c r="K512" s="40" t="s">
        <v>806</v>
      </c>
    </row>
    <row r="513" spans="1:11">
      <c r="A513" s="39">
        <f t="shared" si="7"/>
        <v>512</v>
      </c>
      <c r="B513" s="39" t="s">
        <v>1491</v>
      </c>
      <c r="C513" s="39" t="s">
        <v>843</v>
      </c>
      <c r="D513" s="40" t="s">
        <v>1548</v>
      </c>
      <c r="E513" s="41" t="s">
        <v>1549</v>
      </c>
      <c r="F513" s="39" t="s">
        <v>1550</v>
      </c>
      <c r="G513" s="42">
        <v>46203</v>
      </c>
      <c r="H513" s="43">
        <v>1</v>
      </c>
      <c r="I513" s="39" t="s">
        <v>1547</v>
      </c>
      <c r="J513" s="40" t="s">
        <v>908</v>
      </c>
      <c r="K513" s="40" t="s">
        <v>806</v>
      </c>
    </row>
    <row r="514" spans="1:11">
      <c r="A514" s="39">
        <f t="shared" si="7"/>
        <v>513</v>
      </c>
      <c r="B514" s="39" t="s">
        <v>1491</v>
      </c>
      <c r="C514" s="39" t="s">
        <v>843</v>
      </c>
      <c r="D514" s="40" t="s">
        <v>1551</v>
      </c>
      <c r="E514" s="41" t="s">
        <v>902</v>
      </c>
      <c r="F514" s="39" t="s">
        <v>1552</v>
      </c>
      <c r="G514" s="42" t="s">
        <v>792</v>
      </c>
      <c r="H514" s="43" t="s">
        <v>484</v>
      </c>
      <c r="I514" s="39" t="s">
        <v>485</v>
      </c>
      <c r="J514" s="40" t="s">
        <v>908</v>
      </c>
      <c r="K514" s="40" t="s">
        <v>1553</v>
      </c>
    </row>
    <row r="515" spans="1:11" ht="24">
      <c r="A515" s="39">
        <f t="shared" ref="A515:A578" si="8">ROW()-1</f>
        <v>514</v>
      </c>
      <c r="B515" s="39" t="s">
        <v>1491</v>
      </c>
      <c r="C515" s="39" t="s">
        <v>843</v>
      </c>
      <c r="D515" s="40" t="s">
        <v>1554</v>
      </c>
      <c r="E515" s="41" t="s">
        <v>1555</v>
      </c>
      <c r="F515" s="56" t="s">
        <v>1556</v>
      </c>
      <c r="G515" s="42">
        <v>46233</v>
      </c>
      <c r="H515" s="43">
        <v>0.94099999999999995</v>
      </c>
      <c r="I515" s="56" t="s">
        <v>1557</v>
      </c>
      <c r="J515" s="40" t="s">
        <v>908</v>
      </c>
      <c r="K515" s="40" t="s">
        <v>806</v>
      </c>
    </row>
    <row r="516" spans="1:11">
      <c r="A516" s="39">
        <f t="shared" si="8"/>
        <v>515</v>
      </c>
      <c r="B516" s="39" t="s">
        <v>1491</v>
      </c>
      <c r="C516" s="39" t="s">
        <v>843</v>
      </c>
      <c r="D516" s="40" t="s">
        <v>1558</v>
      </c>
      <c r="E516" s="41" t="s">
        <v>1250</v>
      </c>
      <c r="F516" s="39" t="s">
        <v>727</v>
      </c>
      <c r="G516" s="42">
        <v>46173</v>
      </c>
      <c r="H516" s="55">
        <v>1</v>
      </c>
      <c r="I516" s="39" t="s">
        <v>1559</v>
      </c>
      <c r="J516" s="40" t="s">
        <v>908</v>
      </c>
      <c r="K516" s="40" t="s">
        <v>806</v>
      </c>
    </row>
    <row r="517" spans="1:11">
      <c r="A517" s="39">
        <f t="shared" si="8"/>
        <v>516</v>
      </c>
      <c r="B517" s="39" t="s">
        <v>1491</v>
      </c>
      <c r="C517" s="39" t="s">
        <v>843</v>
      </c>
      <c r="D517" s="40" t="s">
        <v>1560</v>
      </c>
      <c r="E517" s="41" t="s">
        <v>1244</v>
      </c>
      <c r="F517" s="39" t="s">
        <v>1561</v>
      </c>
      <c r="G517" s="42">
        <v>46264</v>
      </c>
      <c r="H517" s="43">
        <v>0.41749999999999998</v>
      </c>
      <c r="I517" s="39"/>
      <c r="J517" s="40" t="s">
        <v>908</v>
      </c>
      <c r="K517" s="40" t="s">
        <v>1553</v>
      </c>
    </row>
    <row r="518" spans="1:11">
      <c r="A518" s="39">
        <f t="shared" si="8"/>
        <v>517</v>
      </c>
      <c r="B518" s="39" t="s">
        <v>1491</v>
      </c>
      <c r="C518" s="39" t="s">
        <v>843</v>
      </c>
      <c r="D518" s="40" t="s">
        <v>1562</v>
      </c>
      <c r="E518" s="41" t="s">
        <v>1563</v>
      </c>
      <c r="F518" s="39" t="s">
        <v>1564</v>
      </c>
      <c r="G518" s="42">
        <v>46264</v>
      </c>
      <c r="H518" s="43">
        <v>0.66</v>
      </c>
      <c r="I518" s="39"/>
      <c r="J518" s="40" t="s">
        <v>908</v>
      </c>
      <c r="K518" s="40" t="s">
        <v>1553</v>
      </c>
    </row>
    <row r="519" spans="1:11">
      <c r="A519" s="50">
        <f t="shared" si="8"/>
        <v>518</v>
      </c>
      <c r="B519" s="50" t="s">
        <v>1491</v>
      </c>
      <c r="C519" s="50" t="s">
        <v>843</v>
      </c>
      <c r="D519" s="51" t="s">
        <v>1565</v>
      </c>
      <c r="E519" s="72" t="s">
        <v>1566</v>
      </c>
      <c r="F519" s="50" t="s">
        <v>1567</v>
      </c>
      <c r="G519" s="53" t="s">
        <v>452</v>
      </c>
      <c r="H519" s="54">
        <v>1</v>
      </c>
      <c r="I519" s="50"/>
      <c r="J519" s="51" t="s">
        <v>957</v>
      </c>
      <c r="K519" s="51" t="s">
        <v>801</v>
      </c>
    </row>
    <row r="520" spans="1:11">
      <c r="A520" s="39">
        <f t="shared" si="8"/>
        <v>519</v>
      </c>
      <c r="B520" s="39" t="s">
        <v>1491</v>
      </c>
      <c r="C520" s="39" t="s">
        <v>843</v>
      </c>
      <c r="D520" s="40" t="s">
        <v>1568</v>
      </c>
      <c r="E520" s="41" t="s">
        <v>1569</v>
      </c>
      <c r="F520" s="39" t="s">
        <v>1570</v>
      </c>
      <c r="G520" s="42">
        <v>46173</v>
      </c>
      <c r="H520" s="43">
        <v>0</v>
      </c>
      <c r="I520" s="39" t="s">
        <v>1571</v>
      </c>
      <c r="J520" s="40" t="s">
        <v>1514</v>
      </c>
      <c r="K520" s="40" t="s">
        <v>1515</v>
      </c>
    </row>
    <row r="521" spans="1:11" ht="24">
      <c r="A521" s="39">
        <f t="shared" si="8"/>
        <v>520</v>
      </c>
      <c r="B521" s="39" t="s">
        <v>1491</v>
      </c>
      <c r="C521" s="39" t="s">
        <v>843</v>
      </c>
      <c r="D521" s="40" t="s">
        <v>1572</v>
      </c>
      <c r="E521" s="41" t="s">
        <v>906</v>
      </c>
      <c r="F521" s="56" t="s">
        <v>1573</v>
      </c>
      <c r="G521" s="42">
        <v>46327</v>
      </c>
      <c r="H521" s="55">
        <v>0.7</v>
      </c>
      <c r="I521" s="39"/>
      <c r="J521" s="40" t="s">
        <v>908</v>
      </c>
      <c r="K521" s="40" t="s">
        <v>1553</v>
      </c>
    </row>
    <row r="522" spans="1:11">
      <c r="A522" s="39">
        <f t="shared" si="8"/>
        <v>521</v>
      </c>
      <c r="B522" s="39" t="s">
        <v>1491</v>
      </c>
      <c r="C522" s="39" t="s">
        <v>843</v>
      </c>
      <c r="D522" s="40" t="s">
        <v>1574</v>
      </c>
      <c r="E522" s="41" t="s">
        <v>1575</v>
      </c>
      <c r="F522" s="75" t="s">
        <v>1576</v>
      </c>
      <c r="G522" s="42">
        <v>46233</v>
      </c>
      <c r="H522" s="55">
        <v>0.997</v>
      </c>
      <c r="I522" s="39" t="s">
        <v>1577</v>
      </c>
      <c r="J522" s="40" t="s">
        <v>908</v>
      </c>
      <c r="K522" s="40" t="s">
        <v>1553</v>
      </c>
    </row>
    <row r="523" spans="1:11">
      <c r="A523" s="39">
        <f t="shared" si="8"/>
        <v>522</v>
      </c>
      <c r="B523" s="39" t="s">
        <v>1491</v>
      </c>
      <c r="C523" s="39" t="s">
        <v>843</v>
      </c>
      <c r="D523" s="40" t="s">
        <v>1578</v>
      </c>
      <c r="E523" s="41" t="s">
        <v>912</v>
      </c>
      <c r="F523" s="39" t="s">
        <v>1579</v>
      </c>
      <c r="G523" s="42">
        <v>46172</v>
      </c>
      <c r="H523" s="55">
        <v>1</v>
      </c>
      <c r="I523" s="39"/>
      <c r="J523" s="40" t="s">
        <v>957</v>
      </c>
      <c r="K523" s="40" t="s">
        <v>801</v>
      </c>
    </row>
    <row r="524" spans="1:11">
      <c r="A524" s="39">
        <f t="shared" si="8"/>
        <v>523</v>
      </c>
      <c r="B524" s="39" t="s">
        <v>1491</v>
      </c>
      <c r="C524" s="39" t="s">
        <v>843</v>
      </c>
      <c r="D524" s="40" t="s">
        <v>1580</v>
      </c>
      <c r="E524" s="41" t="s">
        <v>915</v>
      </c>
      <c r="F524" s="39" t="s">
        <v>1581</v>
      </c>
      <c r="G524" s="42" t="s">
        <v>792</v>
      </c>
      <c r="H524" s="55" t="s">
        <v>484</v>
      </c>
      <c r="I524" s="39" t="s">
        <v>485</v>
      </c>
      <c r="J524" s="40" t="s">
        <v>908</v>
      </c>
      <c r="K524" s="40" t="s">
        <v>1553</v>
      </c>
    </row>
    <row r="525" spans="1:11">
      <c r="A525" s="39">
        <f t="shared" si="8"/>
        <v>524</v>
      </c>
      <c r="B525" s="39" t="s">
        <v>1491</v>
      </c>
      <c r="C525" s="39" t="s">
        <v>843</v>
      </c>
      <c r="D525" s="40" t="s">
        <v>1582</v>
      </c>
      <c r="E525" s="41" t="s">
        <v>1583</v>
      </c>
      <c r="F525" s="39" t="s">
        <v>1584</v>
      </c>
      <c r="G525" s="42">
        <v>46233</v>
      </c>
      <c r="H525" s="55">
        <v>0.34200000000000003</v>
      </c>
      <c r="I525" s="39"/>
      <c r="J525" s="40" t="s">
        <v>908</v>
      </c>
      <c r="K525" s="40" t="s">
        <v>1553</v>
      </c>
    </row>
    <row r="526" spans="1:11" ht="24">
      <c r="A526" s="39">
        <f t="shared" si="8"/>
        <v>525</v>
      </c>
      <c r="B526" s="39" t="s">
        <v>1491</v>
      </c>
      <c r="C526" s="39" t="s">
        <v>843</v>
      </c>
      <c r="D526" s="40" t="s">
        <v>1585</v>
      </c>
      <c r="E526" s="41" t="s">
        <v>1269</v>
      </c>
      <c r="F526" s="56" t="s">
        <v>1586</v>
      </c>
      <c r="G526" s="42" t="s">
        <v>792</v>
      </c>
      <c r="H526" s="55" t="s">
        <v>484</v>
      </c>
      <c r="I526" s="39" t="s">
        <v>485</v>
      </c>
      <c r="J526" s="40" t="s">
        <v>908</v>
      </c>
      <c r="K526" s="40" t="s">
        <v>1553</v>
      </c>
    </row>
    <row r="527" spans="1:11">
      <c r="A527" s="39">
        <f t="shared" si="8"/>
        <v>526</v>
      </c>
      <c r="B527" s="39" t="s">
        <v>1491</v>
      </c>
      <c r="C527" s="39" t="s">
        <v>843</v>
      </c>
      <c r="D527" s="40" t="s">
        <v>1587</v>
      </c>
      <c r="E527" s="41" t="s">
        <v>929</v>
      </c>
      <c r="F527" s="39" t="s">
        <v>1588</v>
      </c>
      <c r="G527" s="42">
        <v>46172</v>
      </c>
      <c r="H527" s="55">
        <v>0.9</v>
      </c>
      <c r="I527" s="39"/>
      <c r="J527" s="40" t="s">
        <v>957</v>
      </c>
      <c r="K527" s="40" t="s">
        <v>801</v>
      </c>
    </row>
    <row r="528" spans="1:11">
      <c r="A528" s="39">
        <f t="shared" si="8"/>
        <v>527</v>
      </c>
      <c r="B528" s="39" t="s">
        <v>1491</v>
      </c>
      <c r="C528" s="39" t="s">
        <v>843</v>
      </c>
      <c r="D528" s="40" t="s">
        <v>1589</v>
      </c>
      <c r="E528" s="41" t="s">
        <v>1590</v>
      </c>
      <c r="F528" s="39" t="s">
        <v>1591</v>
      </c>
      <c r="G528" s="42" t="s">
        <v>792</v>
      </c>
      <c r="H528" s="55" t="s">
        <v>484</v>
      </c>
      <c r="I528" s="39" t="s">
        <v>485</v>
      </c>
      <c r="J528" s="40" t="s">
        <v>908</v>
      </c>
      <c r="K528" s="40" t="s">
        <v>1553</v>
      </c>
    </row>
    <row r="529" spans="1:11" ht="24">
      <c r="A529" s="39">
        <f t="shared" si="8"/>
        <v>528</v>
      </c>
      <c r="B529" s="39" t="s">
        <v>1491</v>
      </c>
      <c r="C529" s="39" t="s">
        <v>840</v>
      </c>
      <c r="D529" s="40" t="s">
        <v>1592</v>
      </c>
      <c r="E529" s="41" t="s">
        <v>1593</v>
      </c>
      <c r="F529" s="56" t="s">
        <v>1594</v>
      </c>
      <c r="G529" s="42" t="s">
        <v>792</v>
      </c>
      <c r="H529" s="43" t="s">
        <v>484</v>
      </c>
      <c r="I529" s="39" t="s">
        <v>485</v>
      </c>
      <c r="J529" s="40" t="s">
        <v>908</v>
      </c>
      <c r="K529" s="40" t="s">
        <v>1553</v>
      </c>
    </row>
    <row r="530" spans="1:11" ht="24">
      <c r="A530" s="39">
        <f t="shared" si="8"/>
        <v>529</v>
      </c>
      <c r="B530" s="39" t="s">
        <v>1491</v>
      </c>
      <c r="C530" s="39" t="s">
        <v>840</v>
      </c>
      <c r="D530" s="40" t="s">
        <v>1595</v>
      </c>
      <c r="E530" s="41" t="s">
        <v>1596</v>
      </c>
      <c r="F530" s="56" t="s">
        <v>1597</v>
      </c>
      <c r="G530" s="42" t="s">
        <v>792</v>
      </c>
      <c r="H530" s="43" t="s">
        <v>484</v>
      </c>
      <c r="I530" s="39" t="s">
        <v>485</v>
      </c>
      <c r="J530" s="40" t="s">
        <v>908</v>
      </c>
      <c r="K530" s="40" t="s">
        <v>1553</v>
      </c>
    </row>
    <row r="531" spans="1:11" ht="24">
      <c r="A531" s="39">
        <f t="shared" si="8"/>
        <v>530</v>
      </c>
      <c r="B531" s="39" t="s">
        <v>1491</v>
      </c>
      <c r="C531" s="39" t="s">
        <v>840</v>
      </c>
      <c r="D531" s="40" t="s">
        <v>1598</v>
      </c>
      <c r="E531" s="41" t="s">
        <v>1599</v>
      </c>
      <c r="F531" s="56" t="s">
        <v>1600</v>
      </c>
      <c r="G531" s="42" t="s">
        <v>792</v>
      </c>
      <c r="H531" s="43" t="s">
        <v>484</v>
      </c>
      <c r="I531" s="39" t="s">
        <v>485</v>
      </c>
      <c r="J531" s="40" t="s">
        <v>908</v>
      </c>
      <c r="K531" s="40" t="s">
        <v>1553</v>
      </c>
    </row>
    <row r="532" spans="1:11">
      <c r="A532" s="39">
        <f t="shared" si="8"/>
        <v>531</v>
      </c>
      <c r="B532" s="39" t="s">
        <v>1491</v>
      </c>
      <c r="C532" s="39" t="s">
        <v>615</v>
      </c>
      <c r="D532" s="40" t="s">
        <v>1601</v>
      </c>
      <c r="E532" s="41" t="s">
        <v>1602</v>
      </c>
      <c r="F532" s="76" t="s">
        <v>1603</v>
      </c>
      <c r="G532" s="42">
        <v>46235</v>
      </c>
      <c r="H532" s="43">
        <v>0.999</v>
      </c>
      <c r="I532" s="39" t="s">
        <v>1604</v>
      </c>
      <c r="J532" s="40" t="s">
        <v>1605</v>
      </c>
      <c r="K532" s="40" t="s">
        <v>1514</v>
      </c>
    </row>
    <row r="533" spans="1:11">
      <c r="A533" s="39">
        <f t="shared" si="8"/>
        <v>532</v>
      </c>
      <c r="B533" s="39" t="s">
        <v>1491</v>
      </c>
      <c r="C533" s="39" t="s">
        <v>615</v>
      </c>
      <c r="D533" s="40" t="s">
        <v>1606</v>
      </c>
      <c r="E533" s="41" t="s">
        <v>1607</v>
      </c>
      <c r="F533" s="39" t="s">
        <v>1608</v>
      </c>
      <c r="G533" s="42">
        <v>46235</v>
      </c>
      <c r="H533" s="43">
        <v>0.99299999999999999</v>
      </c>
      <c r="I533" s="39" t="s">
        <v>1609</v>
      </c>
      <c r="J533" s="40" t="s">
        <v>1515</v>
      </c>
      <c r="K533" s="40" t="s">
        <v>1605</v>
      </c>
    </row>
    <row r="534" spans="1:11">
      <c r="A534" s="39">
        <f t="shared" si="8"/>
        <v>533</v>
      </c>
      <c r="B534" s="39" t="s">
        <v>1491</v>
      </c>
      <c r="C534" s="39" t="s">
        <v>615</v>
      </c>
      <c r="D534" s="40" t="s">
        <v>1610</v>
      </c>
      <c r="E534" s="41" t="s">
        <v>1611</v>
      </c>
      <c r="F534" s="39" t="s">
        <v>1612</v>
      </c>
      <c r="G534" s="42">
        <v>46204</v>
      </c>
      <c r="H534" s="43">
        <v>0.999</v>
      </c>
      <c r="I534" s="39" t="s">
        <v>649</v>
      </c>
      <c r="J534" s="40" t="s">
        <v>1605</v>
      </c>
      <c r="K534" s="40" t="s">
        <v>1514</v>
      </c>
    </row>
    <row r="535" spans="1:11">
      <c r="A535" s="39">
        <f t="shared" si="8"/>
        <v>534</v>
      </c>
      <c r="B535" s="39" t="s">
        <v>1491</v>
      </c>
      <c r="C535" s="39" t="s">
        <v>615</v>
      </c>
      <c r="D535" s="40" t="s">
        <v>1613</v>
      </c>
      <c r="E535" s="41" t="s">
        <v>1349</v>
      </c>
      <c r="F535" s="39" t="s">
        <v>1614</v>
      </c>
      <c r="G535" s="42">
        <v>46235</v>
      </c>
      <c r="H535" s="43">
        <v>0.91500000000000004</v>
      </c>
      <c r="I535" s="39" t="s">
        <v>1615</v>
      </c>
      <c r="J535" s="40" t="s">
        <v>1605</v>
      </c>
      <c r="K535" s="40" t="s">
        <v>1514</v>
      </c>
    </row>
    <row r="536" spans="1:11">
      <c r="A536" s="39">
        <f t="shared" si="8"/>
        <v>535</v>
      </c>
      <c r="B536" s="39" t="s">
        <v>1491</v>
      </c>
      <c r="C536" s="39" t="s">
        <v>615</v>
      </c>
      <c r="D536" s="40" t="s">
        <v>1616</v>
      </c>
      <c r="E536" s="41" t="s">
        <v>713</v>
      </c>
      <c r="F536" s="39" t="s">
        <v>1617</v>
      </c>
      <c r="G536" s="42">
        <v>46508</v>
      </c>
      <c r="H536" s="43">
        <v>0.3</v>
      </c>
      <c r="I536" s="39" t="s">
        <v>1351</v>
      </c>
      <c r="J536" s="40" t="s">
        <v>1515</v>
      </c>
      <c r="K536" s="40" t="s">
        <v>1618</v>
      </c>
    </row>
    <row r="537" spans="1:11">
      <c r="A537" s="39">
        <f t="shared" si="8"/>
        <v>536</v>
      </c>
      <c r="B537" s="39" t="s">
        <v>1491</v>
      </c>
      <c r="C537" s="39" t="s">
        <v>615</v>
      </c>
      <c r="D537" s="40" t="s">
        <v>1619</v>
      </c>
      <c r="E537" s="41" t="s">
        <v>617</v>
      </c>
      <c r="F537" s="39" t="s">
        <v>1620</v>
      </c>
      <c r="G537" s="42">
        <v>46235</v>
      </c>
      <c r="H537" s="43">
        <v>0.996</v>
      </c>
      <c r="I537" s="39"/>
      <c r="J537" s="40" t="s">
        <v>1515</v>
      </c>
      <c r="K537" s="40" t="s">
        <v>1618</v>
      </c>
    </row>
    <row r="538" spans="1:11">
      <c r="A538" s="39">
        <f t="shared" si="8"/>
        <v>537</v>
      </c>
      <c r="B538" s="39" t="s">
        <v>1491</v>
      </c>
      <c r="C538" s="39" t="s">
        <v>615</v>
      </c>
      <c r="D538" s="40" t="s">
        <v>1621</v>
      </c>
      <c r="E538" s="41" t="s">
        <v>644</v>
      </c>
      <c r="F538" s="39" t="s">
        <v>1622</v>
      </c>
      <c r="G538" s="42">
        <v>46174</v>
      </c>
      <c r="H538" s="43">
        <v>0.86299999999999999</v>
      </c>
      <c r="I538" s="39"/>
      <c r="J538" s="40" t="s">
        <v>1605</v>
      </c>
      <c r="K538" s="40" t="s">
        <v>1514</v>
      </c>
    </row>
    <row r="539" spans="1:11">
      <c r="A539" s="39">
        <f t="shared" si="8"/>
        <v>538</v>
      </c>
      <c r="B539" s="39" t="s">
        <v>1491</v>
      </c>
      <c r="C539" s="39" t="s">
        <v>615</v>
      </c>
      <c r="D539" s="40" t="s">
        <v>1623</v>
      </c>
      <c r="E539" s="41" t="s">
        <v>647</v>
      </c>
      <c r="F539" s="39" t="s">
        <v>1624</v>
      </c>
      <c r="G539" s="42">
        <v>46143</v>
      </c>
      <c r="H539" s="43">
        <v>0.999</v>
      </c>
      <c r="I539" s="39" t="s">
        <v>1625</v>
      </c>
      <c r="J539" s="40" t="s">
        <v>1515</v>
      </c>
      <c r="K539" s="40" t="s">
        <v>1618</v>
      </c>
    </row>
    <row r="540" spans="1:11">
      <c r="A540" s="39">
        <f t="shared" si="8"/>
        <v>539</v>
      </c>
      <c r="B540" s="39" t="s">
        <v>1491</v>
      </c>
      <c r="C540" s="39" t="s">
        <v>615</v>
      </c>
      <c r="D540" s="40" t="s">
        <v>1626</v>
      </c>
      <c r="E540" s="41" t="s">
        <v>1627</v>
      </c>
      <c r="F540" s="39" t="s">
        <v>1628</v>
      </c>
      <c r="G540" s="42">
        <v>46296</v>
      </c>
      <c r="H540" s="43">
        <v>0.88</v>
      </c>
      <c r="I540" s="39"/>
      <c r="J540" s="40" t="s">
        <v>1515</v>
      </c>
      <c r="K540" s="40" t="s">
        <v>1618</v>
      </c>
    </row>
    <row r="541" spans="1:11">
      <c r="A541" s="39">
        <f t="shared" si="8"/>
        <v>540</v>
      </c>
      <c r="B541" s="39" t="s">
        <v>1491</v>
      </c>
      <c r="C541" s="39" t="s">
        <v>615</v>
      </c>
      <c r="D541" s="40" t="s">
        <v>1629</v>
      </c>
      <c r="E541" s="41" t="s">
        <v>1630</v>
      </c>
      <c r="F541" s="39" t="s">
        <v>1631</v>
      </c>
      <c r="G541" s="42">
        <v>46142</v>
      </c>
      <c r="H541" s="55">
        <v>1</v>
      </c>
      <c r="I541" s="39" t="s">
        <v>1632</v>
      </c>
      <c r="J541" s="40" t="s">
        <v>1605</v>
      </c>
      <c r="K541" s="40" t="s">
        <v>1514</v>
      </c>
    </row>
    <row r="542" spans="1:11">
      <c r="A542" s="39">
        <f t="shared" si="8"/>
        <v>541</v>
      </c>
      <c r="B542" s="39" t="s">
        <v>1491</v>
      </c>
      <c r="C542" s="39" t="s">
        <v>615</v>
      </c>
      <c r="D542" s="40" t="s">
        <v>1633</v>
      </c>
      <c r="E542" s="41" t="s">
        <v>654</v>
      </c>
      <c r="F542" s="39" t="s">
        <v>1634</v>
      </c>
      <c r="G542" s="42">
        <v>46296</v>
      </c>
      <c r="H542" s="43">
        <v>0.99199999999999999</v>
      </c>
      <c r="I542" s="39" t="s">
        <v>1635</v>
      </c>
      <c r="J542" s="40" t="s">
        <v>1605</v>
      </c>
      <c r="K542" s="40" t="s">
        <v>1514</v>
      </c>
    </row>
    <row r="543" spans="1:11">
      <c r="A543" s="39">
        <f t="shared" si="8"/>
        <v>542</v>
      </c>
      <c r="B543" s="39" t="s">
        <v>1491</v>
      </c>
      <c r="C543" s="39" t="s">
        <v>615</v>
      </c>
      <c r="D543" s="40" t="s">
        <v>1636</v>
      </c>
      <c r="E543" s="41" t="s">
        <v>1120</v>
      </c>
      <c r="F543" s="39" t="s">
        <v>1637</v>
      </c>
      <c r="G543" s="42">
        <v>46235</v>
      </c>
      <c r="H543" s="43">
        <v>0.998</v>
      </c>
      <c r="I543" s="39"/>
      <c r="J543" s="40" t="s">
        <v>1515</v>
      </c>
      <c r="K543" s="40" t="s">
        <v>1605</v>
      </c>
    </row>
    <row r="544" spans="1:11">
      <c r="A544" s="39">
        <f t="shared" si="8"/>
        <v>543</v>
      </c>
      <c r="B544" s="39" t="s">
        <v>1491</v>
      </c>
      <c r="C544" s="39" t="s">
        <v>615</v>
      </c>
      <c r="D544" s="40" t="s">
        <v>1638</v>
      </c>
      <c r="E544" s="41" t="s">
        <v>1122</v>
      </c>
      <c r="F544" s="39" t="s">
        <v>1639</v>
      </c>
      <c r="G544" s="42">
        <v>46204</v>
      </c>
      <c r="H544" s="43">
        <v>0.97199999999999998</v>
      </c>
      <c r="I544" s="39"/>
      <c r="J544" s="40" t="s">
        <v>1618</v>
      </c>
      <c r="K544" s="40" t="s">
        <v>1640</v>
      </c>
    </row>
    <row r="545" spans="1:11">
      <c r="A545" s="39">
        <f t="shared" si="8"/>
        <v>544</v>
      </c>
      <c r="B545" s="39" t="s">
        <v>1491</v>
      </c>
      <c r="C545" s="39" t="s">
        <v>615</v>
      </c>
      <c r="D545" s="40" t="s">
        <v>1641</v>
      </c>
      <c r="E545" s="41" t="s">
        <v>1642</v>
      </c>
      <c r="F545" s="76" t="s">
        <v>1643</v>
      </c>
      <c r="G545" s="42" t="s">
        <v>792</v>
      </c>
      <c r="H545" s="55" t="s">
        <v>484</v>
      </c>
      <c r="I545" s="39" t="s">
        <v>485</v>
      </c>
      <c r="J545" s="40" t="s">
        <v>1515</v>
      </c>
      <c r="K545" s="40" t="s">
        <v>1605</v>
      </c>
    </row>
    <row r="546" spans="1:11">
      <c r="A546" s="39">
        <f t="shared" si="8"/>
        <v>545</v>
      </c>
      <c r="B546" s="39" t="s">
        <v>1491</v>
      </c>
      <c r="C546" s="39" t="s">
        <v>615</v>
      </c>
      <c r="D546" s="40" t="s">
        <v>1644</v>
      </c>
      <c r="E546" s="41" t="s">
        <v>1161</v>
      </c>
      <c r="F546" s="39" t="s">
        <v>1645</v>
      </c>
      <c r="G546" s="42" t="s">
        <v>792</v>
      </c>
      <c r="H546" s="43" t="s">
        <v>484</v>
      </c>
      <c r="I546" s="39" t="s">
        <v>485</v>
      </c>
      <c r="J546" s="40" t="s">
        <v>1515</v>
      </c>
      <c r="K546" s="40" t="s">
        <v>1605</v>
      </c>
    </row>
    <row r="547" spans="1:11" ht="52.5">
      <c r="A547" s="39">
        <f t="shared" si="8"/>
        <v>546</v>
      </c>
      <c r="B547" s="39" t="s">
        <v>1491</v>
      </c>
      <c r="C547" s="39" t="s">
        <v>615</v>
      </c>
      <c r="D547" s="40" t="s">
        <v>1646</v>
      </c>
      <c r="E547" s="41" t="s">
        <v>662</v>
      </c>
      <c r="F547" s="39" t="s">
        <v>1647</v>
      </c>
      <c r="G547" s="42">
        <v>46327</v>
      </c>
      <c r="H547" s="43">
        <v>0.8</v>
      </c>
      <c r="I547" s="56" t="s">
        <v>1648</v>
      </c>
      <c r="J547" s="40" t="s">
        <v>1618</v>
      </c>
      <c r="K547" s="40" t="s">
        <v>1640</v>
      </c>
    </row>
    <row r="548" spans="1:11">
      <c r="A548" s="39">
        <f t="shared" si="8"/>
        <v>547</v>
      </c>
      <c r="B548" s="39" t="s">
        <v>1491</v>
      </c>
      <c r="C548" s="39" t="s">
        <v>615</v>
      </c>
      <c r="D548" s="40" t="s">
        <v>1649</v>
      </c>
      <c r="E548" s="41" t="s">
        <v>668</v>
      </c>
      <c r="F548" s="39" t="s">
        <v>1650</v>
      </c>
      <c r="G548" s="42">
        <v>46357</v>
      </c>
      <c r="H548" s="43">
        <v>0.71</v>
      </c>
      <c r="I548" s="39" t="s">
        <v>1651</v>
      </c>
      <c r="J548" s="40" t="s">
        <v>1515</v>
      </c>
      <c r="K548" s="40" t="s">
        <v>1605</v>
      </c>
    </row>
    <row r="549" spans="1:11">
      <c r="A549" s="39">
        <f t="shared" si="8"/>
        <v>548</v>
      </c>
      <c r="B549" s="39" t="s">
        <v>1491</v>
      </c>
      <c r="C549" s="39" t="s">
        <v>615</v>
      </c>
      <c r="D549" s="40" t="s">
        <v>1652</v>
      </c>
      <c r="E549" s="41" t="s">
        <v>677</v>
      </c>
      <c r="F549" s="39" t="s">
        <v>1653</v>
      </c>
      <c r="G549" s="42">
        <v>46357</v>
      </c>
      <c r="H549" s="43">
        <v>0.66500000000000004</v>
      </c>
      <c r="I549" s="39" t="s">
        <v>1654</v>
      </c>
      <c r="J549" s="40" t="s">
        <v>1515</v>
      </c>
      <c r="K549" s="40" t="s">
        <v>1605</v>
      </c>
    </row>
    <row r="550" spans="1:11">
      <c r="A550" s="39">
        <f t="shared" si="8"/>
        <v>549</v>
      </c>
      <c r="B550" s="39" t="s">
        <v>1491</v>
      </c>
      <c r="C550" s="39" t="s">
        <v>615</v>
      </c>
      <c r="D550" s="40" t="s">
        <v>1655</v>
      </c>
      <c r="E550" s="41" t="s">
        <v>674</v>
      </c>
      <c r="F550" s="39" t="s">
        <v>1656</v>
      </c>
      <c r="G550" s="42">
        <v>46296</v>
      </c>
      <c r="H550" s="43">
        <v>0.55700000000000005</v>
      </c>
      <c r="I550" s="39" t="s">
        <v>1657</v>
      </c>
      <c r="J550" s="40" t="s">
        <v>1618</v>
      </c>
      <c r="K550" s="40" t="s">
        <v>1640</v>
      </c>
    </row>
    <row r="551" spans="1:11">
      <c r="A551" s="39">
        <f t="shared" si="8"/>
        <v>550</v>
      </c>
      <c r="B551" s="39" t="s">
        <v>1491</v>
      </c>
      <c r="C551" s="39" t="s">
        <v>615</v>
      </c>
      <c r="D551" s="40" t="s">
        <v>1658</v>
      </c>
      <c r="E551" s="41" t="s">
        <v>680</v>
      </c>
      <c r="F551" s="39" t="s">
        <v>1659</v>
      </c>
      <c r="G551" s="42">
        <v>46266</v>
      </c>
      <c r="H551" s="43">
        <v>0.54</v>
      </c>
      <c r="I551" s="39"/>
      <c r="J551" s="40" t="s">
        <v>1618</v>
      </c>
      <c r="K551" s="40" t="s">
        <v>1640</v>
      </c>
    </row>
    <row r="552" spans="1:11">
      <c r="A552" s="39">
        <f t="shared" si="8"/>
        <v>551</v>
      </c>
      <c r="B552" s="39" t="s">
        <v>1491</v>
      </c>
      <c r="C552" s="39" t="s">
        <v>615</v>
      </c>
      <c r="D552" s="40" t="s">
        <v>1660</v>
      </c>
      <c r="E552" s="41" t="s">
        <v>1129</v>
      </c>
      <c r="F552" s="39" t="s">
        <v>1661</v>
      </c>
      <c r="G552" s="42">
        <v>46266</v>
      </c>
      <c r="H552" s="43">
        <v>0.83</v>
      </c>
      <c r="I552" s="39"/>
      <c r="J552" s="40" t="s">
        <v>1515</v>
      </c>
      <c r="K552" s="40" t="s">
        <v>1605</v>
      </c>
    </row>
    <row r="553" spans="1:11" ht="39">
      <c r="A553" s="39">
        <f t="shared" si="8"/>
        <v>552</v>
      </c>
      <c r="B553" s="39" t="s">
        <v>1491</v>
      </c>
      <c r="C553" s="39" t="s">
        <v>615</v>
      </c>
      <c r="D553" s="40" t="s">
        <v>1662</v>
      </c>
      <c r="E553" s="41" t="s">
        <v>683</v>
      </c>
      <c r="F553" s="39" t="s">
        <v>1663</v>
      </c>
      <c r="G553" s="42">
        <v>46357</v>
      </c>
      <c r="H553" s="43">
        <v>0.55400000000000005</v>
      </c>
      <c r="I553" s="56" t="s">
        <v>1664</v>
      </c>
      <c r="J553" s="40" t="s">
        <v>1515</v>
      </c>
      <c r="K553" s="40" t="s">
        <v>1605</v>
      </c>
    </row>
    <row r="554" spans="1:11">
      <c r="A554" s="39">
        <f t="shared" si="8"/>
        <v>553</v>
      </c>
      <c r="B554" s="39" t="s">
        <v>1491</v>
      </c>
      <c r="C554" s="39" t="s">
        <v>615</v>
      </c>
      <c r="D554" s="40" t="s">
        <v>1665</v>
      </c>
      <c r="E554" s="41" t="s">
        <v>686</v>
      </c>
      <c r="F554" s="39" t="s">
        <v>1666</v>
      </c>
      <c r="G554" s="42">
        <v>46266</v>
      </c>
      <c r="H554" s="43">
        <v>0.64380000000000004</v>
      </c>
      <c r="I554" s="39"/>
      <c r="J554" s="40" t="s">
        <v>1618</v>
      </c>
      <c r="K554" s="40" t="s">
        <v>1640</v>
      </c>
    </row>
    <row r="555" spans="1:11">
      <c r="A555" s="39">
        <f t="shared" si="8"/>
        <v>554</v>
      </c>
      <c r="B555" s="39" t="s">
        <v>1491</v>
      </c>
      <c r="C555" s="39" t="s">
        <v>615</v>
      </c>
      <c r="D555" s="40" t="s">
        <v>1667</v>
      </c>
      <c r="E555" s="41" t="s">
        <v>671</v>
      </c>
      <c r="F555" s="39" t="s">
        <v>1668</v>
      </c>
      <c r="G555" s="42">
        <v>46296</v>
      </c>
      <c r="H555" s="43">
        <v>0.86799999999999999</v>
      </c>
      <c r="I555" s="39" t="s">
        <v>1657</v>
      </c>
      <c r="J555" s="40" t="s">
        <v>1618</v>
      </c>
      <c r="K555" s="40" t="s">
        <v>1640</v>
      </c>
    </row>
    <row r="556" spans="1:11">
      <c r="A556" s="39">
        <f t="shared" si="8"/>
        <v>555</v>
      </c>
      <c r="B556" s="39" t="s">
        <v>1491</v>
      </c>
      <c r="C556" s="39" t="s">
        <v>615</v>
      </c>
      <c r="D556" s="40" t="s">
        <v>1669</v>
      </c>
      <c r="E556" s="41" t="s">
        <v>1363</v>
      </c>
      <c r="F556" s="39" t="s">
        <v>1670</v>
      </c>
      <c r="G556" s="42">
        <v>46172</v>
      </c>
      <c r="H556" s="55">
        <v>1</v>
      </c>
      <c r="I556" s="39" t="s">
        <v>1632</v>
      </c>
      <c r="J556" s="40" t="s">
        <v>1515</v>
      </c>
      <c r="K556" s="40" t="s">
        <v>1605</v>
      </c>
    </row>
    <row r="557" spans="1:11">
      <c r="A557" s="39">
        <f t="shared" si="8"/>
        <v>556</v>
      </c>
      <c r="B557" s="39" t="s">
        <v>1491</v>
      </c>
      <c r="C557" s="39" t="s">
        <v>615</v>
      </c>
      <c r="D557" s="40" t="s">
        <v>1671</v>
      </c>
      <c r="E557" s="41" t="s">
        <v>701</v>
      </c>
      <c r="F557" s="39" t="s">
        <v>1672</v>
      </c>
      <c r="G557" s="42">
        <v>46174</v>
      </c>
      <c r="H557" s="43">
        <v>1</v>
      </c>
      <c r="I557" s="58" t="s">
        <v>1673</v>
      </c>
      <c r="J557" s="40" t="s">
        <v>1515</v>
      </c>
      <c r="K557" s="40" t="s">
        <v>1605</v>
      </c>
    </row>
    <row r="558" spans="1:11">
      <c r="A558" s="39">
        <f t="shared" si="8"/>
        <v>557</v>
      </c>
      <c r="B558" s="39" t="s">
        <v>1491</v>
      </c>
      <c r="C558" s="39" t="s">
        <v>615</v>
      </c>
      <c r="D558" s="40" t="s">
        <v>1674</v>
      </c>
      <c r="E558" s="41" t="s">
        <v>1675</v>
      </c>
      <c r="F558" s="39"/>
      <c r="G558" s="42" t="s">
        <v>792</v>
      </c>
      <c r="H558" s="43" t="s">
        <v>484</v>
      </c>
      <c r="I558" s="39" t="s">
        <v>485</v>
      </c>
      <c r="J558" s="40" t="s">
        <v>1515</v>
      </c>
      <c r="K558" s="40" t="s">
        <v>1605</v>
      </c>
    </row>
    <row r="559" spans="1:11">
      <c r="A559" s="39">
        <f t="shared" si="8"/>
        <v>558</v>
      </c>
      <c r="B559" s="39" t="s">
        <v>1491</v>
      </c>
      <c r="C559" s="39" t="s">
        <v>615</v>
      </c>
      <c r="D559" s="40" t="s">
        <v>1676</v>
      </c>
      <c r="E559" s="41" t="s">
        <v>1677</v>
      </c>
      <c r="F559" s="39"/>
      <c r="G559" s="42" t="s">
        <v>792</v>
      </c>
      <c r="H559" s="43" t="s">
        <v>484</v>
      </c>
      <c r="I559" s="39" t="s">
        <v>485</v>
      </c>
      <c r="J559" s="40" t="s">
        <v>1515</v>
      </c>
      <c r="K559" s="40" t="s">
        <v>1605</v>
      </c>
    </row>
    <row r="560" spans="1:11">
      <c r="A560" s="39">
        <f t="shared" si="8"/>
        <v>559</v>
      </c>
      <c r="B560" s="39" t="s">
        <v>1491</v>
      </c>
      <c r="C560" s="39" t="s">
        <v>615</v>
      </c>
      <c r="D560" s="40" t="s">
        <v>1678</v>
      </c>
      <c r="E560" s="41" t="s">
        <v>1151</v>
      </c>
      <c r="F560" s="39"/>
      <c r="G560" s="42" t="s">
        <v>792</v>
      </c>
      <c r="H560" s="43" t="s">
        <v>484</v>
      </c>
      <c r="I560" s="39" t="s">
        <v>485</v>
      </c>
      <c r="J560" s="40" t="s">
        <v>1515</v>
      </c>
      <c r="K560" s="40" t="s">
        <v>1605</v>
      </c>
    </row>
    <row r="561" spans="1:11">
      <c r="A561" s="39">
        <f t="shared" si="8"/>
        <v>560</v>
      </c>
      <c r="B561" s="39" t="s">
        <v>1491</v>
      </c>
      <c r="C561" s="39" t="s">
        <v>615</v>
      </c>
      <c r="D561" s="40" t="s">
        <v>1679</v>
      </c>
      <c r="E561" s="41" t="s">
        <v>1680</v>
      </c>
      <c r="F561" s="58" t="s">
        <v>1681</v>
      </c>
      <c r="G561" s="42">
        <v>46357</v>
      </c>
      <c r="H561" s="43">
        <v>7.6899999999999996E-2</v>
      </c>
      <c r="I561" s="39"/>
      <c r="J561" s="40" t="s">
        <v>1515</v>
      </c>
      <c r="K561" s="40" t="s">
        <v>1605</v>
      </c>
    </row>
    <row r="562" spans="1:11">
      <c r="A562" s="39">
        <f t="shared" si="8"/>
        <v>561</v>
      </c>
      <c r="B562" s="39" t="s">
        <v>1491</v>
      </c>
      <c r="C562" s="39" t="s">
        <v>615</v>
      </c>
      <c r="D562" s="40" t="s">
        <v>1682</v>
      </c>
      <c r="E562" s="41" t="s">
        <v>1157</v>
      </c>
      <c r="F562" s="39"/>
      <c r="G562" s="42" t="s">
        <v>792</v>
      </c>
      <c r="H562" s="43" t="s">
        <v>484</v>
      </c>
      <c r="I562" s="39" t="s">
        <v>485</v>
      </c>
      <c r="J562" s="40" t="s">
        <v>1618</v>
      </c>
      <c r="K562" s="40" t="s">
        <v>1640</v>
      </c>
    </row>
    <row r="563" spans="1:11">
      <c r="A563" s="39">
        <f t="shared" si="8"/>
        <v>562</v>
      </c>
      <c r="B563" s="39" t="s">
        <v>1491</v>
      </c>
      <c r="C563" s="39" t="s">
        <v>615</v>
      </c>
      <c r="D563" s="40" t="s">
        <v>1683</v>
      </c>
      <c r="E563" s="41" t="s">
        <v>1684</v>
      </c>
      <c r="F563" s="39"/>
      <c r="G563" s="42" t="s">
        <v>792</v>
      </c>
      <c r="H563" s="43" t="s">
        <v>484</v>
      </c>
      <c r="I563" s="39" t="s">
        <v>485</v>
      </c>
      <c r="J563" s="40" t="s">
        <v>1618</v>
      </c>
      <c r="K563" s="40" t="s">
        <v>1640</v>
      </c>
    </row>
    <row r="564" spans="1:11">
      <c r="A564" s="39">
        <f t="shared" si="8"/>
        <v>563</v>
      </c>
      <c r="B564" s="39" t="s">
        <v>1491</v>
      </c>
      <c r="C564" s="39" t="s">
        <v>615</v>
      </c>
      <c r="D564" s="40" t="s">
        <v>1685</v>
      </c>
      <c r="E564" s="41" t="s">
        <v>1686</v>
      </c>
      <c r="F564" s="39"/>
      <c r="G564" s="42" t="s">
        <v>792</v>
      </c>
      <c r="H564" s="55" t="s">
        <v>484</v>
      </c>
      <c r="I564" s="39" t="s">
        <v>485</v>
      </c>
      <c r="J564" s="40" t="s">
        <v>1618</v>
      </c>
      <c r="K564" s="40" t="s">
        <v>1640</v>
      </c>
    </row>
    <row r="565" spans="1:11" ht="204">
      <c r="A565" s="39">
        <f t="shared" si="8"/>
        <v>564</v>
      </c>
      <c r="B565" s="39" t="s">
        <v>1687</v>
      </c>
      <c r="C565" s="39" t="s">
        <v>440</v>
      </c>
      <c r="D565" s="77" t="s">
        <v>1688</v>
      </c>
      <c r="E565" s="41" t="s">
        <v>1689</v>
      </c>
      <c r="F565" s="56" t="s">
        <v>1690</v>
      </c>
      <c r="G565" s="42">
        <v>46203</v>
      </c>
      <c r="H565" s="43">
        <v>0.95</v>
      </c>
      <c r="I565" s="56" t="s">
        <v>1691</v>
      </c>
      <c r="J565" s="78" t="s">
        <v>159</v>
      </c>
      <c r="K565" s="79" t="s">
        <v>1692</v>
      </c>
    </row>
    <row r="566" spans="1:11">
      <c r="A566" s="39">
        <f t="shared" si="8"/>
        <v>565</v>
      </c>
      <c r="B566" s="39" t="s">
        <v>1687</v>
      </c>
      <c r="C566" s="39" t="s">
        <v>440</v>
      </c>
      <c r="D566" s="77" t="s">
        <v>1693</v>
      </c>
      <c r="E566" s="41" t="s">
        <v>1694</v>
      </c>
      <c r="F566" s="39"/>
      <c r="G566" s="42">
        <v>46438</v>
      </c>
      <c r="H566" s="43">
        <v>0.17</v>
      </c>
      <c r="I566" s="39"/>
      <c r="J566" s="40" t="s">
        <v>938</v>
      </c>
      <c r="K566" s="79" t="s">
        <v>1695</v>
      </c>
    </row>
    <row r="567" spans="1:11">
      <c r="A567" s="39">
        <f t="shared" si="8"/>
        <v>566</v>
      </c>
      <c r="B567" s="39" t="s">
        <v>1687</v>
      </c>
      <c r="C567" s="39" t="s">
        <v>440</v>
      </c>
      <c r="D567" s="77" t="s">
        <v>1696</v>
      </c>
      <c r="E567" s="41" t="s">
        <v>1697</v>
      </c>
      <c r="F567" s="39"/>
      <c r="G567" s="42">
        <v>46722</v>
      </c>
      <c r="H567" s="43">
        <v>0</v>
      </c>
      <c r="I567" s="39"/>
      <c r="J567" s="78" t="s">
        <v>1698</v>
      </c>
      <c r="K567" s="79" t="s">
        <v>1692</v>
      </c>
    </row>
    <row r="568" spans="1:11">
      <c r="A568" s="45">
        <f t="shared" si="8"/>
        <v>567</v>
      </c>
      <c r="B568" s="45" t="s">
        <v>1687</v>
      </c>
      <c r="C568" s="45" t="s">
        <v>440</v>
      </c>
      <c r="D568" s="80" t="s">
        <v>1699</v>
      </c>
      <c r="E568" s="71" t="s">
        <v>1700</v>
      </c>
      <c r="F568" s="45"/>
      <c r="G568" s="48" t="s">
        <v>452</v>
      </c>
      <c r="H568" s="49">
        <v>1</v>
      </c>
      <c r="I568" s="45"/>
      <c r="J568" s="81" t="s">
        <v>1698</v>
      </c>
      <c r="K568" s="82" t="s">
        <v>1692</v>
      </c>
    </row>
    <row r="569" spans="1:11">
      <c r="A569" s="45">
        <f t="shared" si="8"/>
        <v>568</v>
      </c>
      <c r="B569" s="45" t="s">
        <v>1687</v>
      </c>
      <c r="C569" s="45" t="s">
        <v>440</v>
      </c>
      <c r="D569" s="80" t="s">
        <v>1701</v>
      </c>
      <c r="E569" s="71" t="s">
        <v>1702</v>
      </c>
      <c r="F569" s="45"/>
      <c r="G569" s="48" t="s">
        <v>452</v>
      </c>
      <c r="H569" s="49">
        <v>1</v>
      </c>
      <c r="I569" s="45" t="s">
        <v>1021</v>
      </c>
      <c r="J569" s="81" t="s">
        <v>1698</v>
      </c>
      <c r="K569" s="81"/>
    </row>
    <row r="570" spans="1:11">
      <c r="A570" s="45">
        <f t="shared" si="8"/>
        <v>569</v>
      </c>
      <c r="B570" s="45" t="s">
        <v>1687</v>
      </c>
      <c r="C570" s="45" t="s">
        <v>440</v>
      </c>
      <c r="D570" s="80" t="s">
        <v>1703</v>
      </c>
      <c r="E570" s="71" t="s">
        <v>1704</v>
      </c>
      <c r="F570" s="45"/>
      <c r="G570" s="48" t="s">
        <v>452</v>
      </c>
      <c r="H570" s="49">
        <v>1</v>
      </c>
      <c r="I570" s="45" t="s">
        <v>1021</v>
      </c>
      <c r="J570" s="81" t="s">
        <v>1698</v>
      </c>
      <c r="K570" s="81"/>
    </row>
    <row r="571" spans="1:11">
      <c r="A571" s="45">
        <f t="shared" si="8"/>
        <v>570</v>
      </c>
      <c r="B571" s="45" t="s">
        <v>1687</v>
      </c>
      <c r="C571" s="45" t="s">
        <v>529</v>
      </c>
      <c r="D571" s="80" t="s">
        <v>1705</v>
      </c>
      <c r="E571" s="71" t="s">
        <v>1706</v>
      </c>
      <c r="F571" s="45"/>
      <c r="G571" s="48" t="s">
        <v>452</v>
      </c>
      <c r="H571" s="49">
        <v>1</v>
      </c>
      <c r="I571" s="45" t="s">
        <v>1021</v>
      </c>
      <c r="J571" s="81" t="s">
        <v>1698</v>
      </c>
      <c r="K571" s="81"/>
    </row>
    <row r="572" spans="1:11">
      <c r="A572" s="45">
        <f t="shared" si="8"/>
        <v>571</v>
      </c>
      <c r="B572" s="45" t="s">
        <v>1687</v>
      </c>
      <c r="C572" s="45" t="s">
        <v>529</v>
      </c>
      <c r="D572" s="80" t="s">
        <v>1707</v>
      </c>
      <c r="E572" s="71" t="s">
        <v>1708</v>
      </c>
      <c r="F572" s="45"/>
      <c r="G572" s="48" t="s">
        <v>452</v>
      </c>
      <c r="H572" s="49">
        <v>1</v>
      </c>
      <c r="I572" s="45" t="s">
        <v>1021</v>
      </c>
      <c r="J572" s="81" t="s">
        <v>1698</v>
      </c>
      <c r="K572" s="81"/>
    </row>
    <row r="573" spans="1:11">
      <c r="A573" s="45">
        <f t="shared" si="8"/>
        <v>572</v>
      </c>
      <c r="B573" s="45" t="s">
        <v>1687</v>
      </c>
      <c r="C573" s="45" t="s">
        <v>529</v>
      </c>
      <c r="D573" s="80" t="s">
        <v>1709</v>
      </c>
      <c r="E573" s="71" t="s">
        <v>1710</v>
      </c>
      <c r="F573" s="45"/>
      <c r="G573" s="48" t="s">
        <v>452</v>
      </c>
      <c r="H573" s="49">
        <v>1</v>
      </c>
      <c r="I573" s="45" t="s">
        <v>1021</v>
      </c>
      <c r="J573" s="81" t="s">
        <v>1698</v>
      </c>
      <c r="K573" s="81"/>
    </row>
    <row r="574" spans="1:11">
      <c r="A574" s="39">
        <f t="shared" si="8"/>
        <v>573</v>
      </c>
      <c r="B574" s="39" t="s">
        <v>1687</v>
      </c>
      <c r="C574" s="39" t="s">
        <v>529</v>
      </c>
      <c r="D574" s="77" t="s">
        <v>1711</v>
      </c>
      <c r="E574" s="41" t="s">
        <v>1712</v>
      </c>
      <c r="F574" s="39"/>
      <c r="G574" s="42">
        <v>46722</v>
      </c>
      <c r="H574" s="55">
        <v>1</v>
      </c>
      <c r="I574" s="39" t="s">
        <v>1713</v>
      </c>
      <c r="J574" s="78" t="s">
        <v>1698</v>
      </c>
      <c r="K574" s="79" t="s">
        <v>1692</v>
      </c>
    </row>
    <row r="575" spans="1:11">
      <c r="A575" s="45">
        <f t="shared" si="8"/>
        <v>574</v>
      </c>
      <c r="B575" s="45" t="s">
        <v>1687</v>
      </c>
      <c r="C575" s="45" t="s">
        <v>440</v>
      </c>
      <c r="D575" s="80" t="s">
        <v>1714</v>
      </c>
      <c r="E575" s="71" t="s">
        <v>1715</v>
      </c>
      <c r="F575" s="45"/>
      <c r="G575" s="48" t="s">
        <v>452</v>
      </c>
      <c r="H575" s="49">
        <v>1</v>
      </c>
      <c r="I575" s="45" t="s">
        <v>1021</v>
      </c>
      <c r="J575" s="81" t="s">
        <v>1698</v>
      </c>
      <c r="K575" s="81"/>
    </row>
    <row r="576" spans="1:11">
      <c r="A576" s="45">
        <f t="shared" si="8"/>
        <v>575</v>
      </c>
      <c r="B576" s="45" t="s">
        <v>1687</v>
      </c>
      <c r="C576" s="45" t="s">
        <v>529</v>
      </c>
      <c r="D576" s="80" t="s">
        <v>1716</v>
      </c>
      <c r="E576" s="71" t="s">
        <v>1303</v>
      </c>
      <c r="F576" s="45"/>
      <c r="G576" s="48" t="s">
        <v>452</v>
      </c>
      <c r="H576" s="49">
        <v>1</v>
      </c>
      <c r="I576" s="45" t="s">
        <v>1021</v>
      </c>
      <c r="J576" s="81" t="s">
        <v>1698</v>
      </c>
      <c r="K576" s="81"/>
    </row>
    <row r="577" spans="1:11">
      <c r="A577" s="39">
        <f t="shared" si="8"/>
        <v>576</v>
      </c>
      <c r="B577" s="39" t="s">
        <v>1687</v>
      </c>
      <c r="C577" s="39" t="s">
        <v>529</v>
      </c>
      <c r="D577" s="77" t="s">
        <v>1717</v>
      </c>
      <c r="E577" s="41" t="s">
        <v>950</v>
      </c>
      <c r="F577" s="39"/>
      <c r="G577" s="42">
        <v>46722</v>
      </c>
      <c r="H577" s="55">
        <v>1</v>
      </c>
      <c r="I577" s="39" t="s">
        <v>1713</v>
      </c>
      <c r="J577" s="78" t="s">
        <v>1698</v>
      </c>
      <c r="K577" s="78"/>
    </row>
    <row r="578" spans="1:11">
      <c r="A578" s="39">
        <f t="shared" si="8"/>
        <v>577</v>
      </c>
      <c r="B578" s="39" t="s">
        <v>1687</v>
      </c>
      <c r="C578" s="39" t="s">
        <v>440</v>
      </c>
      <c r="D578" s="77" t="s">
        <v>1718</v>
      </c>
      <c r="E578" s="41" t="s">
        <v>1719</v>
      </c>
      <c r="F578" s="39"/>
      <c r="G578" s="42">
        <v>46296</v>
      </c>
      <c r="H578" s="43">
        <v>0.05</v>
      </c>
      <c r="I578" s="39"/>
      <c r="J578" s="78" t="s">
        <v>938</v>
      </c>
      <c r="K578" s="79"/>
    </row>
    <row r="579" spans="1:11">
      <c r="A579" s="45">
        <f t="shared" ref="A579:A642" si="9">ROW()-1</f>
        <v>578</v>
      </c>
      <c r="B579" s="45" t="s">
        <v>1687</v>
      </c>
      <c r="C579" s="45" t="s">
        <v>529</v>
      </c>
      <c r="D579" s="80" t="s">
        <v>1720</v>
      </c>
      <c r="E579" s="71" t="s">
        <v>584</v>
      </c>
      <c r="F579" s="45"/>
      <c r="G579" s="48" t="s">
        <v>452</v>
      </c>
      <c r="H579" s="49">
        <v>1</v>
      </c>
      <c r="I579" s="45"/>
      <c r="J579" s="81" t="s">
        <v>1698</v>
      </c>
      <c r="K579" s="82" t="s">
        <v>1692</v>
      </c>
    </row>
    <row r="580" spans="1:11">
      <c r="A580" s="45">
        <f t="shared" si="9"/>
        <v>579</v>
      </c>
      <c r="B580" s="45" t="s">
        <v>1687</v>
      </c>
      <c r="C580" s="45" t="s">
        <v>440</v>
      </c>
      <c r="D580" s="80" t="s">
        <v>1721</v>
      </c>
      <c r="E580" s="71" t="s">
        <v>1722</v>
      </c>
      <c r="F580" s="45"/>
      <c r="G580" s="48" t="s">
        <v>452</v>
      </c>
      <c r="H580" s="49">
        <v>1</v>
      </c>
      <c r="I580" s="45" t="s">
        <v>1021</v>
      </c>
      <c r="J580" s="81" t="s">
        <v>1698</v>
      </c>
      <c r="K580" s="81"/>
    </row>
    <row r="581" spans="1:11">
      <c r="A581" s="39">
        <f t="shared" si="9"/>
        <v>580</v>
      </c>
      <c r="B581" s="39" t="s">
        <v>1687</v>
      </c>
      <c r="C581" s="39" t="s">
        <v>440</v>
      </c>
      <c r="D581" s="77" t="s">
        <v>1723</v>
      </c>
      <c r="E581" s="41" t="s">
        <v>1724</v>
      </c>
      <c r="F581" s="39"/>
      <c r="G581" s="42">
        <v>46722</v>
      </c>
      <c r="H581" s="55">
        <v>1</v>
      </c>
      <c r="I581" s="39" t="s">
        <v>1713</v>
      </c>
      <c r="J581" s="40" t="s">
        <v>1698</v>
      </c>
      <c r="K581" s="79" t="s">
        <v>1692</v>
      </c>
    </row>
    <row r="582" spans="1:11">
      <c r="A582" s="39">
        <f t="shared" si="9"/>
        <v>581</v>
      </c>
      <c r="B582" s="39" t="s">
        <v>1687</v>
      </c>
      <c r="C582" s="39" t="s">
        <v>529</v>
      </c>
      <c r="D582" s="77" t="s">
        <v>1725</v>
      </c>
      <c r="E582" s="41" t="s">
        <v>1726</v>
      </c>
      <c r="F582" s="39"/>
      <c r="G582" s="42">
        <v>46722</v>
      </c>
      <c r="H582" s="55">
        <v>1</v>
      </c>
      <c r="I582" s="39" t="s">
        <v>1713</v>
      </c>
      <c r="J582" s="78" t="s">
        <v>1698</v>
      </c>
      <c r="K582" s="78"/>
    </row>
    <row r="583" spans="1:11">
      <c r="A583" s="39">
        <f t="shared" si="9"/>
        <v>582</v>
      </c>
      <c r="B583" s="39" t="s">
        <v>1687</v>
      </c>
      <c r="C583" s="39" t="s">
        <v>610</v>
      </c>
      <c r="D583" s="77" t="s">
        <v>1727</v>
      </c>
      <c r="E583" s="41" t="s">
        <v>1728</v>
      </c>
      <c r="F583" s="39"/>
      <c r="G583" s="42">
        <v>46722</v>
      </c>
      <c r="H583" s="55">
        <v>1</v>
      </c>
      <c r="I583" s="39" t="s">
        <v>1713</v>
      </c>
      <c r="J583" s="78" t="s">
        <v>1698</v>
      </c>
      <c r="K583" s="78"/>
    </row>
    <row r="584" spans="1:11">
      <c r="A584" s="39">
        <f t="shared" si="9"/>
        <v>583</v>
      </c>
      <c r="B584" s="39" t="s">
        <v>1687</v>
      </c>
      <c r="C584" s="39" t="s">
        <v>615</v>
      </c>
      <c r="D584" s="77" t="s">
        <v>1729</v>
      </c>
      <c r="E584" s="41" t="s">
        <v>1730</v>
      </c>
      <c r="F584" s="39" t="s">
        <v>1731</v>
      </c>
      <c r="G584" s="42">
        <v>46722</v>
      </c>
      <c r="H584" s="55">
        <v>1</v>
      </c>
      <c r="I584" s="39" t="s">
        <v>1713</v>
      </c>
      <c r="J584" s="78" t="s">
        <v>1698</v>
      </c>
      <c r="K584" s="78"/>
    </row>
    <row r="585" spans="1:11">
      <c r="A585" s="39">
        <f t="shared" si="9"/>
        <v>584</v>
      </c>
      <c r="B585" s="39" t="s">
        <v>1687</v>
      </c>
      <c r="C585" s="39" t="s">
        <v>615</v>
      </c>
      <c r="D585" s="77" t="s">
        <v>1732</v>
      </c>
      <c r="E585" s="41" t="s">
        <v>1733</v>
      </c>
      <c r="F585" s="39" t="s">
        <v>1734</v>
      </c>
      <c r="G585" s="42">
        <v>46722</v>
      </c>
      <c r="H585" s="55">
        <v>1</v>
      </c>
      <c r="I585" s="39" t="s">
        <v>1713</v>
      </c>
      <c r="J585" s="78" t="s">
        <v>1698</v>
      </c>
      <c r="K585" s="78"/>
    </row>
    <row r="586" spans="1:11">
      <c r="A586" s="39">
        <f t="shared" si="9"/>
        <v>585</v>
      </c>
      <c r="B586" s="39" t="s">
        <v>1687</v>
      </c>
      <c r="C586" s="39" t="s">
        <v>615</v>
      </c>
      <c r="D586" s="77" t="s">
        <v>1735</v>
      </c>
      <c r="E586" s="41" t="s">
        <v>1736</v>
      </c>
      <c r="F586" s="39" t="s">
        <v>1737</v>
      </c>
      <c r="G586" s="42">
        <v>46722</v>
      </c>
      <c r="H586" s="55">
        <v>1</v>
      </c>
      <c r="I586" s="39" t="s">
        <v>1713</v>
      </c>
      <c r="J586" s="78" t="s">
        <v>1698</v>
      </c>
      <c r="K586" s="78"/>
    </row>
    <row r="587" spans="1:11">
      <c r="A587" s="39">
        <f t="shared" si="9"/>
        <v>586</v>
      </c>
      <c r="B587" s="39" t="s">
        <v>1687</v>
      </c>
      <c r="C587" s="39" t="s">
        <v>615</v>
      </c>
      <c r="D587" s="77" t="s">
        <v>1738</v>
      </c>
      <c r="E587" s="41" t="s">
        <v>1739</v>
      </c>
      <c r="F587" s="39" t="s">
        <v>1740</v>
      </c>
      <c r="G587" s="42">
        <v>46722</v>
      </c>
      <c r="H587" s="55">
        <v>1</v>
      </c>
      <c r="I587" s="39" t="s">
        <v>1713</v>
      </c>
      <c r="J587" s="78" t="s">
        <v>1698</v>
      </c>
      <c r="K587" s="78"/>
    </row>
    <row r="588" spans="1:11">
      <c r="A588" s="39">
        <f t="shared" si="9"/>
        <v>587</v>
      </c>
      <c r="B588" s="39" t="s">
        <v>1687</v>
      </c>
      <c r="C588" s="39" t="s">
        <v>615</v>
      </c>
      <c r="D588" s="77" t="s">
        <v>1741</v>
      </c>
      <c r="E588" s="41" t="s">
        <v>1742</v>
      </c>
      <c r="F588" s="39" t="s">
        <v>1743</v>
      </c>
      <c r="G588" s="42">
        <v>46722</v>
      </c>
      <c r="H588" s="55">
        <v>1</v>
      </c>
      <c r="I588" s="39" t="s">
        <v>1713</v>
      </c>
      <c r="J588" s="40" t="s">
        <v>1698</v>
      </c>
      <c r="K588" s="40"/>
    </row>
    <row r="589" spans="1:11">
      <c r="A589" s="39">
        <f t="shared" si="9"/>
        <v>588</v>
      </c>
      <c r="B589" s="39" t="s">
        <v>1687</v>
      </c>
      <c r="C589" s="39" t="s">
        <v>615</v>
      </c>
      <c r="D589" s="77" t="s">
        <v>1744</v>
      </c>
      <c r="E589" s="41" t="s">
        <v>1745</v>
      </c>
      <c r="F589" s="39" t="s">
        <v>1746</v>
      </c>
      <c r="G589" s="42">
        <v>46722</v>
      </c>
      <c r="H589" s="55">
        <v>1</v>
      </c>
      <c r="I589" s="39" t="s">
        <v>1713</v>
      </c>
      <c r="J589" s="78" t="s">
        <v>1698</v>
      </c>
      <c r="K589" s="78"/>
    </row>
    <row r="590" spans="1:11">
      <c r="A590" s="39">
        <f t="shared" si="9"/>
        <v>589</v>
      </c>
      <c r="B590" s="39" t="s">
        <v>1687</v>
      </c>
      <c r="C590" s="39" t="s">
        <v>615</v>
      </c>
      <c r="D590" s="77" t="s">
        <v>1747</v>
      </c>
      <c r="E590" s="41" t="s">
        <v>1748</v>
      </c>
      <c r="F590" s="39" t="s">
        <v>1749</v>
      </c>
      <c r="G590" s="42">
        <v>46174</v>
      </c>
      <c r="H590" s="43">
        <v>0</v>
      </c>
      <c r="I590" s="39" t="s">
        <v>1713</v>
      </c>
      <c r="J590" s="78" t="s">
        <v>1698</v>
      </c>
      <c r="K590" s="79"/>
    </row>
    <row r="591" spans="1:11">
      <c r="A591" s="39">
        <f t="shared" si="9"/>
        <v>590</v>
      </c>
      <c r="B591" s="39" t="s">
        <v>1687</v>
      </c>
      <c r="C591" s="39" t="s">
        <v>615</v>
      </c>
      <c r="D591" s="77" t="s">
        <v>1750</v>
      </c>
      <c r="E591" s="41" t="s">
        <v>1751</v>
      </c>
      <c r="F591" s="39" t="s">
        <v>1752</v>
      </c>
      <c r="G591" s="42">
        <v>46722</v>
      </c>
      <c r="H591" s="55">
        <v>1</v>
      </c>
      <c r="I591" s="39" t="s">
        <v>1753</v>
      </c>
      <c r="J591" s="40" t="s">
        <v>1698</v>
      </c>
      <c r="K591" s="40"/>
    </row>
    <row r="592" spans="1:11">
      <c r="A592" s="39">
        <f t="shared" si="9"/>
        <v>591</v>
      </c>
      <c r="B592" s="39" t="s">
        <v>1687</v>
      </c>
      <c r="C592" s="39" t="s">
        <v>615</v>
      </c>
      <c r="D592" s="77" t="s">
        <v>1754</v>
      </c>
      <c r="E592" s="41" t="s">
        <v>647</v>
      </c>
      <c r="F592" s="39" t="s">
        <v>1755</v>
      </c>
      <c r="G592" s="42">
        <v>46722</v>
      </c>
      <c r="H592" s="55">
        <v>1</v>
      </c>
      <c r="I592" s="39" t="s">
        <v>1753</v>
      </c>
      <c r="J592" s="40" t="s">
        <v>1698</v>
      </c>
      <c r="K592" s="40"/>
    </row>
    <row r="593" spans="1:11">
      <c r="A593" s="39">
        <f t="shared" si="9"/>
        <v>592</v>
      </c>
      <c r="B593" s="39" t="s">
        <v>1687</v>
      </c>
      <c r="C593" s="39" t="s">
        <v>615</v>
      </c>
      <c r="D593" s="77" t="s">
        <v>1756</v>
      </c>
      <c r="E593" s="41" t="s">
        <v>654</v>
      </c>
      <c r="F593" s="39" t="s">
        <v>1757</v>
      </c>
      <c r="G593" s="42">
        <v>46722</v>
      </c>
      <c r="H593" s="55">
        <v>1</v>
      </c>
      <c r="I593" s="39" t="s">
        <v>1753</v>
      </c>
      <c r="J593" s="40" t="s">
        <v>1698</v>
      </c>
      <c r="K593" s="40"/>
    </row>
    <row r="594" spans="1:11">
      <c r="A594" s="39">
        <f t="shared" si="9"/>
        <v>593</v>
      </c>
      <c r="B594" s="39" t="s">
        <v>1687</v>
      </c>
      <c r="C594" s="39" t="s">
        <v>615</v>
      </c>
      <c r="D594" s="77" t="s">
        <v>1758</v>
      </c>
      <c r="E594" s="41" t="s">
        <v>1122</v>
      </c>
      <c r="F594" s="39" t="s">
        <v>1759</v>
      </c>
      <c r="G594" s="42">
        <v>46722</v>
      </c>
      <c r="H594" s="55">
        <v>1</v>
      </c>
      <c r="I594" s="39" t="s">
        <v>1753</v>
      </c>
      <c r="J594" s="40" t="s">
        <v>1698</v>
      </c>
      <c r="K594" s="79" t="s">
        <v>1692</v>
      </c>
    </row>
    <row r="595" spans="1:11">
      <c r="A595" s="39">
        <f t="shared" si="9"/>
        <v>594</v>
      </c>
      <c r="B595" s="39" t="s">
        <v>1687</v>
      </c>
      <c r="C595" s="39" t="s">
        <v>615</v>
      </c>
      <c r="D595" s="77" t="s">
        <v>1760</v>
      </c>
      <c r="E595" s="41" t="s">
        <v>1120</v>
      </c>
      <c r="F595" s="39" t="s">
        <v>1761</v>
      </c>
      <c r="G595" s="42">
        <v>46722</v>
      </c>
      <c r="H595" s="55">
        <v>1</v>
      </c>
      <c r="I595" s="39" t="s">
        <v>1753</v>
      </c>
      <c r="J595" s="40" t="s">
        <v>1698</v>
      </c>
      <c r="K595" s="79" t="s">
        <v>1692</v>
      </c>
    </row>
    <row r="596" spans="1:11">
      <c r="A596" s="39">
        <f t="shared" si="9"/>
        <v>595</v>
      </c>
      <c r="B596" s="39" t="s">
        <v>1687</v>
      </c>
      <c r="C596" s="39" t="s">
        <v>615</v>
      </c>
      <c r="D596" s="77" t="s">
        <v>1762</v>
      </c>
      <c r="E596" s="41" t="s">
        <v>662</v>
      </c>
      <c r="F596" s="39" t="s">
        <v>1763</v>
      </c>
      <c r="G596" s="42">
        <v>46722</v>
      </c>
      <c r="H596" s="55">
        <v>1</v>
      </c>
      <c r="I596" s="39" t="s">
        <v>1753</v>
      </c>
      <c r="J596" s="78" t="s">
        <v>1698</v>
      </c>
      <c r="K596" s="79" t="s">
        <v>1692</v>
      </c>
    </row>
    <row r="597" spans="1:11">
      <c r="A597" s="39">
        <f t="shared" si="9"/>
        <v>596</v>
      </c>
      <c r="B597" s="39" t="s">
        <v>1687</v>
      </c>
      <c r="C597" s="39" t="s">
        <v>615</v>
      </c>
      <c r="D597" s="77" t="s">
        <v>1764</v>
      </c>
      <c r="E597" s="41" t="s">
        <v>1765</v>
      </c>
      <c r="F597" s="39"/>
      <c r="G597" s="42">
        <v>46722</v>
      </c>
      <c r="H597" s="55">
        <v>1</v>
      </c>
      <c r="I597" s="39" t="s">
        <v>1753</v>
      </c>
      <c r="J597" s="78" t="s">
        <v>1698</v>
      </c>
      <c r="K597" s="78"/>
    </row>
    <row r="598" spans="1:11">
      <c r="A598" s="39">
        <f t="shared" si="9"/>
        <v>597</v>
      </c>
      <c r="B598" s="39" t="s">
        <v>1687</v>
      </c>
      <c r="C598" s="39" t="s">
        <v>615</v>
      </c>
      <c r="D598" s="77" t="s">
        <v>1766</v>
      </c>
      <c r="E598" s="41" t="s">
        <v>668</v>
      </c>
      <c r="F598" s="39" t="s">
        <v>1767</v>
      </c>
      <c r="G598" s="42">
        <v>46722</v>
      </c>
      <c r="H598" s="55">
        <v>1</v>
      </c>
      <c r="I598" s="39" t="s">
        <v>1753</v>
      </c>
      <c r="J598" s="78" t="s">
        <v>1698</v>
      </c>
      <c r="K598" s="78"/>
    </row>
    <row r="599" spans="1:11">
      <c r="A599" s="39">
        <f t="shared" si="9"/>
        <v>598</v>
      </c>
      <c r="B599" s="39" t="s">
        <v>1687</v>
      </c>
      <c r="C599" s="39" t="s">
        <v>615</v>
      </c>
      <c r="D599" s="77" t="s">
        <v>1768</v>
      </c>
      <c r="E599" s="41" t="s">
        <v>674</v>
      </c>
      <c r="F599" s="39" t="s">
        <v>1769</v>
      </c>
      <c r="G599" s="42">
        <v>46722</v>
      </c>
      <c r="H599" s="55">
        <v>1</v>
      </c>
      <c r="I599" s="39" t="s">
        <v>1753</v>
      </c>
      <c r="J599" s="78" t="s">
        <v>1698</v>
      </c>
      <c r="K599" s="78"/>
    </row>
    <row r="600" spans="1:11">
      <c r="A600" s="39">
        <f t="shared" si="9"/>
        <v>599</v>
      </c>
      <c r="B600" s="39" t="s">
        <v>1687</v>
      </c>
      <c r="C600" s="39" t="s">
        <v>615</v>
      </c>
      <c r="D600" s="77" t="s">
        <v>1770</v>
      </c>
      <c r="E600" s="41" t="s">
        <v>677</v>
      </c>
      <c r="F600" s="39" t="s">
        <v>1771</v>
      </c>
      <c r="G600" s="42">
        <v>46722</v>
      </c>
      <c r="H600" s="55">
        <v>1</v>
      </c>
      <c r="I600" s="39" t="s">
        <v>1753</v>
      </c>
      <c r="J600" s="78" t="s">
        <v>1698</v>
      </c>
      <c r="K600" s="78"/>
    </row>
    <row r="601" spans="1:11">
      <c r="A601" s="39">
        <f t="shared" si="9"/>
        <v>600</v>
      </c>
      <c r="B601" s="39" t="s">
        <v>1687</v>
      </c>
      <c r="C601" s="39" t="s">
        <v>615</v>
      </c>
      <c r="D601" s="77" t="s">
        <v>1772</v>
      </c>
      <c r="E601" s="41" t="s">
        <v>1773</v>
      </c>
      <c r="F601" s="39" t="s">
        <v>1774</v>
      </c>
      <c r="G601" s="42">
        <v>46722</v>
      </c>
      <c r="H601" s="55">
        <v>1</v>
      </c>
      <c r="I601" s="39" t="s">
        <v>1753</v>
      </c>
      <c r="J601" s="78" t="s">
        <v>1698</v>
      </c>
      <c r="K601" s="78"/>
    </row>
    <row r="602" spans="1:11">
      <c r="A602" s="39">
        <f t="shared" si="9"/>
        <v>601</v>
      </c>
      <c r="B602" s="39" t="s">
        <v>1687</v>
      </c>
      <c r="C602" s="39" t="s">
        <v>615</v>
      </c>
      <c r="D602" s="77" t="s">
        <v>1775</v>
      </c>
      <c r="E602" s="41" t="s">
        <v>1776</v>
      </c>
      <c r="F602" s="39" t="s">
        <v>1522</v>
      </c>
      <c r="G602" s="42">
        <v>46722</v>
      </c>
      <c r="H602" s="43">
        <v>0.92</v>
      </c>
      <c r="I602" s="39"/>
      <c r="J602" s="78" t="s">
        <v>1698</v>
      </c>
      <c r="K602" s="79" t="s">
        <v>1692</v>
      </c>
    </row>
    <row r="603" spans="1:11">
      <c r="A603" s="39">
        <f t="shared" si="9"/>
        <v>602</v>
      </c>
      <c r="B603" s="39" t="s">
        <v>1687</v>
      </c>
      <c r="C603" s="39" t="s">
        <v>615</v>
      </c>
      <c r="D603" s="77" t="s">
        <v>1777</v>
      </c>
      <c r="E603" s="41" t="s">
        <v>1778</v>
      </c>
      <c r="F603" s="39" t="s">
        <v>1779</v>
      </c>
      <c r="G603" s="42">
        <v>46722</v>
      </c>
      <c r="H603" s="55">
        <v>1</v>
      </c>
      <c r="I603" s="39" t="s">
        <v>1753</v>
      </c>
      <c r="J603" s="78" t="s">
        <v>1698</v>
      </c>
      <c r="K603" s="78"/>
    </row>
    <row r="604" spans="1:11">
      <c r="A604" s="39">
        <f t="shared" si="9"/>
        <v>603</v>
      </c>
      <c r="B604" s="39" t="s">
        <v>1687</v>
      </c>
      <c r="C604" s="39" t="s">
        <v>615</v>
      </c>
      <c r="D604" s="77" t="s">
        <v>1780</v>
      </c>
      <c r="E604" s="41" t="s">
        <v>701</v>
      </c>
      <c r="F604" s="39" t="s">
        <v>1518</v>
      </c>
      <c r="G604" s="42">
        <v>46722</v>
      </c>
      <c r="H604" s="55">
        <v>1</v>
      </c>
      <c r="I604" s="39" t="s">
        <v>1753</v>
      </c>
      <c r="J604" s="78" t="s">
        <v>1698</v>
      </c>
      <c r="K604" s="78"/>
    </row>
    <row r="605" spans="1:11">
      <c r="A605" s="39">
        <f t="shared" si="9"/>
        <v>604</v>
      </c>
      <c r="B605" s="39" t="s">
        <v>1687</v>
      </c>
      <c r="C605" s="39" t="s">
        <v>615</v>
      </c>
      <c r="D605" s="77" t="s">
        <v>1781</v>
      </c>
      <c r="E605" s="41" t="s">
        <v>1782</v>
      </c>
      <c r="F605" s="39" t="s">
        <v>1783</v>
      </c>
      <c r="G605" s="42">
        <v>46722</v>
      </c>
      <c r="H605" s="55">
        <v>1</v>
      </c>
      <c r="I605" s="39" t="s">
        <v>1753</v>
      </c>
      <c r="J605" s="78" t="s">
        <v>1698</v>
      </c>
      <c r="K605" s="79" t="s">
        <v>1692</v>
      </c>
    </row>
    <row r="606" spans="1:11">
      <c r="A606" s="39">
        <f t="shared" si="9"/>
        <v>605</v>
      </c>
      <c r="B606" s="39" t="s">
        <v>1687</v>
      </c>
      <c r="C606" s="39" t="s">
        <v>615</v>
      </c>
      <c r="D606" s="77" t="s">
        <v>1784</v>
      </c>
      <c r="E606" s="41" t="s">
        <v>1785</v>
      </c>
      <c r="F606" s="39" t="s">
        <v>1786</v>
      </c>
      <c r="G606" s="42">
        <v>46722</v>
      </c>
      <c r="H606" s="55">
        <v>1</v>
      </c>
      <c r="I606" s="39" t="s">
        <v>1753</v>
      </c>
      <c r="J606" s="78" t="s">
        <v>1698</v>
      </c>
      <c r="K606" s="79" t="s">
        <v>1692</v>
      </c>
    </row>
    <row r="607" spans="1:11">
      <c r="A607" s="39">
        <f t="shared" si="9"/>
        <v>606</v>
      </c>
      <c r="B607" s="39" t="s">
        <v>1687</v>
      </c>
      <c r="C607" s="39" t="s">
        <v>615</v>
      </c>
      <c r="D607" s="77" t="s">
        <v>1787</v>
      </c>
      <c r="E607" s="41" t="s">
        <v>1788</v>
      </c>
      <c r="F607" s="39"/>
      <c r="G607" s="42">
        <v>46722</v>
      </c>
      <c r="H607" s="43">
        <v>0</v>
      </c>
      <c r="I607" s="39"/>
      <c r="J607" s="78" t="s">
        <v>1698</v>
      </c>
      <c r="K607" s="79" t="s">
        <v>1692</v>
      </c>
    </row>
    <row r="608" spans="1:11">
      <c r="A608" s="39">
        <f t="shared" si="9"/>
        <v>607</v>
      </c>
      <c r="B608" s="39" t="s">
        <v>1687</v>
      </c>
      <c r="C608" s="39" t="s">
        <v>615</v>
      </c>
      <c r="D608" s="77" t="s">
        <v>1789</v>
      </c>
      <c r="E608" s="41" t="s">
        <v>1790</v>
      </c>
      <c r="F608" s="39" t="s">
        <v>1791</v>
      </c>
      <c r="G608" s="42">
        <v>46722</v>
      </c>
      <c r="H608" s="43">
        <v>0.87</v>
      </c>
      <c r="I608" s="39" t="s">
        <v>1792</v>
      </c>
      <c r="J608" s="78" t="s">
        <v>1698</v>
      </c>
      <c r="K608" s="79" t="s">
        <v>1692</v>
      </c>
    </row>
    <row r="609" spans="1:11">
      <c r="A609" s="39">
        <f t="shared" si="9"/>
        <v>608</v>
      </c>
      <c r="B609" s="39" t="s">
        <v>1687</v>
      </c>
      <c r="C609" s="39" t="s">
        <v>615</v>
      </c>
      <c r="D609" s="77" t="s">
        <v>1793</v>
      </c>
      <c r="E609" s="41" t="s">
        <v>1794</v>
      </c>
      <c r="F609" s="39"/>
      <c r="G609" s="42">
        <v>46722</v>
      </c>
      <c r="H609" s="43">
        <v>0</v>
      </c>
      <c r="I609" s="39" t="s">
        <v>1795</v>
      </c>
      <c r="J609" s="78" t="s">
        <v>1698</v>
      </c>
      <c r="K609" s="79" t="s">
        <v>1692</v>
      </c>
    </row>
    <row r="610" spans="1:11">
      <c r="A610" s="39">
        <f t="shared" si="9"/>
        <v>609</v>
      </c>
      <c r="B610" s="39" t="s">
        <v>1687</v>
      </c>
      <c r="C610" s="39" t="s">
        <v>734</v>
      </c>
      <c r="D610" s="77" t="s">
        <v>1796</v>
      </c>
      <c r="E610" s="41" t="s">
        <v>1797</v>
      </c>
      <c r="F610" s="39"/>
      <c r="G610" s="42">
        <v>46722</v>
      </c>
      <c r="H610" s="55">
        <v>1</v>
      </c>
      <c r="I610" s="39" t="s">
        <v>1753</v>
      </c>
      <c r="J610" s="83" t="s">
        <v>739</v>
      </c>
      <c r="K610" s="83"/>
    </row>
    <row r="611" spans="1:11">
      <c r="A611" s="45">
        <f t="shared" si="9"/>
        <v>610</v>
      </c>
      <c r="B611" s="45" t="s">
        <v>1687</v>
      </c>
      <c r="C611" s="45" t="s">
        <v>734</v>
      </c>
      <c r="D611" s="80" t="s">
        <v>1798</v>
      </c>
      <c r="E611" s="71" t="s">
        <v>1799</v>
      </c>
      <c r="F611" s="45"/>
      <c r="G611" s="48" t="s">
        <v>452</v>
      </c>
      <c r="H611" s="49">
        <v>1</v>
      </c>
      <c r="I611" s="45" t="s">
        <v>1021</v>
      </c>
      <c r="J611" s="81" t="s">
        <v>1698</v>
      </c>
      <c r="K611" s="81"/>
    </row>
    <row r="612" spans="1:11">
      <c r="A612" s="39">
        <f t="shared" si="9"/>
        <v>611</v>
      </c>
      <c r="B612" s="39" t="s">
        <v>1687</v>
      </c>
      <c r="C612" s="39" t="s">
        <v>734</v>
      </c>
      <c r="D612" s="77" t="s">
        <v>1800</v>
      </c>
      <c r="E612" s="41" t="s">
        <v>1801</v>
      </c>
      <c r="F612" s="39"/>
      <c r="G612" s="42">
        <v>46722</v>
      </c>
      <c r="H612" s="55">
        <v>1</v>
      </c>
      <c r="I612" s="39" t="s">
        <v>1753</v>
      </c>
      <c r="J612" s="78" t="s">
        <v>739</v>
      </c>
      <c r="K612" s="78"/>
    </row>
    <row r="613" spans="1:11">
      <c r="A613" s="39">
        <f t="shared" si="9"/>
        <v>612</v>
      </c>
      <c r="B613" s="39" t="s">
        <v>1687</v>
      </c>
      <c r="C613" s="39" t="s">
        <v>734</v>
      </c>
      <c r="D613" s="77" t="s">
        <v>1802</v>
      </c>
      <c r="E613" s="41" t="s">
        <v>1803</v>
      </c>
      <c r="F613" s="39"/>
      <c r="G613" s="42">
        <v>46722</v>
      </c>
      <c r="H613" s="55">
        <v>1</v>
      </c>
      <c r="I613" s="39" t="s">
        <v>1753</v>
      </c>
      <c r="J613" s="78" t="s">
        <v>739</v>
      </c>
      <c r="K613" s="78"/>
    </row>
    <row r="614" spans="1:11">
      <c r="A614" s="39">
        <f t="shared" si="9"/>
        <v>613</v>
      </c>
      <c r="B614" s="39" t="s">
        <v>1687</v>
      </c>
      <c r="C614" s="39" t="s">
        <v>734</v>
      </c>
      <c r="D614" s="78" t="s">
        <v>1804</v>
      </c>
      <c r="E614" s="41" t="s">
        <v>1805</v>
      </c>
      <c r="F614" s="39" t="s">
        <v>1806</v>
      </c>
      <c r="G614" s="42">
        <v>46143</v>
      </c>
      <c r="H614" s="55">
        <v>1</v>
      </c>
      <c r="I614" s="39" t="s">
        <v>1713</v>
      </c>
      <c r="J614" s="40" t="s">
        <v>739</v>
      </c>
      <c r="K614" s="79" t="s">
        <v>1692</v>
      </c>
    </row>
    <row r="615" spans="1:11">
      <c r="A615" s="39">
        <f t="shared" si="9"/>
        <v>614</v>
      </c>
      <c r="B615" s="39" t="s">
        <v>1687</v>
      </c>
      <c r="C615" s="39" t="s">
        <v>734</v>
      </c>
      <c r="D615" s="77" t="s">
        <v>1807</v>
      </c>
      <c r="E615" s="41" t="s">
        <v>1808</v>
      </c>
      <c r="F615" s="39" t="s">
        <v>1809</v>
      </c>
      <c r="G615" s="42">
        <v>46722</v>
      </c>
      <c r="H615" s="43">
        <v>0</v>
      </c>
      <c r="I615" s="39"/>
      <c r="J615" s="40" t="s">
        <v>739</v>
      </c>
      <c r="K615" s="79" t="s">
        <v>1692</v>
      </c>
    </row>
    <row r="616" spans="1:11">
      <c r="A616" s="45">
        <f t="shared" si="9"/>
        <v>615</v>
      </c>
      <c r="B616" s="45" t="s">
        <v>1687</v>
      </c>
      <c r="C616" s="45" t="s">
        <v>734</v>
      </c>
      <c r="D616" s="80" t="s">
        <v>1810</v>
      </c>
      <c r="E616" s="71" t="s">
        <v>1811</v>
      </c>
      <c r="F616" s="45"/>
      <c r="G616" s="48" t="s">
        <v>452</v>
      </c>
      <c r="H616" s="49">
        <v>1</v>
      </c>
      <c r="I616" s="45" t="s">
        <v>1021</v>
      </c>
      <c r="J616" s="81" t="s">
        <v>1698</v>
      </c>
      <c r="K616" s="81"/>
    </row>
    <row r="617" spans="1:11">
      <c r="A617" s="39">
        <f t="shared" si="9"/>
        <v>616</v>
      </c>
      <c r="B617" s="39" t="s">
        <v>1687</v>
      </c>
      <c r="C617" s="39" t="s">
        <v>734</v>
      </c>
      <c r="D617" s="77" t="s">
        <v>1812</v>
      </c>
      <c r="E617" s="41" t="s">
        <v>789</v>
      </c>
      <c r="F617" s="39" t="s">
        <v>780</v>
      </c>
      <c r="G617" s="42">
        <v>46722</v>
      </c>
      <c r="H617" s="43">
        <v>0</v>
      </c>
      <c r="I617" s="39"/>
      <c r="J617" s="40" t="s">
        <v>739</v>
      </c>
      <c r="K617" s="79" t="s">
        <v>1692</v>
      </c>
    </row>
    <row r="618" spans="1:11">
      <c r="A618" s="45">
        <f t="shared" si="9"/>
        <v>617</v>
      </c>
      <c r="B618" s="45" t="s">
        <v>1687</v>
      </c>
      <c r="C618" s="45" t="s">
        <v>734</v>
      </c>
      <c r="D618" s="80" t="s">
        <v>1813</v>
      </c>
      <c r="E618" s="71" t="s">
        <v>786</v>
      </c>
      <c r="F618" s="45"/>
      <c r="G618" s="48" t="s">
        <v>452</v>
      </c>
      <c r="H618" s="49">
        <v>1</v>
      </c>
      <c r="I618" s="45" t="s">
        <v>1021</v>
      </c>
      <c r="J618" s="81" t="s">
        <v>1698</v>
      </c>
      <c r="K618" s="81"/>
    </row>
    <row r="619" spans="1:11" ht="60">
      <c r="A619" s="39">
        <f t="shared" si="9"/>
        <v>618</v>
      </c>
      <c r="B619" s="39" t="s">
        <v>1687</v>
      </c>
      <c r="C619" s="39" t="s">
        <v>734</v>
      </c>
      <c r="D619" s="77" t="s">
        <v>1814</v>
      </c>
      <c r="E619" s="41" t="s">
        <v>1815</v>
      </c>
      <c r="F619" s="56" t="s">
        <v>1816</v>
      </c>
      <c r="G619" s="42">
        <v>46722</v>
      </c>
      <c r="H619" s="43">
        <v>0.2</v>
      </c>
      <c r="I619" s="39"/>
      <c r="J619" s="40" t="s">
        <v>739</v>
      </c>
      <c r="K619" s="79" t="s">
        <v>1692</v>
      </c>
    </row>
    <row r="620" spans="1:11">
      <c r="A620" s="45">
        <f t="shared" si="9"/>
        <v>619</v>
      </c>
      <c r="B620" s="45" t="s">
        <v>1687</v>
      </c>
      <c r="C620" s="45" t="s">
        <v>734</v>
      </c>
      <c r="D620" s="80" t="s">
        <v>1817</v>
      </c>
      <c r="E620" s="71" t="s">
        <v>1818</v>
      </c>
      <c r="F620" s="45"/>
      <c r="G620" s="48" t="s">
        <v>452</v>
      </c>
      <c r="H620" s="49">
        <v>1</v>
      </c>
      <c r="I620" s="45"/>
      <c r="J620" s="46" t="s">
        <v>1698</v>
      </c>
      <c r="K620" s="82" t="s">
        <v>1692</v>
      </c>
    </row>
    <row r="621" spans="1:11">
      <c r="A621" s="45">
        <f t="shared" si="9"/>
        <v>620</v>
      </c>
      <c r="B621" s="45" t="s">
        <v>1687</v>
      </c>
      <c r="C621" s="45" t="s">
        <v>734</v>
      </c>
      <c r="D621" s="80" t="s">
        <v>1819</v>
      </c>
      <c r="E621" s="71" t="s">
        <v>1820</v>
      </c>
      <c r="F621" s="45"/>
      <c r="G621" s="48" t="s">
        <v>452</v>
      </c>
      <c r="H621" s="49">
        <v>1</v>
      </c>
      <c r="I621" s="45"/>
      <c r="J621" s="46" t="s">
        <v>1698</v>
      </c>
      <c r="K621" s="82" t="s">
        <v>1692</v>
      </c>
    </row>
    <row r="622" spans="1:11">
      <c r="A622" s="45">
        <f t="shared" si="9"/>
        <v>621</v>
      </c>
      <c r="B622" s="45" t="s">
        <v>1687</v>
      </c>
      <c r="C622" s="45" t="s">
        <v>734</v>
      </c>
      <c r="D622" s="80" t="s">
        <v>1821</v>
      </c>
      <c r="E622" s="71" t="s">
        <v>1822</v>
      </c>
      <c r="F622" s="45"/>
      <c r="G622" s="48" t="s">
        <v>452</v>
      </c>
      <c r="H622" s="49">
        <v>1</v>
      </c>
      <c r="I622" s="45" t="s">
        <v>1021</v>
      </c>
      <c r="J622" s="46" t="s">
        <v>1698</v>
      </c>
      <c r="K622" s="46"/>
    </row>
    <row r="623" spans="1:11">
      <c r="A623" s="39">
        <f t="shared" si="9"/>
        <v>622</v>
      </c>
      <c r="B623" s="39" t="s">
        <v>1687</v>
      </c>
      <c r="C623" s="39" t="s">
        <v>843</v>
      </c>
      <c r="D623" s="77" t="s">
        <v>1823</v>
      </c>
      <c r="E623" s="41" t="s">
        <v>1824</v>
      </c>
      <c r="F623" s="39"/>
      <c r="G623" s="42">
        <v>46722</v>
      </c>
      <c r="H623" s="55">
        <v>1</v>
      </c>
      <c r="I623" s="39" t="s">
        <v>1753</v>
      </c>
      <c r="J623" s="78" t="s">
        <v>739</v>
      </c>
      <c r="K623" s="78"/>
    </row>
    <row r="624" spans="1:11">
      <c r="A624" s="45">
        <f t="shared" si="9"/>
        <v>623</v>
      </c>
      <c r="B624" s="45" t="s">
        <v>1687</v>
      </c>
      <c r="C624" s="45" t="s">
        <v>843</v>
      </c>
      <c r="D624" s="80" t="s">
        <v>1825</v>
      </c>
      <c r="E624" s="71" t="s">
        <v>1826</v>
      </c>
      <c r="F624" s="45"/>
      <c r="G624" s="48" t="s">
        <v>452</v>
      </c>
      <c r="H624" s="49">
        <v>1</v>
      </c>
      <c r="I624" s="45" t="s">
        <v>1021</v>
      </c>
      <c r="J624" s="81" t="s">
        <v>1698</v>
      </c>
      <c r="K624" s="81"/>
    </row>
    <row r="625" spans="1:11">
      <c r="A625" s="39">
        <f t="shared" si="9"/>
        <v>624</v>
      </c>
      <c r="B625" s="39" t="s">
        <v>1687</v>
      </c>
      <c r="C625" s="39" t="s">
        <v>843</v>
      </c>
      <c r="D625" s="77" t="s">
        <v>1827</v>
      </c>
      <c r="E625" s="84" t="s">
        <v>1828</v>
      </c>
      <c r="F625" s="40"/>
      <c r="G625" s="42">
        <v>46722</v>
      </c>
      <c r="H625" s="55">
        <v>1</v>
      </c>
      <c r="I625" s="39" t="s">
        <v>1753</v>
      </c>
      <c r="J625" s="40" t="s">
        <v>739</v>
      </c>
      <c r="K625" s="40"/>
    </row>
    <row r="626" spans="1:11">
      <c r="A626" s="45">
        <f t="shared" si="9"/>
        <v>625</v>
      </c>
      <c r="B626" s="45" t="s">
        <v>1687</v>
      </c>
      <c r="C626" s="45" t="s">
        <v>843</v>
      </c>
      <c r="D626" s="80" t="s">
        <v>1829</v>
      </c>
      <c r="E626" s="71" t="s">
        <v>1830</v>
      </c>
      <c r="F626" s="45"/>
      <c r="G626" s="48" t="s">
        <v>452</v>
      </c>
      <c r="H626" s="49">
        <v>1</v>
      </c>
      <c r="I626" s="45" t="s">
        <v>1021</v>
      </c>
      <c r="J626" s="81" t="s">
        <v>1698</v>
      </c>
      <c r="K626" s="81"/>
    </row>
    <row r="627" spans="1:11">
      <c r="A627" s="39">
        <f t="shared" si="9"/>
        <v>626</v>
      </c>
      <c r="B627" s="39" t="s">
        <v>1687</v>
      </c>
      <c r="C627" s="39" t="s">
        <v>843</v>
      </c>
      <c r="D627" s="77" t="s">
        <v>1831</v>
      </c>
      <c r="E627" s="41" t="s">
        <v>1832</v>
      </c>
      <c r="F627" s="39"/>
      <c r="G627" s="42">
        <v>46722</v>
      </c>
      <c r="H627" s="55">
        <v>1</v>
      </c>
      <c r="I627" s="39" t="s">
        <v>1753</v>
      </c>
      <c r="J627" s="40" t="s">
        <v>1698</v>
      </c>
      <c r="K627" s="40"/>
    </row>
    <row r="628" spans="1:11">
      <c r="A628" s="45">
        <f t="shared" si="9"/>
        <v>627</v>
      </c>
      <c r="B628" s="45" t="s">
        <v>1687</v>
      </c>
      <c r="C628" s="45" t="s">
        <v>843</v>
      </c>
      <c r="D628" s="80" t="s">
        <v>1833</v>
      </c>
      <c r="E628" s="71" t="s">
        <v>1834</v>
      </c>
      <c r="F628" s="45"/>
      <c r="G628" s="48" t="s">
        <v>452</v>
      </c>
      <c r="H628" s="49">
        <v>1</v>
      </c>
      <c r="I628" s="45" t="s">
        <v>1021</v>
      </c>
      <c r="J628" s="81" t="s">
        <v>1698</v>
      </c>
      <c r="K628" s="81"/>
    </row>
    <row r="629" spans="1:11">
      <c r="A629" s="39">
        <f t="shared" si="9"/>
        <v>628</v>
      </c>
      <c r="B629" s="39" t="s">
        <v>1687</v>
      </c>
      <c r="C629" s="39" t="s">
        <v>843</v>
      </c>
      <c r="D629" s="77" t="s">
        <v>1835</v>
      </c>
      <c r="E629" s="41" t="s">
        <v>1836</v>
      </c>
      <c r="F629" s="39"/>
      <c r="G629" s="42">
        <v>46722</v>
      </c>
      <c r="H629" s="55">
        <v>1</v>
      </c>
      <c r="I629" s="39" t="s">
        <v>1753</v>
      </c>
      <c r="J629" s="78" t="s">
        <v>739</v>
      </c>
      <c r="K629" s="78"/>
    </row>
    <row r="630" spans="1:11">
      <c r="A630" s="45">
        <f t="shared" si="9"/>
        <v>629</v>
      </c>
      <c r="B630" s="45" t="s">
        <v>1687</v>
      </c>
      <c r="C630" s="45" t="s">
        <v>843</v>
      </c>
      <c r="D630" s="80" t="s">
        <v>1837</v>
      </c>
      <c r="E630" s="71" t="s">
        <v>1244</v>
      </c>
      <c r="F630" s="45"/>
      <c r="G630" s="48" t="s">
        <v>452</v>
      </c>
      <c r="H630" s="49">
        <v>1</v>
      </c>
      <c r="I630" s="45" t="s">
        <v>1021</v>
      </c>
      <c r="J630" s="81" t="s">
        <v>739</v>
      </c>
      <c r="K630" s="81"/>
    </row>
    <row r="631" spans="1:11">
      <c r="A631" s="45">
        <f t="shared" si="9"/>
        <v>630</v>
      </c>
      <c r="B631" s="45" t="s">
        <v>1687</v>
      </c>
      <c r="C631" s="45" t="s">
        <v>843</v>
      </c>
      <c r="D631" s="80" t="s">
        <v>1838</v>
      </c>
      <c r="E631" s="71" t="s">
        <v>1839</v>
      </c>
      <c r="F631" s="45"/>
      <c r="G631" s="48" t="s">
        <v>452</v>
      </c>
      <c r="H631" s="49">
        <v>1</v>
      </c>
      <c r="I631" s="45" t="s">
        <v>1021</v>
      </c>
      <c r="J631" s="81" t="s">
        <v>739</v>
      </c>
      <c r="K631" s="81"/>
    </row>
    <row r="632" spans="1:11">
      <c r="A632" s="39">
        <f t="shared" si="9"/>
        <v>631</v>
      </c>
      <c r="B632" s="39" t="s">
        <v>1687</v>
      </c>
      <c r="C632" s="39" t="s">
        <v>843</v>
      </c>
      <c r="D632" s="77" t="s">
        <v>1823</v>
      </c>
      <c r="E632" s="41" t="s">
        <v>1840</v>
      </c>
      <c r="F632" s="39"/>
      <c r="G632" s="42">
        <v>46722</v>
      </c>
      <c r="H632" s="55">
        <v>1</v>
      </c>
      <c r="I632" s="39" t="s">
        <v>1753</v>
      </c>
      <c r="J632" s="40" t="s">
        <v>1698</v>
      </c>
      <c r="K632" s="79" t="s">
        <v>1692</v>
      </c>
    </row>
    <row r="633" spans="1:11">
      <c r="A633" s="39">
        <f t="shared" si="9"/>
        <v>632</v>
      </c>
      <c r="B633" s="39" t="s">
        <v>1687</v>
      </c>
      <c r="C633" s="39" t="s">
        <v>843</v>
      </c>
      <c r="D633" s="77" t="s">
        <v>1841</v>
      </c>
      <c r="E633" s="41" t="s">
        <v>1842</v>
      </c>
      <c r="F633" s="39"/>
      <c r="G633" s="42">
        <v>46722</v>
      </c>
      <c r="H633" s="43">
        <v>0</v>
      </c>
      <c r="I633" s="39" t="s">
        <v>1843</v>
      </c>
      <c r="J633" s="78" t="s">
        <v>1698</v>
      </c>
      <c r="K633" s="79" t="s">
        <v>1692</v>
      </c>
    </row>
    <row r="634" spans="1:11">
      <c r="A634" s="39">
        <f t="shared" si="9"/>
        <v>633</v>
      </c>
      <c r="B634" s="39" t="s">
        <v>1687</v>
      </c>
      <c r="C634" s="39" t="s">
        <v>843</v>
      </c>
      <c r="D634" s="77" t="s">
        <v>1844</v>
      </c>
      <c r="E634" s="41" t="s">
        <v>1845</v>
      </c>
      <c r="F634" s="39"/>
      <c r="G634" s="42">
        <v>46722</v>
      </c>
      <c r="H634" s="55">
        <v>1</v>
      </c>
      <c r="I634" s="39" t="s">
        <v>1753</v>
      </c>
      <c r="J634" s="78" t="s">
        <v>1698</v>
      </c>
      <c r="K634" s="78"/>
    </row>
    <row r="635" spans="1:11">
      <c r="A635" s="39">
        <f t="shared" si="9"/>
        <v>634</v>
      </c>
      <c r="B635" s="39" t="s">
        <v>1687</v>
      </c>
      <c r="C635" s="39" t="s">
        <v>843</v>
      </c>
      <c r="D635" s="77" t="s">
        <v>1846</v>
      </c>
      <c r="E635" s="41" t="s">
        <v>1847</v>
      </c>
      <c r="F635" s="39"/>
      <c r="G635" s="42">
        <v>46722</v>
      </c>
      <c r="H635" s="43">
        <v>0.95</v>
      </c>
      <c r="I635" s="39"/>
      <c r="J635" s="78" t="s">
        <v>739</v>
      </c>
      <c r="K635" s="79" t="s">
        <v>1692</v>
      </c>
    </row>
    <row r="636" spans="1:11">
      <c r="A636" s="45">
        <f t="shared" si="9"/>
        <v>635</v>
      </c>
      <c r="B636" s="45" t="s">
        <v>1687</v>
      </c>
      <c r="C636" s="45" t="s">
        <v>607</v>
      </c>
      <c r="D636" s="80" t="s">
        <v>1848</v>
      </c>
      <c r="E636" s="71" t="s">
        <v>1849</v>
      </c>
      <c r="F636" s="45"/>
      <c r="G636" s="48" t="s">
        <v>452</v>
      </c>
      <c r="H636" s="49">
        <v>1</v>
      </c>
      <c r="I636" s="45"/>
      <c r="J636" s="81" t="s">
        <v>1698</v>
      </c>
      <c r="K636" s="82" t="s">
        <v>1692</v>
      </c>
    </row>
    <row r="637" spans="1:11">
      <c r="A637" s="45">
        <f t="shared" si="9"/>
        <v>636</v>
      </c>
      <c r="B637" s="45" t="s">
        <v>1687</v>
      </c>
      <c r="C637" s="45" t="s">
        <v>607</v>
      </c>
      <c r="D637" s="80" t="s">
        <v>1850</v>
      </c>
      <c r="E637" s="71" t="s">
        <v>1851</v>
      </c>
      <c r="F637" s="45"/>
      <c r="G637" s="48" t="s">
        <v>452</v>
      </c>
      <c r="H637" s="49">
        <v>1</v>
      </c>
      <c r="I637" s="45"/>
      <c r="J637" s="81" t="s">
        <v>1698</v>
      </c>
      <c r="K637" s="82" t="s">
        <v>1692</v>
      </c>
    </row>
    <row r="638" spans="1:11">
      <c r="A638" s="45">
        <f t="shared" si="9"/>
        <v>637</v>
      </c>
      <c r="B638" s="45" t="s">
        <v>1687</v>
      </c>
      <c r="C638" s="45" t="s">
        <v>520</v>
      </c>
      <c r="D638" s="80" t="s">
        <v>1852</v>
      </c>
      <c r="E638" s="71" t="s">
        <v>1853</v>
      </c>
      <c r="F638" s="45"/>
      <c r="G638" s="48" t="s">
        <v>452</v>
      </c>
      <c r="H638" s="49">
        <v>1</v>
      </c>
      <c r="I638" s="45" t="s">
        <v>1021</v>
      </c>
      <c r="J638" s="46" t="s">
        <v>504</v>
      </c>
      <c r="K638" s="46"/>
    </row>
    <row r="639" spans="1:11">
      <c r="A639" s="45">
        <f t="shared" si="9"/>
        <v>638</v>
      </c>
      <c r="B639" s="45" t="s">
        <v>1854</v>
      </c>
      <c r="C639" s="45" t="s">
        <v>529</v>
      </c>
      <c r="D639" s="46" t="s">
        <v>1855</v>
      </c>
      <c r="E639" s="71" t="s">
        <v>1856</v>
      </c>
      <c r="F639" s="45"/>
      <c r="G639" s="48" t="s">
        <v>452</v>
      </c>
      <c r="H639" s="49">
        <v>1</v>
      </c>
      <c r="I639" s="45" t="s">
        <v>1857</v>
      </c>
      <c r="J639" s="46" t="s">
        <v>1017</v>
      </c>
      <c r="K639" s="46" t="s">
        <v>536</v>
      </c>
    </row>
    <row r="640" spans="1:11">
      <c r="A640" s="45">
        <f t="shared" si="9"/>
        <v>639</v>
      </c>
      <c r="B640" s="45" t="s">
        <v>1854</v>
      </c>
      <c r="C640" s="45" t="s">
        <v>440</v>
      </c>
      <c r="D640" s="46" t="s">
        <v>1858</v>
      </c>
      <c r="E640" s="71" t="s">
        <v>1859</v>
      </c>
      <c r="F640" s="45"/>
      <c r="G640" s="48" t="s">
        <v>452</v>
      </c>
      <c r="H640" s="49">
        <v>1</v>
      </c>
      <c r="I640" s="69"/>
      <c r="J640" s="46" t="s">
        <v>444</v>
      </c>
      <c r="K640" s="46" t="s">
        <v>535</v>
      </c>
    </row>
    <row r="641" spans="1:11">
      <c r="A641" s="45">
        <f t="shared" si="9"/>
        <v>640</v>
      </c>
      <c r="B641" s="45" t="s">
        <v>1854</v>
      </c>
      <c r="C641" s="45" t="s">
        <v>440</v>
      </c>
      <c r="D641" s="46" t="s">
        <v>1860</v>
      </c>
      <c r="E641" s="71" t="s">
        <v>1861</v>
      </c>
      <c r="F641" s="45"/>
      <c r="G641" s="48" t="s">
        <v>452</v>
      </c>
      <c r="H641" s="49">
        <v>1</v>
      </c>
      <c r="I641" s="45"/>
      <c r="J641" s="46" t="s">
        <v>1862</v>
      </c>
      <c r="K641" s="46" t="s">
        <v>535</v>
      </c>
    </row>
    <row r="642" spans="1:11">
      <c r="A642" s="45">
        <f t="shared" si="9"/>
        <v>641</v>
      </c>
      <c r="B642" s="45" t="s">
        <v>1854</v>
      </c>
      <c r="C642" s="45" t="s">
        <v>440</v>
      </c>
      <c r="D642" s="46" t="s">
        <v>1863</v>
      </c>
      <c r="E642" s="71" t="s">
        <v>1864</v>
      </c>
      <c r="F642" s="45"/>
      <c r="G642" s="48" t="s">
        <v>452</v>
      </c>
      <c r="H642" s="49">
        <v>1</v>
      </c>
      <c r="I642" s="45"/>
      <c r="J642" s="46" t="s">
        <v>1514</v>
      </c>
      <c r="K642" s="46" t="s">
        <v>938</v>
      </c>
    </row>
    <row r="643" spans="1:11">
      <c r="A643" s="45">
        <f t="shared" ref="A643:A706" si="10">ROW()-1</f>
        <v>642</v>
      </c>
      <c r="B643" s="45" t="s">
        <v>1854</v>
      </c>
      <c r="C643" s="45" t="s">
        <v>440</v>
      </c>
      <c r="D643" s="46" t="s">
        <v>1863</v>
      </c>
      <c r="E643" s="71" t="s">
        <v>1865</v>
      </c>
      <c r="F643" s="45" t="s">
        <v>1866</v>
      </c>
      <c r="G643" s="48" t="s">
        <v>452</v>
      </c>
      <c r="H643" s="49">
        <v>1</v>
      </c>
      <c r="I643" s="46"/>
      <c r="J643" s="46" t="s">
        <v>444</v>
      </c>
      <c r="K643" s="46" t="s">
        <v>535</v>
      </c>
    </row>
    <row r="644" spans="1:11">
      <c r="A644" s="45">
        <f t="shared" si="10"/>
        <v>643</v>
      </c>
      <c r="B644" s="45" t="s">
        <v>1854</v>
      </c>
      <c r="C644" s="45" t="s">
        <v>440</v>
      </c>
      <c r="D644" s="46" t="s">
        <v>1867</v>
      </c>
      <c r="E644" s="71" t="s">
        <v>1868</v>
      </c>
      <c r="F644" s="45"/>
      <c r="G644" s="48" t="s">
        <v>452</v>
      </c>
      <c r="H644" s="49">
        <v>1</v>
      </c>
      <c r="I644" s="45"/>
      <c r="J644" s="46" t="s">
        <v>444</v>
      </c>
      <c r="K644" s="46" t="s">
        <v>535</v>
      </c>
    </row>
    <row r="645" spans="1:11">
      <c r="A645" s="45">
        <f t="shared" si="10"/>
        <v>644</v>
      </c>
      <c r="B645" s="45" t="s">
        <v>1854</v>
      </c>
      <c r="C645" s="45" t="s">
        <v>529</v>
      </c>
      <c r="D645" s="46" t="s">
        <v>1869</v>
      </c>
      <c r="E645" s="71" t="s">
        <v>1870</v>
      </c>
      <c r="F645" s="45"/>
      <c r="G645" s="48" t="s">
        <v>452</v>
      </c>
      <c r="H645" s="49">
        <v>1</v>
      </c>
      <c r="I645" s="45"/>
      <c r="J645" s="46" t="s">
        <v>1017</v>
      </c>
      <c r="K645" s="46" t="s">
        <v>536</v>
      </c>
    </row>
    <row r="646" spans="1:11">
      <c r="A646" s="39">
        <f t="shared" si="10"/>
        <v>645</v>
      </c>
      <c r="B646" s="39" t="s">
        <v>1854</v>
      </c>
      <c r="C646" s="39" t="s">
        <v>440</v>
      </c>
      <c r="D646" s="40" t="s">
        <v>1871</v>
      </c>
      <c r="E646" s="41" t="s">
        <v>1872</v>
      </c>
      <c r="F646" s="39"/>
      <c r="G646" s="42">
        <v>46143</v>
      </c>
      <c r="H646" s="43">
        <v>1</v>
      </c>
      <c r="I646" s="39" t="s">
        <v>1713</v>
      </c>
      <c r="J646" s="40" t="s">
        <v>1017</v>
      </c>
      <c r="K646" s="40" t="s">
        <v>536</v>
      </c>
    </row>
    <row r="647" spans="1:11">
      <c r="A647" s="45">
        <f t="shared" si="10"/>
        <v>646</v>
      </c>
      <c r="B647" s="45" t="s">
        <v>1854</v>
      </c>
      <c r="C647" s="45" t="s">
        <v>529</v>
      </c>
      <c r="D647" s="46" t="s">
        <v>1873</v>
      </c>
      <c r="E647" s="71" t="s">
        <v>1874</v>
      </c>
      <c r="F647" s="45"/>
      <c r="G647" s="48" t="s">
        <v>452</v>
      </c>
      <c r="H647" s="49">
        <v>1</v>
      </c>
      <c r="I647" s="45" t="s">
        <v>1021</v>
      </c>
      <c r="J647" s="46" t="s">
        <v>1017</v>
      </c>
      <c r="K647" s="46"/>
    </row>
    <row r="648" spans="1:11">
      <c r="A648" s="45">
        <f t="shared" si="10"/>
        <v>647</v>
      </c>
      <c r="B648" s="45" t="s">
        <v>1854</v>
      </c>
      <c r="C648" s="45" t="s">
        <v>440</v>
      </c>
      <c r="D648" s="46" t="s">
        <v>1875</v>
      </c>
      <c r="E648" s="71" t="s">
        <v>1876</v>
      </c>
      <c r="F648" s="45"/>
      <c r="G648" s="48" t="s">
        <v>452</v>
      </c>
      <c r="H648" s="49">
        <v>1</v>
      </c>
      <c r="I648" s="45" t="s">
        <v>1021</v>
      </c>
      <c r="J648" s="46" t="s">
        <v>1862</v>
      </c>
      <c r="K648" s="46"/>
    </row>
    <row r="649" spans="1:11">
      <c r="A649" s="45">
        <f t="shared" si="10"/>
        <v>648</v>
      </c>
      <c r="B649" s="45" t="s">
        <v>1854</v>
      </c>
      <c r="C649" s="45" t="s">
        <v>440</v>
      </c>
      <c r="D649" s="46" t="s">
        <v>1877</v>
      </c>
      <c r="E649" s="71" t="s">
        <v>1878</v>
      </c>
      <c r="F649" s="45" t="s">
        <v>1879</v>
      </c>
      <c r="G649" s="48" t="s">
        <v>452</v>
      </c>
      <c r="H649" s="49">
        <v>1</v>
      </c>
      <c r="I649" s="46"/>
      <c r="J649" s="46" t="s">
        <v>444</v>
      </c>
      <c r="K649" s="46" t="s">
        <v>739</v>
      </c>
    </row>
    <row r="650" spans="1:11">
      <c r="A650" s="45">
        <f t="shared" si="10"/>
        <v>649</v>
      </c>
      <c r="B650" s="45" t="s">
        <v>1854</v>
      </c>
      <c r="C650" s="45" t="s">
        <v>529</v>
      </c>
      <c r="D650" s="46" t="s">
        <v>1880</v>
      </c>
      <c r="E650" s="71" t="s">
        <v>1708</v>
      </c>
      <c r="F650" s="45"/>
      <c r="G650" s="48" t="s">
        <v>452</v>
      </c>
      <c r="H650" s="49">
        <v>1</v>
      </c>
      <c r="I650" s="45" t="s">
        <v>1021</v>
      </c>
      <c r="J650" s="46" t="s">
        <v>1017</v>
      </c>
      <c r="K650" s="46"/>
    </row>
    <row r="651" spans="1:11">
      <c r="A651" s="45">
        <f t="shared" si="10"/>
        <v>650</v>
      </c>
      <c r="B651" s="45" t="s">
        <v>1854</v>
      </c>
      <c r="C651" s="45" t="s">
        <v>440</v>
      </c>
      <c r="D651" s="46" t="s">
        <v>1881</v>
      </c>
      <c r="E651" s="71" t="s">
        <v>1882</v>
      </c>
      <c r="F651" s="45"/>
      <c r="G651" s="48" t="s">
        <v>514</v>
      </c>
      <c r="H651" s="49">
        <v>1</v>
      </c>
      <c r="I651" s="45"/>
      <c r="J651" s="46" t="s">
        <v>1862</v>
      </c>
      <c r="K651" s="46" t="s">
        <v>535</v>
      </c>
    </row>
    <row r="652" spans="1:11">
      <c r="A652" s="45">
        <f t="shared" si="10"/>
        <v>651</v>
      </c>
      <c r="B652" s="45" t="s">
        <v>1854</v>
      </c>
      <c r="C652" s="45" t="s">
        <v>440</v>
      </c>
      <c r="D652" s="46" t="s">
        <v>1883</v>
      </c>
      <c r="E652" s="71" t="s">
        <v>1884</v>
      </c>
      <c r="F652" s="45"/>
      <c r="G652" s="48" t="s">
        <v>452</v>
      </c>
      <c r="H652" s="49">
        <v>1</v>
      </c>
      <c r="I652" s="69" t="s">
        <v>1021</v>
      </c>
      <c r="J652" s="46" t="s">
        <v>938</v>
      </c>
      <c r="K652" s="46"/>
    </row>
    <row r="653" spans="1:11">
      <c r="A653" s="45">
        <f t="shared" si="10"/>
        <v>652</v>
      </c>
      <c r="B653" s="45" t="s">
        <v>1854</v>
      </c>
      <c r="C653" s="45" t="s">
        <v>529</v>
      </c>
      <c r="D653" s="46" t="s">
        <v>1885</v>
      </c>
      <c r="E653" s="71" t="s">
        <v>1886</v>
      </c>
      <c r="F653" s="45"/>
      <c r="G653" s="48" t="s">
        <v>452</v>
      </c>
      <c r="H653" s="49">
        <v>1</v>
      </c>
      <c r="I653" s="45" t="s">
        <v>1021</v>
      </c>
      <c r="J653" s="46" t="s">
        <v>1017</v>
      </c>
      <c r="K653" s="46"/>
    </row>
    <row r="654" spans="1:11">
      <c r="A654" s="45">
        <f t="shared" si="10"/>
        <v>653</v>
      </c>
      <c r="B654" s="45" t="s">
        <v>1854</v>
      </c>
      <c r="C654" s="45" t="s">
        <v>440</v>
      </c>
      <c r="D654" s="46" t="s">
        <v>1887</v>
      </c>
      <c r="E654" s="71" t="s">
        <v>1888</v>
      </c>
      <c r="F654" s="45"/>
      <c r="G654" s="48" t="s">
        <v>452</v>
      </c>
      <c r="H654" s="49">
        <v>1</v>
      </c>
      <c r="I654" s="69" t="s">
        <v>1021</v>
      </c>
      <c r="J654" s="46" t="s">
        <v>938</v>
      </c>
      <c r="K654" s="46"/>
    </row>
    <row r="655" spans="1:11">
      <c r="A655" s="39">
        <f t="shared" si="10"/>
        <v>654</v>
      </c>
      <c r="B655" s="39" t="s">
        <v>1854</v>
      </c>
      <c r="C655" s="39" t="s">
        <v>529</v>
      </c>
      <c r="D655" s="40" t="s">
        <v>1889</v>
      </c>
      <c r="E655" s="41" t="s">
        <v>1890</v>
      </c>
      <c r="F655" s="39"/>
      <c r="G655" s="42">
        <v>46143</v>
      </c>
      <c r="H655" s="43">
        <v>0.98</v>
      </c>
      <c r="I655" s="39"/>
      <c r="J655" s="40" t="s">
        <v>1017</v>
      </c>
      <c r="K655" s="40" t="s">
        <v>536</v>
      </c>
    </row>
    <row r="656" spans="1:11">
      <c r="A656" s="45">
        <f t="shared" si="10"/>
        <v>655</v>
      </c>
      <c r="B656" s="45" t="s">
        <v>1854</v>
      </c>
      <c r="C656" s="45" t="s">
        <v>529</v>
      </c>
      <c r="D656" s="46" t="s">
        <v>1891</v>
      </c>
      <c r="E656" s="71" t="s">
        <v>1892</v>
      </c>
      <c r="F656" s="45"/>
      <c r="G656" s="48" t="s">
        <v>452</v>
      </c>
      <c r="H656" s="49">
        <v>1</v>
      </c>
      <c r="I656" s="45"/>
      <c r="J656" s="46" t="s">
        <v>1017</v>
      </c>
      <c r="K656" s="46" t="s">
        <v>536</v>
      </c>
    </row>
    <row r="657" spans="1:11">
      <c r="A657" s="45">
        <f t="shared" si="10"/>
        <v>656</v>
      </c>
      <c r="B657" s="45" t="s">
        <v>1854</v>
      </c>
      <c r="C657" s="45" t="s">
        <v>440</v>
      </c>
      <c r="D657" s="46" t="s">
        <v>1893</v>
      </c>
      <c r="E657" s="71" t="s">
        <v>1894</v>
      </c>
      <c r="F657" s="45"/>
      <c r="G657" s="48" t="s">
        <v>452</v>
      </c>
      <c r="H657" s="49">
        <v>1</v>
      </c>
      <c r="I657" s="45"/>
      <c r="J657" s="46" t="s">
        <v>444</v>
      </c>
      <c r="K657" s="46" t="s">
        <v>739</v>
      </c>
    </row>
    <row r="658" spans="1:11">
      <c r="A658" s="45">
        <f t="shared" si="10"/>
        <v>657</v>
      </c>
      <c r="B658" s="45" t="s">
        <v>1854</v>
      </c>
      <c r="C658" s="45" t="s">
        <v>440</v>
      </c>
      <c r="D658" s="46" t="s">
        <v>1895</v>
      </c>
      <c r="E658" s="71" t="s">
        <v>1715</v>
      </c>
      <c r="F658" s="45"/>
      <c r="G658" s="48" t="s">
        <v>452</v>
      </c>
      <c r="H658" s="49">
        <v>1</v>
      </c>
      <c r="I658" s="45"/>
      <c r="J658" s="46" t="s">
        <v>504</v>
      </c>
      <c r="K658" s="46" t="s">
        <v>739</v>
      </c>
    </row>
    <row r="659" spans="1:11">
      <c r="A659" s="45">
        <f t="shared" si="10"/>
        <v>658</v>
      </c>
      <c r="B659" s="45" t="s">
        <v>1854</v>
      </c>
      <c r="C659" s="45" t="s">
        <v>529</v>
      </c>
      <c r="D659" s="46" t="s">
        <v>1896</v>
      </c>
      <c r="E659" s="71" t="s">
        <v>1897</v>
      </c>
      <c r="F659" s="45"/>
      <c r="G659" s="48" t="s">
        <v>452</v>
      </c>
      <c r="H659" s="49">
        <v>1</v>
      </c>
      <c r="I659" s="45"/>
      <c r="J659" s="46" t="s">
        <v>1017</v>
      </c>
      <c r="K659" s="46" t="s">
        <v>536</v>
      </c>
    </row>
    <row r="660" spans="1:11">
      <c r="A660" s="45">
        <f t="shared" si="10"/>
        <v>659</v>
      </c>
      <c r="B660" s="45" t="s">
        <v>1854</v>
      </c>
      <c r="C660" s="45" t="s">
        <v>529</v>
      </c>
      <c r="D660" s="46" t="s">
        <v>1898</v>
      </c>
      <c r="E660" s="71" t="s">
        <v>1899</v>
      </c>
      <c r="F660" s="45"/>
      <c r="G660" s="48" t="s">
        <v>514</v>
      </c>
      <c r="H660" s="49">
        <v>1</v>
      </c>
      <c r="I660" s="45"/>
      <c r="J660" s="46" t="s">
        <v>1017</v>
      </c>
      <c r="K660" s="46" t="s">
        <v>536</v>
      </c>
    </row>
    <row r="661" spans="1:11">
      <c r="A661" s="45">
        <f t="shared" si="10"/>
        <v>660</v>
      </c>
      <c r="B661" s="45" t="s">
        <v>1854</v>
      </c>
      <c r="C661" s="45" t="s">
        <v>440</v>
      </c>
      <c r="D661" s="46" t="s">
        <v>1900</v>
      </c>
      <c r="E661" s="71" t="s">
        <v>1901</v>
      </c>
      <c r="F661" s="45"/>
      <c r="G661" s="48" t="s">
        <v>452</v>
      </c>
      <c r="H661" s="49">
        <v>1</v>
      </c>
      <c r="I661" s="45"/>
      <c r="J661" s="46" t="s">
        <v>1862</v>
      </c>
      <c r="K661" s="46" t="s">
        <v>535</v>
      </c>
    </row>
    <row r="662" spans="1:11">
      <c r="A662" s="45">
        <f t="shared" si="10"/>
        <v>661</v>
      </c>
      <c r="B662" s="45" t="s">
        <v>1854</v>
      </c>
      <c r="C662" s="45" t="s">
        <v>440</v>
      </c>
      <c r="D662" s="46" t="s">
        <v>1902</v>
      </c>
      <c r="E662" s="71" t="s">
        <v>1903</v>
      </c>
      <c r="F662" s="45"/>
      <c r="G662" s="48" t="s">
        <v>452</v>
      </c>
      <c r="H662" s="49">
        <v>1</v>
      </c>
      <c r="I662" s="45"/>
      <c r="J662" s="46" t="s">
        <v>1017</v>
      </c>
      <c r="K662" s="46" t="s">
        <v>536</v>
      </c>
    </row>
    <row r="663" spans="1:11">
      <c r="A663" s="45">
        <f t="shared" si="10"/>
        <v>662</v>
      </c>
      <c r="B663" s="45" t="s">
        <v>1854</v>
      </c>
      <c r="C663" s="45" t="s">
        <v>440</v>
      </c>
      <c r="D663" s="46" t="s">
        <v>1904</v>
      </c>
      <c r="E663" s="71" t="s">
        <v>1905</v>
      </c>
      <c r="F663" s="45"/>
      <c r="G663" s="48" t="s">
        <v>452</v>
      </c>
      <c r="H663" s="49">
        <v>1</v>
      </c>
      <c r="I663" s="45"/>
      <c r="J663" s="46" t="s">
        <v>444</v>
      </c>
      <c r="K663" s="46" t="s">
        <v>535</v>
      </c>
    </row>
    <row r="664" spans="1:11">
      <c r="A664" s="39">
        <f t="shared" si="10"/>
        <v>663</v>
      </c>
      <c r="B664" s="39" t="s">
        <v>1854</v>
      </c>
      <c r="C664" s="39" t="s">
        <v>440</v>
      </c>
      <c r="D664" s="40" t="s">
        <v>1906</v>
      </c>
      <c r="E664" s="41" t="s">
        <v>1907</v>
      </c>
      <c r="F664" s="39"/>
      <c r="G664" s="42">
        <v>46172</v>
      </c>
      <c r="H664" s="43">
        <v>0.997</v>
      </c>
      <c r="I664" s="39"/>
      <c r="J664" s="40" t="s">
        <v>1514</v>
      </c>
      <c r="K664" s="40" t="s">
        <v>938</v>
      </c>
    </row>
    <row r="665" spans="1:11">
      <c r="A665" s="39">
        <f t="shared" si="10"/>
        <v>664</v>
      </c>
      <c r="B665" s="39" t="s">
        <v>1854</v>
      </c>
      <c r="C665" s="39" t="s">
        <v>440</v>
      </c>
      <c r="D665" s="40" t="s">
        <v>1908</v>
      </c>
      <c r="E665" s="41" t="s">
        <v>1909</v>
      </c>
      <c r="F665" s="39"/>
      <c r="G665" s="42">
        <v>46357</v>
      </c>
      <c r="H665" s="43">
        <v>0</v>
      </c>
      <c r="I665" s="39"/>
      <c r="J665" s="40" t="s">
        <v>1017</v>
      </c>
      <c r="K665" s="40" t="s">
        <v>536</v>
      </c>
    </row>
    <row r="666" spans="1:11">
      <c r="A666" s="39">
        <f t="shared" si="10"/>
        <v>665</v>
      </c>
      <c r="B666" s="39" t="s">
        <v>1854</v>
      </c>
      <c r="C666" s="39" t="s">
        <v>520</v>
      </c>
      <c r="D666" s="40" t="s">
        <v>1910</v>
      </c>
      <c r="E666" s="41" t="s">
        <v>1911</v>
      </c>
      <c r="F666" s="39" t="s">
        <v>1912</v>
      </c>
      <c r="G666" s="42">
        <v>46172</v>
      </c>
      <c r="H666" s="43">
        <v>0.99</v>
      </c>
      <c r="I666" s="40" t="s">
        <v>1913</v>
      </c>
      <c r="J666" s="40" t="s">
        <v>444</v>
      </c>
      <c r="K666" s="40" t="s">
        <v>739</v>
      </c>
    </row>
    <row r="667" spans="1:11">
      <c r="A667" s="45">
        <f t="shared" si="10"/>
        <v>666</v>
      </c>
      <c r="B667" s="45" t="s">
        <v>1854</v>
      </c>
      <c r="C667" s="45" t="s">
        <v>440</v>
      </c>
      <c r="D667" s="46" t="s">
        <v>1914</v>
      </c>
      <c r="E667" s="71" t="s">
        <v>1915</v>
      </c>
      <c r="F667" s="45"/>
      <c r="G667" s="48" t="s">
        <v>514</v>
      </c>
      <c r="H667" s="49">
        <v>0.99982000000000004</v>
      </c>
      <c r="I667" s="45"/>
      <c r="J667" s="46" t="s">
        <v>1862</v>
      </c>
      <c r="K667" s="46" t="s">
        <v>535</v>
      </c>
    </row>
    <row r="668" spans="1:11">
      <c r="A668" s="39">
        <f t="shared" si="10"/>
        <v>667</v>
      </c>
      <c r="B668" s="39" t="s">
        <v>1854</v>
      </c>
      <c r="C668" s="39" t="s">
        <v>440</v>
      </c>
      <c r="D668" s="40" t="s">
        <v>1916</v>
      </c>
      <c r="E668" s="41" t="s">
        <v>1917</v>
      </c>
      <c r="F668" s="39" t="s">
        <v>1918</v>
      </c>
      <c r="G668" s="42">
        <v>46172</v>
      </c>
      <c r="H668" s="43">
        <v>0.998</v>
      </c>
      <c r="I668" s="40" t="s">
        <v>1913</v>
      </c>
      <c r="J668" s="40" t="s">
        <v>444</v>
      </c>
      <c r="K668" s="40" t="s">
        <v>535</v>
      </c>
    </row>
    <row r="669" spans="1:11">
      <c r="A669" s="39">
        <f t="shared" si="10"/>
        <v>668</v>
      </c>
      <c r="B669" s="39" t="s">
        <v>1854</v>
      </c>
      <c r="C669" s="39" t="s">
        <v>440</v>
      </c>
      <c r="D669" s="40" t="s">
        <v>1919</v>
      </c>
      <c r="E669" s="41" t="s">
        <v>1920</v>
      </c>
      <c r="F669" s="39"/>
      <c r="G669" s="42">
        <v>46172</v>
      </c>
      <c r="H669" s="43">
        <v>0.97499999999999998</v>
      </c>
      <c r="I669" s="39"/>
      <c r="J669" s="40" t="s">
        <v>1514</v>
      </c>
      <c r="K669" s="40" t="s">
        <v>739</v>
      </c>
    </row>
    <row r="670" spans="1:11">
      <c r="A670" s="45">
        <f t="shared" si="10"/>
        <v>669</v>
      </c>
      <c r="B670" s="45" t="s">
        <v>1854</v>
      </c>
      <c r="C670" s="45" t="s">
        <v>529</v>
      </c>
      <c r="D670" s="46" t="s">
        <v>1921</v>
      </c>
      <c r="E670" s="71" t="s">
        <v>1726</v>
      </c>
      <c r="F670" s="45"/>
      <c r="G670" s="48" t="s">
        <v>514</v>
      </c>
      <c r="H670" s="49">
        <v>1</v>
      </c>
      <c r="I670" s="45"/>
      <c r="J670" s="46" t="s">
        <v>1862</v>
      </c>
      <c r="K670" s="46" t="s">
        <v>535</v>
      </c>
    </row>
    <row r="671" spans="1:11">
      <c r="A671" s="45">
        <f t="shared" si="10"/>
        <v>670</v>
      </c>
      <c r="B671" s="45" t="s">
        <v>1854</v>
      </c>
      <c r="C671" s="45" t="s">
        <v>440</v>
      </c>
      <c r="D671" s="46" t="s">
        <v>1922</v>
      </c>
      <c r="E671" s="71" t="s">
        <v>1923</v>
      </c>
      <c r="F671" s="45"/>
      <c r="G671" s="48" t="s">
        <v>452</v>
      </c>
      <c r="H671" s="49">
        <v>1</v>
      </c>
      <c r="I671" s="45"/>
      <c r="J671" s="46" t="s">
        <v>1862</v>
      </c>
      <c r="K671" s="46" t="s">
        <v>535</v>
      </c>
    </row>
    <row r="672" spans="1:11">
      <c r="A672" s="39">
        <f t="shared" si="10"/>
        <v>671</v>
      </c>
      <c r="B672" s="39" t="s">
        <v>1854</v>
      </c>
      <c r="C672" s="39" t="s">
        <v>440</v>
      </c>
      <c r="D672" s="40" t="s">
        <v>1924</v>
      </c>
      <c r="E672" s="41" t="s">
        <v>1925</v>
      </c>
      <c r="F672" s="39"/>
      <c r="G672" s="42">
        <v>46143</v>
      </c>
      <c r="H672" s="43">
        <v>0.998</v>
      </c>
      <c r="I672" s="39"/>
      <c r="J672" s="40" t="s">
        <v>1017</v>
      </c>
      <c r="K672" s="40" t="s">
        <v>536</v>
      </c>
    </row>
    <row r="673" spans="1:11">
      <c r="A673" s="45">
        <f t="shared" si="10"/>
        <v>672</v>
      </c>
      <c r="B673" s="45" t="s">
        <v>1854</v>
      </c>
      <c r="C673" s="45" t="s">
        <v>440</v>
      </c>
      <c r="D673" s="46" t="s">
        <v>1926</v>
      </c>
      <c r="E673" s="71" t="s">
        <v>1927</v>
      </c>
      <c r="F673" s="45"/>
      <c r="G673" s="48" t="s">
        <v>452</v>
      </c>
      <c r="H673" s="49">
        <v>1</v>
      </c>
      <c r="I673" s="45"/>
      <c r="J673" s="46" t="s">
        <v>1698</v>
      </c>
      <c r="K673" s="46" t="s">
        <v>938</v>
      </c>
    </row>
    <row r="674" spans="1:11">
      <c r="A674" s="45">
        <f t="shared" si="10"/>
        <v>673</v>
      </c>
      <c r="B674" s="45" t="s">
        <v>1854</v>
      </c>
      <c r="C674" s="45" t="s">
        <v>615</v>
      </c>
      <c r="D674" s="46" t="s">
        <v>1928</v>
      </c>
      <c r="E674" s="71" t="s">
        <v>1929</v>
      </c>
      <c r="F674" s="45"/>
      <c r="G674" s="48" t="s">
        <v>452</v>
      </c>
      <c r="H674" s="49">
        <v>1</v>
      </c>
      <c r="I674" s="45" t="s">
        <v>1930</v>
      </c>
      <c r="J674" s="46" t="s">
        <v>1698</v>
      </c>
      <c r="K674" s="46" t="s">
        <v>938</v>
      </c>
    </row>
    <row r="675" spans="1:11">
      <c r="A675" s="45">
        <f t="shared" si="10"/>
        <v>674</v>
      </c>
      <c r="B675" s="45" t="s">
        <v>1854</v>
      </c>
      <c r="C675" s="45" t="s">
        <v>202</v>
      </c>
      <c r="D675" s="46" t="s">
        <v>1931</v>
      </c>
      <c r="E675" s="71" t="s">
        <v>1932</v>
      </c>
      <c r="F675" s="45"/>
      <c r="G675" s="48" t="s">
        <v>452</v>
      </c>
      <c r="H675" s="49">
        <v>1</v>
      </c>
      <c r="I675" s="45" t="s">
        <v>1930</v>
      </c>
      <c r="J675" s="46" t="s">
        <v>1698</v>
      </c>
      <c r="K675" s="46" t="s">
        <v>938</v>
      </c>
    </row>
    <row r="676" spans="1:11">
      <c r="A676" s="45">
        <f t="shared" si="10"/>
        <v>675</v>
      </c>
      <c r="B676" s="45" t="s">
        <v>1854</v>
      </c>
      <c r="C676" s="45" t="s">
        <v>202</v>
      </c>
      <c r="D676" s="46" t="s">
        <v>1933</v>
      </c>
      <c r="E676" s="71" t="s">
        <v>1934</v>
      </c>
      <c r="F676" s="45"/>
      <c r="G676" s="48" t="s">
        <v>452</v>
      </c>
      <c r="H676" s="49">
        <v>1</v>
      </c>
      <c r="I676" s="45"/>
      <c r="J676" s="46" t="s">
        <v>1698</v>
      </c>
      <c r="K676" s="46" t="s">
        <v>938</v>
      </c>
    </row>
    <row r="677" spans="1:11">
      <c r="A677" s="45">
        <f t="shared" si="10"/>
        <v>676</v>
      </c>
      <c r="B677" s="45" t="s">
        <v>1854</v>
      </c>
      <c r="C677" s="45" t="s">
        <v>202</v>
      </c>
      <c r="D677" s="46" t="s">
        <v>1935</v>
      </c>
      <c r="E677" s="71" t="s">
        <v>1936</v>
      </c>
      <c r="F677" s="45"/>
      <c r="G677" s="48" t="s">
        <v>452</v>
      </c>
      <c r="H677" s="49">
        <v>1</v>
      </c>
      <c r="I677" s="45"/>
      <c r="J677" s="46" t="s">
        <v>1698</v>
      </c>
      <c r="K677" s="46" t="s">
        <v>938</v>
      </c>
    </row>
    <row r="678" spans="1:11">
      <c r="A678" s="45">
        <f t="shared" si="10"/>
        <v>677</v>
      </c>
      <c r="B678" s="45" t="s">
        <v>1854</v>
      </c>
      <c r="C678" s="45" t="s">
        <v>202</v>
      </c>
      <c r="D678" s="46" t="s">
        <v>1937</v>
      </c>
      <c r="E678" s="71" t="s">
        <v>1938</v>
      </c>
      <c r="F678" s="45"/>
      <c r="G678" s="48" t="s">
        <v>452</v>
      </c>
      <c r="H678" s="49">
        <v>1</v>
      </c>
      <c r="I678" s="45"/>
      <c r="J678" s="46" t="s">
        <v>1698</v>
      </c>
      <c r="K678" s="46" t="s">
        <v>938</v>
      </c>
    </row>
    <row r="679" spans="1:11">
      <c r="A679" s="45">
        <f t="shared" si="10"/>
        <v>678</v>
      </c>
      <c r="B679" s="45" t="s">
        <v>1854</v>
      </c>
      <c r="C679" s="45" t="s">
        <v>202</v>
      </c>
      <c r="D679" s="46" t="s">
        <v>1939</v>
      </c>
      <c r="E679" s="71" t="s">
        <v>1940</v>
      </c>
      <c r="F679" s="45"/>
      <c r="G679" s="48" t="s">
        <v>452</v>
      </c>
      <c r="H679" s="49">
        <v>1</v>
      </c>
      <c r="I679" s="45" t="s">
        <v>1021</v>
      </c>
      <c r="J679" s="46" t="s">
        <v>1698</v>
      </c>
      <c r="K679" s="46"/>
    </row>
    <row r="680" spans="1:11">
      <c r="A680" s="45">
        <f t="shared" si="10"/>
        <v>679</v>
      </c>
      <c r="B680" s="45" t="s">
        <v>1854</v>
      </c>
      <c r="C680" s="45" t="s">
        <v>202</v>
      </c>
      <c r="D680" s="46" t="s">
        <v>1941</v>
      </c>
      <c r="E680" s="71" t="s">
        <v>647</v>
      </c>
      <c r="F680" s="45"/>
      <c r="G680" s="48" t="s">
        <v>452</v>
      </c>
      <c r="H680" s="49">
        <v>1</v>
      </c>
      <c r="I680" s="45" t="s">
        <v>1930</v>
      </c>
      <c r="J680" s="46" t="s">
        <v>1698</v>
      </c>
      <c r="K680" s="46" t="s">
        <v>938</v>
      </c>
    </row>
    <row r="681" spans="1:11">
      <c r="A681" s="45">
        <f t="shared" si="10"/>
        <v>680</v>
      </c>
      <c r="B681" s="45" t="s">
        <v>1854</v>
      </c>
      <c r="C681" s="45" t="s">
        <v>202</v>
      </c>
      <c r="D681" s="46" t="s">
        <v>1942</v>
      </c>
      <c r="E681" s="71" t="s">
        <v>644</v>
      </c>
      <c r="F681" s="45"/>
      <c r="G681" s="48" t="s">
        <v>452</v>
      </c>
      <c r="H681" s="49">
        <v>1</v>
      </c>
      <c r="I681" s="45" t="s">
        <v>1930</v>
      </c>
      <c r="J681" s="46" t="s">
        <v>1698</v>
      </c>
      <c r="K681" s="46" t="s">
        <v>938</v>
      </c>
    </row>
    <row r="682" spans="1:11">
      <c r="A682" s="45">
        <f t="shared" si="10"/>
        <v>681</v>
      </c>
      <c r="B682" s="45" t="s">
        <v>1854</v>
      </c>
      <c r="C682" s="45" t="s">
        <v>202</v>
      </c>
      <c r="D682" s="46" t="s">
        <v>1943</v>
      </c>
      <c r="E682" s="71" t="s">
        <v>654</v>
      </c>
      <c r="F682" s="45"/>
      <c r="G682" s="48" t="s">
        <v>452</v>
      </c>
      <c r="H682" s="49">
        <v>1</v>
      </c>
      <c r="I682" s="45"/>
      <c r="J682" s="46" t="s">
        <v>444</v>
      </c>
      <c r="K682" s="46" t="s">
        <v>938</v>
      </c>
    </row>
    <row r="683" spans="1:11">
      <c r="A683" s="50">
        <f t="shared" si="10"/>
        <v>682</v>
      </c>
      <c r="B683" s="50" t="s">
        <v>1854</v>
      </c>
      <c r="C683" s="50" t="s">
        <v>202</v>
      </c>
      <c r="D683" s="51" t="s">
        <v>1944</v>
      </c>
      <c r="E683" s="72" t="s">
        <v>1122</v>
      </c>
      <c r="F683" s="50"/>
      <c r="G683" s="85" t="s">
        <v>452</v>
      </c>
      <c r="H683" s="54">
        <v>1</v>
      </c>
      <c r="I683" s="50"/>
      <c r="J683" s="51" t="s">
        <v>1698</v>
      </c>
      <c r="K683" s="51" t="s">
        <v>938</v>
      </c>
    </row>
    <row r="684" spans="1:11">
      <c r="A684" s="45">
        <f t="shared" si="10"/>
        <v>683</v>
      </c>
      <c r="B684" s="45" t="s">
        <v>1854</v>
      </c>
      <c r="C684" s="45" t="s">
        <v>202</v>
      </c>
      <c r="D684" s="46" t="s">
        <v>1945</v>
      </c>
      <c r="E684" s="71" t="s">
        <v>1946</v>
      </c>
      <c r="F684" s="45"/>
      <c r="G684" s="48" t="s">
        <v>514</v>
      </c>
      <c r="H684" s="49">
        <v>1</v>
      </c>
      <c r="I684" s="45"/>
      <c r="J684" s="46" t="s">
        <v>1698</v>
      </c>
      <c r="K684" s="46" t="s">
        <v>938</v>
      </c>
    </row>
    <row r="685" spans="1:11">
      <c r="A685" s="45">
        <f t="shared" si="10"/>
        <v>684</v>
      </c>
      <c r="B685" s="45" t="s">
        <v>1854</v>
      </c>
      <c r="C685" s="45" t="s">
        <v>202</v>
      </c>
      <c r="D685" s="46" t="s">
        <v>1947</v>
      </c>
      <c r="E685" s="71" t="s">
        <v>1948</v>
      </c>
      <c r="F685" s="45"/>
      <c r="G685" s="48" t="s">
        <v>514</v>
      </c>
      <c r="H685" s="86">
        <v>1</v>
      </c>
      <c r="I685" s="45" t="s">
        <v>1949</v>
      </c>
      <c r="J685" s="46" t="s">
        <v>1695</v>
      </c>
      <c r="K685" s="46" t="s">
        <v>938</v>
      </c>
    </row>
    <row r="686" spans="1:11">
      <c r="A686" s="45">
        <f t="shared" si="10"/>
        <v>685</v>
      </c>
      <c r="B686" s="45" t="s">
        <v>1854</v>
      </c>
      <c r="C686" s="45" t="s">
        <v>202</v>
      </c>
      <c r="D686" s="46" t="s">
        <v>1950</v>
      </c>
      <c r="E686" s="71" t="s">
        <v>1951</v>
      </c>
      <c r="F686" s="45"/>
      <c r="G686" s="48" t="s">
        <v>452</v>
      </c>
      <c r="H686" s="49">
        <v>1</v>
      </c>
      <c r="I686" s="45"/>
      <c r="J686" s="46" t="s">
        <v>1695</v>
      </c>
      <c r="K686" s="46" t="s">
        <v>938</v>
      </c>
    </row>
    <row r="687" spans="1:11">
      <c r="A687" s="45">
        <f t="shared" si="10"/>
        <v>686</v>
      </c>
      <c r="B687" s="45" t="s">
        <v>1854</v>
      </c>
      <c r="C687" s="45" t="s">
        <v>202</v>
      </c>
      <c r="D687" s="46" t="s">
        <v>1952</v>
      </c>
      <c r="E687" s="71" t="s">
        <v>1953</v>
      </c>
      <c r="F687" s="45"/>
      <c r="G687" s="48" t="s">
        <v>452</v>
      </c>
      <c r="H687" s="49">
        <v>1</v>
      </c>
      <c r="I687" s="45"/>
      <c r="J687" s="46" t="s">
        <v>1695</v>
      </c>
      <c r="K687" s="46" t="s">
        <v>938</v>
      </c>
    </row>
    <row r="688" spans="1:11">
      <c r="A688" s="50">
        <f t="shared" si="10"/>
        <v>687</v>
      </c>
      <c r="B688" s="50" t="s">
        <v>1854</v>
      </c>
      <c r="C688" s="50" t="s">
        <v>202</v>
      </c>
      <c r="D688" s="51" t="s">
        <v>1954</v>
      </c>
      <c r="E688" s="72" t="s">
        <v>1955</v>
      </c>
      <c r="F688" s="50"/>
      <c r="G688" s="53" t="s">
        <v>452</v>
      </c>
      <c r="H688" s="54">
        <v>1</v>
      </c>
      <c r="I688" s="50"/>
      <c r="J688" s="51" t="s">
        <v>1695</v>
      </c>
      <c r="K688" s="51" t="s">
        <v>938</v>
      </c>
    </row>
    <row r="689" spans="1:11">
      <c r="A689" s="45">
        <f t="shared" si="10"/>
        <v>688</v>
      </c>
      <c r="B689" s="45" t="s">
        <v>1854</v>
      </c>
      <c r="C689" s="45" t="s">
        <v>202</v>
      </c>
      <c r="D689" s="46" t="s">
        <v>1956</v>
      </c>
      <c r="E689" s="71" t="s">
        <v>701</v>
      </c>
      <c r="F689" s="45"/>
      <c r="G689" s="48" t="s">
        <v>452</v>
      </c>
      <c r="H689" s="49">
        <v>1</v>
      </c>
      <c r="I689" s="45"/>
      <c r="J689" s="46" t="s">
        <v>444</v>
      </c>
      <c r="K689" s="46" t="s">
        <v>739</v>
      </c>
    </row>
    <row r="690" spans="1:11">
      <c r="A690" s="45">
        <f t="shared" si="10"/>
        <v>689</v>
      </c>
      <c r="B690" s="45" t="s">
        <v>1854</v>
      </c>
      <c r="C690" s="45" t="s">
        <v>202</v>
      </c>
      <c r="D690" s="46" t="s">
        <v>1957</v>
      </c>
      <c r="E690" s="71" t="s">
        <v>1958</v>
      </c>
      <c r="F690" s="45"/>
      <c r="G690" s="48" t="s">
        <v>452</v>
      </c>
      <c r="H690" s="49">
        <v>1</v>
      </c>
      <c r="I690" s="45"/>
      <c r="J690" s="46" t="s">
        <v>444</v>
      </c>
      <c r="K690" s="46" t="s">
        <v>739</v>
      </c>
    </row>
    <row r="691" spans="1:11">
      <c r="A691" s="45">
        <f t="shared" si="10"/>
        <v>690</v>
      </c>
      <c r="B691" s="45" t="s">
        <v>1854</v>
      </c>
      <c r="C691" s="45" t="s">
        <v>202</v>
      </c>
      <c r="D691" s="46" t="s">
        <v>1959</v>
      </c>
      <c r="E691" s="71" t="s">
        <v>1960</v>
      </c>
      <c r="F691" s="45"/>
      <c r="G691" s="48" t="s">
        <v>452</v>
      </c>
      <c r="H691" s="49">
        <v>1</v>
      </c>
      <c r="I691" s="45"/>
      <c r="J691" s="46" t="s">
        <v>444</v>
      </c>
      <c r="K691" s="46" t="s">
        <v>739</v>
      </c>
    </row>
    <row r="692" spans="1:11">
      <c r="A692" s="45">
        <f t="shared" si="10"/>
        <v>691</v>
      </c>
      <c r="B692" s="45" t="s">
        <v>1854</v>
      </c>
      <c r="C692" s="45" t="s">
        <v>202</v>
      </c>
      <c r="D692" s="46" t="s">
        <v>1961</v>
      </c>
      <c r="E692" s="71" t="s">
        <v>1782</v>
      </c>
      <c r="F692" s="45"/>
      <c r="G692" s="48" t="s">
        <v>452</v>
      </c>
      <c r="H692" s="49">
        <v>1</v>
      </c>
      <c r="I692" s="45"/>
      <c r="J692" s="46" t="s">
        <v>444</v>
      </c>
      <c r="K692" s="46" t="s">
        <v>739</v>
      </c>
    </row>
    <row r="693" spans="1:11">
      <c r="A693" s="45">
        <f t="shared" si="10"/>
        <v>692</v>
      </c>
      <c r="B693" s="45" t="s">
        <v>1854</v>
      </c>
      <c r="C693" s="45" t="s">
        <v>202</v>
      </c>
      <c r="D693" s="46" t="s">
        <v>1962</v>
      </c>
      <c r="E693" s="71" t="s">
        <v>1963</v>
      </c>
      <c r="F693" s="45"/>
      <c r="G693" s="48" t="s">
        <v>452</v>
      </c>
      <c r="H693" s="49">
        <v>1</v>
      </c>
      <c r="I693" s="45" t="s">
        <v>1021</v>
      </c>
      <c r="J693" s="46" t="s">
        <v>1698</v>
      </c>
      <c r="K693" s="46"/>
    </row>
    <row r="694" spans="1:11">
      <c r="A694" s="45">
        <f t="shared" si="10"/>
        <v>693</v>
      </c>
      <c r="B694" s="45" t="s">
        <v>1854</v>
      </c>
      <c r="C694" s="45" t="s">
        <v>202</v>
      </c>
      <c r="D694" s="46" t="s">
        <v>1964</v>
      </c>
      <c r="E694" s="71" t="s">
        <v>1965</v>
      </c>
      <c r="F694" s="45"/>
      <c r="G694" s="48" t="s">
        <v>452</v>
      </c>
      <c r="H694" s="49">
        <v>1</v>
      </c>
      <c r="I694" s="45" t="s">
        <v>1021</v>
      </c>
      <c r="J694" s="46" t="s">
        <v>1698</v>
      </c>
      <c r="K694" s="46"/>
    </row>
    <row r="695" spans="1:11">
      <c r="A695" s="45">
        <f t="shared" si="10"/>
        <v>694</v>
      </c>
      <c r="B695" s="45" t="s">
        <v>1854</v>
      </c>
      <c r="C695" s="45" t="s">
        <v>202</v>
      </c>
      <c r="D695" s="46" t="s">
        <v>1966</v>
      </c>
      <c r="E695" s="71" t="s">
        <v>1967</v>
      </c>
      <c r="F695" s="45"/>
      <c r="G695" s="48" t="s">
        <v>452</v>
      </c>
      <c r="H695" s="49">
        <v>1</v>
      </c>
      <c r="I695" s="45" t="s">
        <v>1021</v>
      </c>
      <c r="J695" s="46" t="s">
        <v>1698</v>
      </c>
      <c r="K695" s="46"/>
    </row>
    <row r="696" spans="1:11">
      <c r="A696" s="45">
        <f t="shared" si="10"/>
        <v>695</v>
      </c>
      <c r="B696" s="45" t="s">
        <v>1854</v>
      </c>
      <c r="C696" s="45" t="s">
        <v>202</v>
      </c>
      <c r="D696" s="46" t="s">
        <v>1968</v>
      </c>
      <c r="E696" s="71" t="s">
        <v>1969</v>
      </c>
      <c r="F696" s="45"/>
      <c r="G696" s="48" t="s">
        <v>452</v>
      </c>
      <c r="H696" s="49">
        <v>1</v>
      </c>
      <c r="I696" s="45"/>
      <c r="J696" s="46" t="s">
        <v>1698</v>
      </c>
      <c r="K696" s="46" t="s">
        <v>938</v>
      </c>
    </row>
    <row r="697" spans="1:11">
      <c r="A697" s="45">
        <f t="shared" si="10"/>
        <v>696</v>
      </c>
      <c r="B697" s="45" t="s">
        <v>1854</v>
      </c>
      <c r="C697" s="45" t="s">
        <v>1970</v>
      </c>
      <c r="D697" s="46" t="s">
        <v>1971</v>
      </c>
      <c r="E697" s="71" t="s">
        <v>1972</v>
      </c>
      <c r="F697" s="45" t="s">
        <v>603</v>
      </c>
      <c r="G697" s="48" t="s">
        <v>452</v>
      </c>
      <c r="H697" s="49">
        <v>1</v>
      </c>
      <c r="I697" s="45"/>
      <c r="J697" s="46" t="s">
        <v>739</v>
      </c>
      <c r="K697" s="46" t="s">
        <v>752</v>
      </c>
    </row>
    <row r="698" spans="1:11">
      <c r="A698" s="50">
        <f t="shared" si="10"/>
        <v>697</v>
      </c>
      <c r="B698" s="50" t="s">
        <v>1854</v>
      </c>
      <c r="C698" s="50" t="s">
        <v>1970</v>
      </c>
      <c r="D698" s="51" t="s">
        <v>1973</v>
      </c>
      <c r="E698" s="72" t="s">
        <v>1974</v>
      </c>
      <c r="F698" s="50" t="s">
        <v>1975</v>
      </c>
      <c r="G698" s="53" t="s">
        <v>452</v>
      </c>
      <c r="H698" s="54">
        <v>1</v>
      </c>
      <c r="I698" s="50"/>
      <c r="J698" s="51" t="s">
        <v>739</v>
      </c>
      <c r="K698" s="51" t="s">
        <v>752</v>
      </c>
    </row>
    <row r="699" spans="1:11">
      <c r="A699" s="45">
        <f t="shared" si="10"/>
        <v>698</v>
      </c>
      <c r="B699" s="45" t="s">
        <v>1854</v>
      </c>
      <c r="C699" s="45" t="s">
        <v>1970</v>
      </c>
      <c r="D699" s="46" t="s">
        <v>1976</v>
      </c>
      <c r="E699" s="71" t="s">
        <v>1977</v>
      </c>
      <c r="F699" s="45" t="s">
        <v>1975</v>
      </c>
      <c r="G699" s="48" t="s">
        <v>452</v>
      </c>
      <c r="H699" s="49">
        <v>1</v>
      </c>
      <c r="I699" s="45"/>
      <c r="J699" s="46" t="s">
        <v>739</v>
      </c>
      <c r="K699" s="46"/>
    </row>
    <row r="700" spans="1:11">
      <c r="A700" s="45">
        <f t="shared" si="10"/>
        <v>699</v>
      </c>
      <c r="B700" s="45" t="s">
        <v>1854</v>
      </c>
      <c r="C700" s="45" t="s">
        <v>1970</v>
      </c>
      <c r="D700" s="46" t="s">
        <v>1978</v>
      </c>
      <c r="E700" s="71" t="s">
        <v>1979</v>
      </c>
      <c r="F700" s="45" t="s">
        <v>1975</v>
      </c>
      <c r="G700" s="48" t="s">
        <v>452</v>
      </c>
      <c r="H700" s="49">
        <v>1</v>
      </c>
      <c r="I700" s="45"/>
      <c r="J700" s="46" t="s">
        <v>739</v>
      </c>
      <c r="K700" s="46"/>
    </row>
    <row r="701" spans="1:11">
      <c r="A701" s="45">
        <f t="shared" si="10"/>
        <v>700</v>
      </c>
      <c r="B701" s="45" t="s">
        <v>1854</v>
      </c>
      <c r="C701" s="45" t="s">
        <v>1970</v>
      </c>
      <c r="D701" s="46" t="s">
        <v>1980</v>
      </c>
      <c r="E701" s="71" t="s">
        <v>1832</v>
      </c>
      <c r="F701" s="45"/>
      <c r="G701" s="48" t="s">
        <v>452</v>
      </c>
      <c r="H701" s="49">
        <v>1</v>
      </c>
      <c r="I701" s="45"/>
      <c r="J701" s="46" t="s">
        <v>1695</v>
      </c>
      <c r="K701" s="46" t="s">
        <v>938</v>
      </c>
    </row>
    <row r="702" spans="1:11">
      <c r="A702" s="45">
        <f t="shared" si="10"/>
        <v>701</v>
      </c>
      <c r="B702" s="45" t="s">
        <v>1854</v>
      </c>
      <c r="C702" s="45" t="s">
        <v>1970</v>
      </c>
      <c r="D702" s="46" t="s">
        <v>1981</v>
      </c>
      <c r="E702" s="71" t="s">
        <v>1982</v>
      </c>
      <c r="F702" s="45" t="s">
        <v>1983</v>
      </c>
      <c r="G702" s="48" t="s">
        <v>452</v>
      </c>
      <c r="H702" s="49">
        <v>1</v>
      </c>
      <c r="I702" s="45"/>
      <c r="J702" s="46" t="s">
        <v>739</v>
      </c>
      <c r="K702" s="46"/>
    </row>
    <row r="703" spans="1:11">
      <c r="A703" s="45">
        <f t="shared" si="10"/>
        <v>702</v>
      </c>
      <c r="B703" s="45" t="s">
        <v>1854</v>
      </c>
      <c r="C703" s="45" t="s">
        <v>1970</v>
      </c>
      <c r="D703" s="46" t="s">
        <v>1984</v>
      </c>
      <c r="E703" s="71" t="s">
        <v>1839</v>
      </c>
      <c r="F703" s="45" t="s">
        <v>1985</v>
      </c>
      <c r="G703" s="48" t="s">
        <v>452</v>
      </c>
      <c r="H703" s="49">
        <v>1</v>
      </c>
      <c r="I703" s="45"/>
      <c r="J703" s="46" t="s">
        <v>739</v>
      </c>
      <c r="K703" s="46"/>
    </row>
    <row r="704" spans="1:11">
      <c r="A704" s="45">
        <f t="shared" si="10"/>
        <v>703</v>
      </c>
      <c r="B704" s="45" t="s">
        <v>1854</v>
      </c>
      <c r="C704" s="45" t="s">
        <v>1970</v>
      </c>
      <c r="D704" s="46" t="s">
        <v>1986</v>
      </c>
      <c r="E704" s="71" t="s">
        <v>1987</v>
      </c>
      <c r="F704" s="45" t="s">
        <v>1988</v>
      </c>
      <c r="G704" s="48" t="s">
        <v>452</v>
      </c>
      <c r="H704" s="49">
        <v>1</v>
      </c>
      <c r="I704" s="45"/>
      <c r="J704" s="46" t="s">
        <v>739</v>
      </c>
      <c r="K704" s="46" t="s">
        <v>752</v>
      </c>
    </row>
    <row r="705" spans="1:11">
      <c r="A705" s="45">
        <f t="shared" si="10"/>
        <v>704</v>
      </c>
      <c r="B705" s="45" t="s">
        <v>1854</v>
      </c>
      <c r="C705" s="45" t="s">
        <v>1970</v>
      </c>
      <c r="D705" s="46" t="s">
        <v>1989</v>
      </c>
      <c r="E705" s="71" t="s">
        <v>1834</v>
      </c>
      <c r="F705" s="45" t="s">
        <v>1990</v>
      </c>
      <c r="G705" s="48" t="s">
        <v>452</v>
      </c>
      <c r="H705" s="49">
        <v>1</v>
      </c>
      <c r="I705" s="45"/>
      <c r="J705" s="46" t="s">
        <v>739</v>
      </c>
      <c r="K705" s="46" t="s">
        <v>752</v>
      </c>
    </row>
    <row r="706" spans="1:11">
      <c r="A706" s="45">
        <f t="shared" si="10"/>
        <v>705</v>
      </c>
      <c r="B706" s="45" t="s">
        <v>1854</v>
      </c>
      <c r="C706" s="45" t="s">
        <v>1970</v>
      </c>
      <c r="D706" s="46" t="s">
        <v>1991</v>
      </c>
      <c r="E706" s="71" t="s">
        <v>1992</v>
      </c>
      <c r="F706" s="45"/>
      <c r="G706" s="48" t="s">
        <v>452</v>
      </c>
      <c r="H706" s="49">
        <v>1</v>
      </c>
      <c r="I706" s="45" t="s">
        <v>1021</v>
      </c>
      <c r="J706" s="46" t="s">
        <v>1695</v>
      </c>
      <c r="K706" s="46"/>
    </row>
    <row r="707" spans="1:11">
      <c r="A707" s="45">
        <f t="shared" ref="A707:A770" si="11">ROW()-1</f>
        <v>706</v>
      </c>
      <c r="B707" s="45" t="s">
        <v>1854</v>
      </c>
      <c r="C707" s="45" t="s">
        <v>1970</v>
      </c>
      <c r="D707" s="46" t="s">
        <v>1993</v>
      </c>
      <c r="E707" s="71" t="s">
        <v>1994</v>
      </c>
      <c r="F707" s="45"/>
      <c r="G707" s="48" t="s">
        <v>452</v>
      </c>
      <c r="H707" s="49">
        <v>1</v>
      </c>
      <c r="I707" s="45" t="s">
        <v>1021</v>
      </c>
      <c r="J707" s="46" t="s">
        <v>1695</v>
      </c>
      <c r="K707" s="46"/>
    </row>
    <row r="708" spans="1:11">
      <c r="A708" s="45">
        <f t="shared" si="11"/>
        <v>707</v>
      </c>
      <c r="B708" s="45" t="s">
        <v>1854</v>
      </c>
      <c r="C708" s="45" t="s">
        <v>1970</v>
      </c>
      <c r="D708" s="46" t="s">
        <v>1995</v>
      </c>
      <c r="E708" s="71" t="s">
        <v>1996</v>
      </c>
      <c r="F708" s="45" t="s">
        <v>603</v>
      </c>
      <c r="G708" s="48" t="s">
        <v>452</v>
      </c>
      <c r="H708" s="49">
        <v>1</v>
      </c>
      <c r="I708" s="45"/>
      <c r="J708" s="46" t="s">
        <v>739</v>
      </c>
      <c r="K708" s="46" t="s">
        <v>752</v>
      </c>
    </row>
    <row r="709" spans="1:11">
      <c r="A709" s="45">
        <f t="shared" si="11"/>
        <v>708</v>
      </c>
      <c r="B709" s="45" t="s">
        <v>1854</v>
      </c>
      <c r="C709" s="45" t="s">
        <v>1970</v>
      </c>
      <c r="D709" s="46" t="s">
        <v>1997</v>
      </c>
      <c r="E709" s="71" t="s">
        <v>1998</v>
      </c>
      <c r="F709" s="45"/>
      <c r="G709" s="48" t="s">
        <v>452</v>
      </c>
      <c r="H709" s="49">
        <v>1</v>
      </c>
      <c r="I709" s="45"/>
      <c r="J709" s="46" t="s">
        <v>957</v>
      </c>
      <c r="K709" s="46" t="s">
        <v>739</v>
      </c>
    </row>
    <row r="710" spans="1:11">
      <c r="A710" s="45">
        <f t="shared" si="11"/>
        <v>709</v>
      </c>
      <c r="B710" s="45" t="s">
        <v>1854</v>
      </c>
      <c r="C710" s="45" t="s">
        <v>1970</v>
      </c>
      <c r="D710" s="46" t="s">
        <v>1999</v>
      </c>
      <c r="E710" s="71" t="s">
        <v>2000</v>
      </c>
      <c r="F710" s="45"/>
      <c r="G710" s="48" t="s">
        <v>452</v>
      </c>
      <c r="H710" s="49">
        <v>1</v>
      </c>
      <c r="I710" s="45"/>
      <c r="J710" s="46" t="s">
        <v>957</v>
      </c>
      <c r="K710" s="46" t="s">
        <v>739</v>
      </c>
    </row>
    <row r="711" spans="1:11">
      <c r="A711" s="45">
        <f t="shared" si="11"/>
        <v>710</v>
      </c>
      <c r="B711" s="45" t="s">
        <v>1854</v>
      </c>
      <c r="C711" s="45" t="s">
        <v>1970</v>
      </c>
      <c r="D711" s="46" t="s">
        <v>2001</v>
      </c>
      <c r="E711" s="71" t="s">
        <v>2002</v>
      </c>
      <c r="F711" s="45"/>
      <c r="G711" s="48" t="s">
        <v>452</v>
      </c>
      <c r="H711" s="49">
        <v>1</v>
      </c>
      <c r="I711" s="45" t="s">
        <v>1021</v>
      </c>
      <c r="J711" s="46" t="s">
        <v>957</v>
      </c>
      <c r="K711" s="46" t="s">
        <v>739</v>
      </c>
    </row>
    <row r="712" spans="1:11">
      <c r="A712" s="45">
        <f t="shared" si="11"/>
        <v>711</v>
      </c>
      <c r="B712" s="45" t="s">
        <v>1854</v>
      </c>
      <c r="C712" s="45" t="s">
        <v>1970</v>
      </c>
      <c r="D712" s="46" t="s">
        <v>2003</v>
      </c>
      <c r="E712" s="71" t="s">
        <v>2004</v>
      </c>
      <c r="F712" s="45"/>
      <c r="G712" s="48" t="s">
        <v>452</v>
      </c>
      <c r="H712" s="49">
        <v>1</v>
      </c>
      <c r="I712" s="45" t="s">
        <v>1021</v>
      </c>
      <c r="J712" s="46" t="s">
        <v>1698</v>
      </c>
      <c r="K712" s="46"/>
    </row>
    <row r="713" spans="1:11">
      <c r="A713" s="45">
        <f t="shared" si="11"/>
        <v>712</v>
      </c>
      <c r="B713" s="45" t="s">
        <v>1854</v>
      </c>
      <c r="C713" s="45" t="s">
        <v>1970</v>
      </c>
      <c r="D713" s="46" t="s">
        <v>2005</v>
      </c>
      <c r="E713" s="71" t="s">
        <v>2006</v>
      </c>
      <c r="F713" s="45"/>
      <c r="G713" s="48" t="s">
        <v>452</v>
      </c>
      <c r="H713" s="49">
        <v>1</v>
      </c>
      <c r="I713" s="45"/>
      <c r="J713" s="46" t="s">
        <v>1698</v>
      </c>
      <c r="K713" s="46" t="s">
        <v>938</v>
      </c>
    </row>
    <row r="714" spans="1:11">
      <c r="A714" s="45">
        <f t="shared" si="11"/>
        <v>713</v>
      </c>
      <c r="B714" s="45" t="s">
        <v>1854</v>
      </c>
      <c r="C714" s="45" t="s">
        <v>1970</v>
      </c>
      <c r="D714" s="46" t="s">
        <v>2007</v>
      </c>
      <c r="E714" s="71" t="s">
        <v>2008</v>
      </c>
      <c r="F714" s="45"/>
      <c r="G714" s="48" t="s">
        <v>452</v>
      </c>
      <c r="H714" s="49">
        <v>1</v>
      </c>
      <c r="I714" s="45" t="s">
        <v>1021</v>
      </c>
      <c r="J714" s="46" t="s">
        <v>1695</v>
      </c>
      <c r="K714" s="46"/>
    </row>
    <row r="715" spans="1:11">
      <c r="A715" s="45">
        <f t="shared" si="11"/>
        <v>714</v>
      </c>
      <c r="B715" s="45" t="s">
        <v>1854</v>
      </c>
      <c r="C715" s="45" t="s">
        <v>271</v>
      </c>
      <c r="D715" s="46" t="s">
        <v>2009</v>
      </c>
      <c r="E715" s="71" t="s">
        <v>2010</v>
      </c>
      <c r="F715" s="45" t="s">
        <v>1975</v>
      </c>
      <c r="G715" s="48" t="s">
        <v>452</v>
      </c>
      <c r="H715" s="49">
        <v>1</v>
      </c>
      <c r="I715" s="45"/>
      <c r="J715" s="46" t="s">
        <v>739</v>
      </c>
      <c r="K715" s="46" t="s">
        <v>752</v>
      </c>
    </row>
    <row r="716" spans="1:11">
      <c r="A716" s="45">
        <f t="shared" si="11"/>
        <v>715</v>
      </c>
      <c r="B716" s="45" t="s">
        <v>1854</v>
      </c>
      <c r="C716" s="45" t="s">
        <v>271</v>
      </c>
      <c r="D716" s="46" t="s">
        <v>2011</v>
      </c>
      <c r="E716" s="71" t="s">
        <v>2012</v>
      </c>
      <c r="F716" s="45" t="s">
        <v>2013</v>
      </c>
      <c r="G716" s="48" t="s">
        <v>452</v>
      </c>
      <c r="H716" s="49">
        <v>1</v>
      </c>
      <c r="I716" s="45"/>
      <c r="J716" s="46" t="s">
        <v>739</v>
      </c>
      <c r="K716" s="46" t="s">
        <v>752</v>
      </c>
    </row>
    <row r="717" spans="1:11">
      <c r="A717" s="45">
        <f t="shared" si="11"/>
        <v>716</v>
      </c>
      <c r="B717" s="45" t="s">
        <v>1854</v>
      </c>
      <c r="C717" s="45" t="s">
        <v>271</v>
      </c>
      <c r="D717" s="46" t="s">
        <v>2014</v>
      </c>
      <c r="E717" s="71" t="s">
        <v>2015</v>
      </c>
      <c r="F717" s="45" t="s">
        <v>1396</v>
      </c>
      <c r="G717" s="48" t="s">
        <v>452</v>
      </c>
      <c r="H717" s="49">
        <v>1</v>
      </c>
      <c r="I717" s="45"/>
      <c r="J717" s="46" t="s">
        <v>739</v>
      </c>
      <c r="K717" s="46" t="s">
        <v>752</v>
      </c>
    </row>
    <row r="718" spans="1:11">
      <c r="A718" s="45">
        <f t="shared" si="11"/>
        <v>717</v>
      </c>
      <c r="B718" s="45" t="s">
        <v>1854</v>
      </c>
      <c r="C718" s="45" t="s">
        <v>271</v>
      </c>
      <c r="D718" s="46" t="s">
        <v>2016</v>
      </c>
      <c r="E718" s="71" t="s">
        <v>2017</v>
      </c>
      <c r="F718" s="45" t="s">
        <v>2013</v>
      </c>
      <c r="G718" s="48" t="s">
        <v>452</v>
      </c>
      <c r="H718" s="49">
        <v>1</v>
      </c>
      <c r="I718" s="45"/>
      <c r="J718" s="46" t="s">
        <v>739</v>
      </c>
      <c r="K718" s="46" t="s">
        <v>752</v>
      </c>
    </row>
    <row r="719" spans="1:11">
      <c r="A719" s="45">
        <f t="shared" si="11"/>
        <v>718</v>
      </c>
      <c r="B719" s="45" t="s">
        <v>1854</v>
      </c>
      <c r="C719" s="45" t="s">
        <v>271</v>
      </c>
      <c r="D719" s="46" t="s">
        <v>2018</v>
      </c>
      <c r="E719" s="71" t="s">
        <v>2019</v>
      </c>
      <c r="F719" s="45" t="s">
        <v>2020</v>
      </c>
      <c r="G719" s="48" t="s">
        <v>452</v>
      </c>
      <c r="H719" s="49">
        <v>1</v>
      </c>
      <c r="I719" s="45"/>
      <c r="J719" s="46" t="s">
        <v>739</v>
      </c>
      <c r="K719" s="46" t="s">
        <v>752</v>
      </c>
    </row>
    <row r="720" spans="1:11">
      <c r="A720" s="45">
        <f t="shared" si="11"/>
        <v>719</v>
      </c>
      <c r="B720" s="45" t="s">
        <v>1854</v>
      </c>
      <c r="C720" s="45" t="s">
        <v>271</v>
      </c>
      <c r="D720" s="46" t="s">
        <v>2021</v>
      </c>
      <c r="E720" s="71" t="s">
        <v>771</v>
      </c>
      <c r="F720" s="45" t="s">
        <v>2013</v>
      </c>
      <c r="G720" s="48" t="s">
        <v>452</v>
      </c>
      <c r="H720" s="49">
        <v>1</v>
      </c>
      <c r="I720" s="45"/>
      <c r="J720" s="46" t="s">
        <v>739</v>
      </c>
      <c r="K720" s="46" t="s">
        <v>752</v>
      </c>
    </row>
    <row r="721" spans="1:11">
      <c r="A721" s="45">
        <f t="shared" si="11"/>
        <v>720</v>
      </c>
      <c r="B721" s="45" t="s">
        <v>1854</v>
      </c>
      <c r="C721" s="45" t="s">
        <v>271</v>
      </c>
      <c r="D721" s="46" t="s">
        <v>2022</v>
      </c>
      <c r="E721" s="71" t="s">
        <v>2023</v>
      </c>
      <c r="F721" s="45" t="s">
        <v>603</v>
      </c>
      <c r="G721" s="48" t="s">
        <v>452</v>
      </c>
      <c r="H721" s="49">
        <v>1</v>
      </c>
      <c r="I721" s="45"/>
      <c r="J721" s="46" t="s">
        <v>739</v>
      </c>
      <c r="K721" s="46"/>
    </row>
    <row r="722" spans="1:11">
      <c r="A722" s="45">
        <f t="shared" si="11"/>
        <v>721</v>
      </c>
      <c r="B722" s="45" t="s">
        <v>1854</v>
      </c>
      <c r="C722" s="45" t="s">
        <v>271</v>
      </c>
      <c r="D722" s="46" t="s">
        <v>2024</v>
      </c>
      <c r="E722" s="71" t="s">
        <v>2025</v>
      </c>
      <c r="F722" s="45" t="s">
        <v>2026</v>
      </c>
      <c r="G722" s="48" t="s">
        <v>452</v>
      </c>
      <c r="H722" s="49">
        <v>1</v>
      </c>
      <c r="I722" s="45"/>
      <c r="J722" s="46" t="s">
        <v>739</v>
      </c>
      <c r="K722" s="46" t="s">
        <v>752</v>
      </c>
    </row>
    <row r="723" spans="1:11">
      <c r="A723" s="45">
        <f t="shared" si="11"/>
        <v>722</v>
      </c>
      <c r="B723" s="45" t="s">
        <v>1854</v>
      </c>
      <c r="C723" s="45" t="s">
        <v>271</v>
      </c>
      <c r="D723" s="46" t="s">
        <v>2027</v>
      </c>
      <c r="E723" s="71" t="s">
        <v>2028</v>
      </c>
      <c r="F723" s="45" t="s">
        <v>2029</v>
      </c>
      <c r="G723" s="48" t="s">
        <v>452</v>
      </c>
      <c r="H723" s="49">
        <v>1</v>
      </c>
      <c r="I723" s="45"/>
      <c r="J723" s="46" t="s">
        <v>739</v>
      </c>
      <c r="K723" s="46" t="s">
        <v>752</v>
      </c>
    </row>
    <row r="724" spans="1:11">
      <c r="A724" s="45">
        <f t="shared" si="11"/>
        <v>723</v>
      </c>
      <c r="B724" s="45" t="s">
        <v>1854</v>
      </c>
      <c r="C724" s="45" t="s">
        <v>271</v>
      </c>
      <c r="D724" s="46" t="s">
        <v>2030</v>
      </c>
      <c r="E724" s="71" t="s">
        <v>2031</v>
      </c>
      <c r="F724" s="45" t="s">
        <v>758</v>
      </c>
      <c r="G724" s="48" t="s">
        <v>452</v>
      </c>
      <c r="H724" s="49">
        <v>1</v>
      </c>
      <c r="I724" s="45"/>
      <c r="J724" s="46" t="s">
        <v>739</v>
      </c>
      <c r="K724" s="46"/>
    </row>
    <row r="725" spans="1:11">
      <c r="A725" s="45">
        <f t="shared" si="11"/>
        <v>724</v>
      </c>
      <c r="B725" s="45" t="s">
        <v>1854</v>
      </c>
      <c r="C725" s="45" t="s">
        <v>271</v>
      </c>
      <c r="D725" s="46" t="s">
        <v>2032</v>
      </c>
      <c r="E725" s="71" t="s">
        <v>786</v>
      </c>
      <c r="F725" s="45" t="s">
        <v>603</v>
      </c>
      <c r="G725" s="48" t="s">
        <v>452</v>
      </c>
      <c r="H725" s="49">
        <v>1</v>
      </c>
      <c r="I725" s="45"/>
      <c r="J725" s="46" t="s">
        <v>739</v>
      </c>
      <c r="K725" s="46" t="s">
        <v>752</v>
      </c>
    </row>
    <row r="726" spans="1:11" ht="96">
      <c r="A726" s="45">
        <f t="shared" si="11"/>
        <v>725</v>
      </c>
      <c r="B726" s="45" t="s">
        <v>1854</v>
      </c>
      <c r="C726" s="45" t="s">
        <v>271</v>
      </c>
      <c r="D726" s="46" t="s">
        <v>2033</v>
      </c>
      <c r="E726" s="87" t="s">
        <v>2034</v>
      </c>
      <c r="F726" s="45" t="s">
        <v>2035</v>
      </c>
      <c r="G726" s="48" t="s">
        <v>452</v>
      </c>
      <c r="H726" s="49">
        <v>1</v>
      </c>
      <c r="I726" s="45" t="s">
        <v>2036</v>
      </c>
      <c r="J726" s="46" t="s">
        <v>739</v>
      </c>
      <c r="K726" s="46" t="s">
        <v>752</v>
      </c>
    </row>
    <row r="727" spans="1:11">
      <c r="A727" s="39">
        <f t="shared" si="11"/>
        <v>726</v>
      </c>
      <c r="B727" s="39" t="s">
        <v>1854</v>
      </c>
      <c r="C727" s="39" t="s">
        <v>271</v>
      </c>
      <c r="D727" s="40" t="s">
        <v>2037</v>
      </c>
      <c r="E727" s="41" t="s">
        <v>2038</v>
      </c>
      <c r="F727" s="39" t="s">
        <v>2039</v>
      </c>
      <c r="G727" s="42">
        <v>46172</v>
      </c>
      <c r="H727" s="55">
        <v>0.95</v>
      </c>
      <c r="I727" s="39"/>
      <c r="J727" s="40" t="s">
        <v>957</v>
      </c>
      <c r="K727" s="40" t="s">
        <v>739</v>
      </c>
    </row>
    <row r="728" spans="1:11">
      <c r="A728" s="39">
        <f t="shared" si="11"/>
        <v>727</v>
      </c>
      <c r="B728" s="39" t="s">
        <v>1854</v>
      </c>
      <c r="C728" s="39" t="s">
        <v>271</v>
      </c>
      <c r="D728" s="40" t="s">
        <v>2040</v>
      </c>
      <c r="E728" s="41" t="s">
        <v>799</v>
      </c>
      <c r="F728" s="39" t="s">
        <v>2041</v>
      </c>
      <c r="G728" s="42">
        <v>46172</v>
      </c>
      <c r="H728" s="55">
        <v>0.97</v>
      </c>
      <c r="I728" s="39"/>
      <c r="J728" s="40" t="s">
        <v>957</v>
      </c>
      <c r="K728" s="40" t="s">
        <v>739</v>
      </c>
    </row>
    <row r="729" spans="1:11">
      <c r="A729" s="39">
        <f t="shared" si="11"/>
        <v>728</v>
      </c>
      <c r="B729" s="39" t="s">
        <v>1854</v>
      </c>
      <c r="C729" s="39" t="s">
        <v>271</v>
      </c>
      <c r="D729" s="40" t="s">
        <v>2042</v>
      </c>
      <c r="E729" s="41" t="s">
        <v>2043</v>
      </c>
      <c r="F729" s="39" t="s">
        <v>2044</v>
      </c>
      <c r="G729" s="42">
        <v>46172</v>
      </c>
      <c r="H729" s="55">
        <v>0.97</v>
      </c>
      <c r="I729" s="39"/>
      <c r="J729" s="40" t="s">
        <v>957</v>
      </c>
      <c r="K729" s="40" t="s">
        <v>739</v>
      </c>
    </row>
    <row r="730" spans="1:11">
      <c r="A730" s="45">
        <f t="shared" si="11"/>
        <v>729</v>
      </c>
      <c r="B730" s="45" t="s">
        <v>1854</v>
      </c>
      <c r="C730" s="45" t="s">
        <v>271</v>
      </c>
      <c r="D730" s="46" t="s">
        <v>2045</v>
      </c>
      <c r="E730" s="71" t="s">
        <v>2046</v>
      </c>
      <c r="F730" s="45" t="s">
        <v>2047</v>
      </c>
      <c r="G730" s="48" t="s">
        <v>452</v>
      </c>
      <c r="H730" s="49">
        <v>1</v>
      </c>
      <c r="I730" s="45" t="s">
        <v>1913</v>
      </c>
      <c r="J730" s="46" t="s">
        <v>739</v>
      </c>
      <c r="K730" s="46" t="s">
        <v>752</v>
      </c>
    </row>
    <row r="731" spans="1:11">
      <c r="A731" s="45">
        <f t="shared" si="11"/>
        <v>730</v>
      </c>
      <c r="B731" s="45" t="s">
        <v>1854</v>
      </c>
      <c r="C731" s="45" t="s">
        <v>271</v>
      </c>
      <c r="D731" s="46" t="s">
        <v>2048</v>
      </c>
      <c r="E731" s="71" t="s">
        <v>2049</v>
      </c>
      <c r="F731" s="88" t="s">
        <v>2050</v>
      </c>
      <c r="G731" s="48" t="s">
        <v>452</v>
      </c>
      <c r="H731" s="49">
        <v>1</v>
      </c>
      <c r="I731" s="45"/>
      <c r="J731" s="46" t="s">
        <v>957</v>
      </c>
      <c r="K731" s="46" t="s">
        <v>739</v>
      </c>
    </row>
    <row r="732" spans="1:11">
      <c r="A732" s="45">
        <f t="shared" si="11"/>
        <v>731</v>
      </c>
      <c r="B732" s="45" t="s">
        <v>1854</v>
      </c>
      <c r="C732" s="45" t="s">
        <v>271</v>
      </c>
      <c r="D732" s="46" t="s">
        <v>2051</v>
      </c>
      <c r="E732" s="71" t="s">
        <v>2052</v>
      </c>
      <c r="F732" s="45" t="s">
        <v>2053</v>
      </c>
      <c r="G732" s="48" t="s">
        <v>452</v>
      </c>
      <c r="H732" s="49">
        <v>1</v>
      </c>
      <c r="I732" s="45" t="s">
        <v>1913</v>
      </c>
      <c r="J732" s="46" t="s">
        <v>739</v>
      </c>
      <c r="K732" s="46" t="s">
        <v>752</v>
      </c>
    </row>
    <row r="733" spans="1:11">
      <c r="A733" s="45">
        <f t="shared" si="11"/>
        <v>732</v>
      </c>
      <c r="B733" s="45" t="s">
        <v>1854</v>
      </c>
      <c r="C733" s="45" t="s">
        <v>271</v>
      </c>
      <c r="D733" s="46" t="s">
        <v>2054</v>
      </c>
      <c r="E733" s="71" t="s">
        <v>2055</v>
      </c>
      <c r="F733" s="45" t="s">
        <v>603</v>
      </c>
      <c r="G733" s="48" t="s">
        <v>452</v>
      </c>
      <c r="H733" s="49">
        <v>1</v>
      </c>
      <c r="I733" s="45"/>
      <c r="J733" s="46" t="s">
        <v>957</v>
      </c>
      <c r="K733" s="46" t="s">
        <v>739</v>
      </c>
    </row>
    <row r="734" spans="1:11">
      <c r="A734" s="45">
        <f t="shared" si="11"/>
        <v>733</v>
      </c>
      <c r="B734" s="45" t="s">
        <v>2056</v>
      </c>
      <c r="C734" s="45" t="s">
        <v>2057</v>
      </c>
      <c r="D734" s="46" t="s">
        <v>2058</v>
      </c>
      <c r="E734" s="71" t="s">
        <v>2059</v>
      </c>
      <c r="F734" s="45"/>
      <c r="G734" s="48" t="s">
        <v>452</v>
      </c>
      <c r="H734" s="49">
        <v>1</v>
      </c>
      <c r="I734" s="45" t="s">
        <v>1021</v>
      </c>
      <c r="J734" s="46" t="s">
        <v>444</v>
      </c>
      <c r="K734" s="46"/>
    </row>
    <row r="735" spans="1:11">
      <c r="A735" s="45">
        <f t="shared" si="11"/>
        <v>734</v>
      </c>
      <c r="B735" s="45" t="s">
        <v>2056</v>
      </c>
      <c r="C735" s="45" t="s">
        <v>520</v>
      </c>
      <c r="D735" s="46" t="s">
        <v>2060</v>
      </c>
      <c r="E735" s="71" t="s">
        <v>2061</v>
      </c>
      <c r="F735" s="45"/>
      <c r="G735" s="48" t="s">
        <v>452</v>
      </c>
      <c r="H735" s="49">
        <v>1</v>
      </c>
      <c r="I735" s="45" t="s">
        <v>1021</v>
      </c>
      <c r="J735" s="46" t="s">
        <v>444</v>
      </c>
      <c r="K735" s="46"/>
    </row>
    <row r="736" spans="1:11">
      <c r="A736" s="45">
        <f t="shared" si="11"/>
        <v>735</v>
      </c>
      <c r="B736" s="45" t="s">
        <v>2056</v>
      </c>
      <c r="C736" s="45" t="s">
        <v>2062</v>
      </c>
      <c r="D736" s="46" t="s">
        <v>2063</v>
      </c>
      <c r="E736" s="71" t="s">
        <v>609</v>
      </c>
      <c r="F736" s="45"/>
      <c r="G736" s="48" t="s">
        <v>452</v>
      </c>
      <c r="H736" s="49">
        <v>1</v>
      </c>
      <c r="I736" s="45" t="s">
        <v>1021</v>
      </c>
      <c r="J736" s="46" t="s">
        <v>138</v>
      </c>
      <c r="K736" s="46"/>
    </row>
    <row r="737" spans="1:11">
      <c r="A737" s="45">
        <f t="shared" si="11"/>
        <v>736</v>
      </c>
      <c r="B737" s="45" t="s">
        <v>2056</v>
      </c>
      <c r="C737" s="45" t="s">
        <v>2062</v>
      </c>
      <c r="D737" s="46" t="s">
        <v>2064</v>
      </c>
      <c r="E737" s="71" t="s">
        <v>2065</v>
      </c>
      <c r="F737" s="45"/>
      <c r="G737" s="48" t="s">
        <v>452</v>
      </c>
      <c r="H737" s="49">
        <v>1</v>
      </c>
      <c r="I737" s="45" t="s">
        <v>1021</v>
      </c>
      <c r="J737" s="46" t="s">
        <v>138</v>
      </c>
      <c r="K737" s="46"/>
    </row>
    <row r="738" spans="1:11">
      <c r="A738" s="45">
        <f t="shared" si="11"/>
        <v>737</v>
      </c>
      <c r="B738" s="45" t="s">
        <v>2056</v>
      </c>
      <c r="C738" s="45" t="s">
        <v>440</v>
      </c>
      <c r="D738" s="46" t="s">
        <v>2066</v>
      </c>
      <c r="E738" s="71" t="s">
        <v>2067</v>
      </c>
      <c r="F738" s="45"/>
      <c r="G738" s="48" t="s">
        <v>452</v>
      </c>
      <c r="H738" s="49">
        <v>1</v>
      </c>
      <c r="I738" s="69" t="s">
        <v>1021</v>
      </c>
      <c r="J738" s="46" t="s">
        <v>2068</v>
      </c>
      <c r="K738" s="46"/>
    </row>
    <row r="739" spans="1:11">
      <c r="A739" s="45">
        <f t="shared" si="11"/>
        <v>738</v>
      </c>
      <c r="B739" s="45" t="s">
        <v>2056</v>
      </c>
      <c r="C739" s="45" t="s">
        <v>440</v>
      </c>
      <c r="D739" s="46" t="s">
        <v>2069</v>
      </c>
      <c r="E739" s="71" t="s">
        <v>2070</v>
      </c>
      <c r="F739" s="45"/>
      <c r="G739" s="48" t="s">
        <v>452</v>
      </c>
      <c r="H739" s="49">
        <v>1</v>
      </c>
      <c r="I739" s="69" t="s">
        <v>1021</v>
      </c>
      <c r="J739" s="46" t="s">
        <v>2068</v>
      </c>
      <c r="K739" s="46"/>
    </row>
    <row r="740" spans="1:11">
      <c r="A740" s="45">
        <f t="shared" si="11"/>
        <v>739</v>
      </c>
      <c r="B740" s="45" t="s">
        <v>2056</v>
      </c>
      <c r="C740" s="45" t="s">
        <v>440</v>
      </c>
      <c r="D740" s="46" t="s">
        <v>2071</v>
      </c>
      <c r="E740" s="71" t="s">
        <v>2072</v>
      </c>
      <c r="F740" s="45"/>
      <c r="G740" s="48" t="s">
        <v>452</v>
      </c>
      <c r="H740" s="49">
        <v>1</v>
      </c>
      <c r="I740" s="69" t="s">
        <v>1021</v>
      </c>
      <c r="J740" s="46" t="s">
        <v>2068</v>
      </c>
      <c r="K740" s="46"/>
    </row>
    <row r="741" spans="1:11">
      <c r="A741" s="45">
        <f t="shared" si="11"/>
        <v>740</v>
      </c>
      <c r="B741" s="45" t="s">
        <v>2056</v>
      </c>
      <c r="C741" s="45" t="s">
        <v>440</v>
      </c>
      <c r="D741" s="46" t="s">
        <v>2073</v>
      </c>
      <c r="E741" s="71" t="s">
        <v>2074</v>
      </c>
      <c r="F741" s="45"/>
      <c r="G741" s="48" t="s">
        <v>452</v>
      </c>
      <c r="H741" s="49">
        <v>1</v>
      </c>
      <c r="I741" s="69" t="s">
        <v>1021</v>
      </c>
      <c r="J741" s="46" t="s">
        <v>2068</v>
      </c>
      <c r="K741" s="46"/>
    </row>
    <row r="742" spans="1:11">
      <c r="A742" s="45">
        <f t="shared" si="11"/>
        <v>741</v>
      </c>
      <c r="B742" s="45" t="s">
        <v>2056</v>
      </c>
      <c r="C742" s="45" t="s">
        <v>440</v>
      </c>
      <c r="D742" s="46" t="s">
        <v>2075</v>
      </c>
      <c r="E742" s="71" t="s">
        <v>2076</v>
      </c>
      <c r="F742" s="45"/>
      <c r="G742" s="48" t="s">
        <v>452</v>
      </c>
      <c r="H742" s="49">
        <v>1</v>
      </c>
      <c r="I742" s="69" t="s">
        <v>1021</v>
      </c>
      <c r="J742" s="46" t="s">
        <v>2068</v>
      </c>
      <c r="K742" s="46"/>
    </row>
    <row r="743" spans="1:11">
      <c r="A743" s="45">
        <f t="shared" si="11"/>
        <v>742</v>
      </c>
      <c r="B743" s="45" t="s">
        <v>2056</v>
      </c>
      <c r="C743" s="45" t="s">
        <v>440</v>
      </c>
      <c r="D743" s="46" t="s">
        <v>2077</v>
      </c>
      <c r="E743" s="71" t="s">
        <v>2078</v>
      </c>
      <c r="F743" s="45"/>
      <c r="G743" s="48" t="s">
        <v>452</v>
      </c>
      <c r="H743" s="49">
        <v>1</v>
      </c>
      <c r="I743" s="69" t="s">
        <v>1021</v>
      </c>
      <c r="J743" s="46" t="s">
        <v>2068</v>
      </c>
      <c r="K743" s="46"/>
    </row>
    <row r="744" spans="1:11">
      <c r="A744" s="45">
        <f t="shared" si="11"/>
        <v>743</v>
      </c>
      <c r="B744" s="45" t="s">
        <v>2056</v>
      </c>
      <c r="C744" s="45" t="s">
        <v>440</v>
      </c>
      <c r="D744" s="46" t="s">
        <v>2079</v>
      </c>
      <c r="E744" s="71" t="s">
        <v>2080</v>
      </c>
      <c r="F744" s="45"/>
      <c r="G744" s="48" t="s">
        <v>452</v>
      </c>
      <c r="H744" s="49">
        <v>1</v>
      </c>
      <c r="I744" s="69" t="s">
        <v>1021</v>
      </c>
      <c r="J744" s="46" t="s">
        <v>2068</v>
      </c>
      <c r="K744" s="46"/>
    </row>
    <row r="745" spans="1:11">
      <c r="A745" s="45">
        <f t="shared" si="11"/>
        <v>744</v>
      </c>
      <c r="B745" s="45" t="s">
        <v>2056</v>
      </c>
      <c r="C745" s="45" t="s">
        <v>440</v>
      </c>
      <c r="D745" s="46" t="s">
        <v>2081</v>
      </c>
      <c r="E745" s="71" t="s">
        <v>478</v>
      </c>
      <c r="F745" s="45"/>
      <c r="G745" s="48" t="s">
        <v>452</v>
      </c>
      <c r="H745" s="49">
        <v>1</v>
      </c>
      <c r="I745" s="69" t="s">
        <v>1021</v>
      </c>
      <c r="J745" s="46" t="s">
        <v>2068</v>
      </c>
      <c r="K745" s="46"/>
    </row>
    <row r="746" spans="1:11">
      <c r="A746" s="45">
        <f t="shared" si="11"/>
        <v>745</v>
      </c>
      <c r="B746" s="45" t="s">
        <v>2056</v>
      </c>
      <c r="C746" s="45" t="s">
        <v>440</v>
      </c>
      <c r="D746" s="46" t="s">
        <v>2082</v>
      </c>
      <c r="E746" s="71" t="s">
        <v>2083</v>
      </c>
      <c r="F746" s="45"/>
      <c r="G746" s="48" t="s">
        <v>452</v>
      </c>
      <c r="H746" s="49">
        <v>1</v>
      </c>
      <c r="I746" s="69" t="s">
        <v>1021</v>
      </c>
      <c r="J746" s="46" t="s">
        <v>2068</v>
      </c>
      <c r="K746" s="46"/>
    </row>
    <row r="747" spans="1:11">
      <c r="A747" s="45">
        <f t="shared" si="11"/>
        <v>746</v>
      </c>
      <c r="B747" s="45" t="s">
        <v>2056</v>
      </c>
      <c r="C747" s="45" t="s">
        <v>440</v>
      </c>
      <c r="D747" s="46" t="s">
        <v>2084</v>
      </c>
      <c r="E747" s="71" t="s">
        <v>2085</v>
      </c>
      <c r="F747" s="45"/>
      <c r="G747" s="48" t="s">
        <v>452</v>
      </c>
      <c r="H747" s="49">
        <v>1</v>
      </c>
      <c r="I747" s="69" t="s">
        <v>1021</v>
      </c>
      <c r="J747" s="46" t="s">
        <v>2068</v>
      </c>
      <c r="K747" s="46"/>
    </row>
    <row r="748" spans="1:11">
      <c r="A748" s="45">
        <f t="shared" si="11"/>
        <v>747</v>
      </c>
      <c r="B748" s="45" t="s">
        <v>2056</v>
      </c>
      <c r="C748" s="45" t="s">
        <v>440</v>
      </c>
      <c r="D748" s="46" t="s">
        <v>2086</v>
      </c>
      <c r="E748" s="71" t="s">
        <v>2087</v>
      </c>
      <c r="F748" s="45"/>
      <c r="G748" s="48" t="s">
        <v>452</v>
      </c>
      <c r="H748" s="49">
        <v>1</v>
      </c>
      <c r="I748" s="69" t="s">
        <v>1021</v>
      </c>
      <c r="J748" s="46" t="s">
        <v>2068</v>
      </c>
      <c r="K748" s="46"/>
    </row>
    <row r="749" spans="1:11">
      <c r="A749" s="45">
        <f t="shared" si="11"/>
        <v>748</v>
      </c>
      <c r="B749" s="45" t="s">
        <v>2056</v>
      </c>
      <c r="C749" s="45" t="s">
        <v>440</v>
      </c>
      <c r="D749" s="46" t="s">
        <v>2088</v>
      </c>
      <c r="E749" s="71" t="s">
        <v>2089</v>
      </c>
      <c r="F749" s="45"/>
      <c r="G749" s="48" t="s">
        <v>452</v>
      </c>
      <c r="H749" s="49">
        <v>1</v>
      </c>
      <c r="I749" s="69" t="s">
        <v>1021</v>
      </c>
      <c r="J749" s="46" t="s">
        <v>2068</v>
      </c>
      <c r="K749" s="46"/>
    </row>
    <row r="750" spans="1:11">
      <c r="A750" s="45">
        <f t="shared" si="11"/>
        <v>749</v>
      </c>
      <c r="B750" s="45" t="s">
        <v>2056</v>
      </c>
      <c r="C750" s="45" t="s">
        <v>440</v>
      </c>
      <c r="D750" s="46" t="s">
        <v>2090</v>
      </c>
      <c r="E750" s="71" t="s">
        <v>2091</v>
      </c>
      <c r="F750" s="45"/>
      <c r="G750" s="48" t="s">
        <v>452</v>
      </c>
      <c r="H750" s="49">
        <v>1</v>
      </c>
      <c r="I750" s="69" t="s">
        <v>1021</v>
      </c>
      <c r="J750" s="46" t="s">
        <v>2068</v>
      </c>
      <c r="K750" s="46"/>
    </row>
    <row r="751" spans="1:11">
      <c r="A751" s="45">
        <f t="shared" si="11"/>
        <v>750</v>
      </c>
      <c r="B751" s="45" t="s">
        <v>2056</v>
      </c>
      <c r="C751" s="45" t="s">
        <v>440</v>
      </c>
      <c r="D751" s="46" t="s">
        <v>2092</v>
      </c>
      <c r="E751" s="71" t="s">
        <v>2093</v>
      </c>
      <c r="F751" s="45"/>
      <c r="G751" s="48" t="s">
        <v>452</v>
      </c>
      <c r="H751" s="49">
        <v>1</v>
      </c>
      <c r="I751" s="69" t="s">
        <v>1021</v>
      </c>
      <c r="J751" s="46" t="s">
        <v>2068</v>
      </c>
      <c r="K751" s="46"/>
    </row>
    <row r="752" spans="1:11">
      <c r="A752" s="45">
        <f t="shared" si="11"/>
        <v>751</v>
      </c>
      <c r="B752" s="45" t="s">
        <v>2056</v>
      </c>
      <c r="C752" s="45" t="s">
        <v>440</v>
      </c>
      <c r="D752" s="46" t="s">
        <v>2094</v>
      </c>
      <c r="E752" s="71" t="s">
        <v>2095</v>
      </c>
      <c r="F752" s="45"/>
      <c r="G752" s="48" t="s">
        <v>452</v>
      </c>
      <c r="H752" s="49">
        <v>1</v>
      </c>
      <c r="I752" s="45" t="s">
        <v>1021</v>
      </c>
      <c r="J752" s="46" t="s">
        <v>444</v>
      </c>
      <c r="K752" s="46"/>
    </row>
    <row r="753" spans="1:11">
      <c r="A753" s="45">
        <f t="shared" si="11"/>
        <v>752</v>
      </c>
      <c r="B753" s="45" t="s">
        <v>2056</v>
      </c>
      <c r="C753" s="45" t="s">
        <v>440</v>
      </c>
      <c r="D753" s="46" t="s">
        <v>2096</v>
      </c>
      <c r="E753" s="71" t="s">
        <v>2097</v>
      </c>
      <c r="F753" s="45"/>
      <c r="G753" s="48" t="s">
        <v>452</v>
      </c>
      <c r="H753" s="49">
        <v>1</v>
      </c>
      <c r="I753" s="45"/>
      <c r="J753" s="46" t="s">
        <v>444</v>
      </c>
      <c r="K753" s="46"/>
    </row>
    <row r="754" spans="1:11">
      <c r="A754" s="45">
        <f t="shared" si="11"/>
        <v>753</v>
      </c>
      <c r="B754" s="45" t="s">
        <v>2056</v>
      </c>
      <c r="C754" s="45" t="s">
        <v>440</v>
      </c>
      <c r="D754" s="46" t="s">
        <v>2098</v>
      </c>
      <c r="E754" s="71" t="s">
        <v>2099</v>
      </c>
      <c r="F754" s="45"/>
      <c r="G754" s="48" t="s">
        <v>452</v>
      </c>
      <c r="H754" s="49">
        <v>1</v>
      </c>
      <c r="I754" s="45"/>
      <c r="J754" s="46" t="s">
        <v>444</v>
      </c>
      <c r="K754" s="46"/>
    </row>
    <row r="755" spans="1:11">
      <c r="A755" s="45">
        <f t="shared" si="11"/>
        <v>754</v>
      </c>
      <c r="B755" s="45" t="s">
        <v>2056</v>
      </c>
      <c r="C755" s="45" t="s">
        <v>440</v>
      </c>
      <c r="D755" s="46" t="s">
        <v>2100</v>
      </c>
      <c r="E755" s="71" t="s">
        <v>2101</v>
      </c>
      <c r="F755" s="45"/>
      <c r="G755" s="48" t="s">
        <v>452</v>
      </c>
      <c r="H755" s="49">
        <v>1</v>
      </c>
      <c r="I755" s="69" t="s">
        <v>1021</v>
      </c>
      <c r="J755" s="46" t="s">
        <v>2068</v>
      </c>
      <c r="K755" s="46"/>
    </row>
    <row r="756" spans="1:11">
      <c r="A756" s="45">
        <f t="shared" si="11"/>
        <v>755</v>
      </c>
      <c r="B756" s="45" t="s">
        <v>2056</v>
      </c>
      <c r="C756" s="45" t="s">
        <v>529</v>
      </c>
      <c r="D756" s="46" t="s">
        <v>2102</v>
      </c>
      <c r="E756" s="71" t="s">
        <v>2103</v>
      </c>
      <c r="F756" s="45"/>
      <c r="G756" s="48" t="s">
        <v>452</v>
      </c>
      <c r="H756" s="49">
        <v>1</v>
      </c>
      <c r="I756" s="69" t="s">
        <v>1021</v>
      </c>
      <c r="J756" s="46" t="s">
        <v>536</v>
      </c>
      <c r="K756" s="46"/>
    </row>
    <row r="757" spans="1:11">
      <c r="A757" s="45">
        <f t="shared" si="11"/>
        <v>756</v>
      </c>
      <c r="B757" s="45" t="s">
        <v>2056</v>
      </c>
      <c r="C757" s="45" t="s">
        <v>529</v>
      </c>
      <c r="D757" s="46" t="s">
        <v>2104</v>
      </c>
      <c r="E757" s="71" t="s">
        <v>2105</v>
      </c>
      <c r="F757" s="45"/>
      <c r="G757" s="48" t="s">
        <v>452</v>
      </c>
      <c r="H757" s="49">
        <v>1</v>
      </c>
      <c r="I757" s="69" t="s">
        <v>1021</v>
      </c>
      <c r="J757" s="46" t="s">
        <v>444</v>
      </c>
      <c r="K757" s="46"/>
    </row>
    <row r="758" spans="1:11">
      <c r="A758" s="45">
        <f t="shared" si="11"/>
        <v>757</v>
      </c>
      <c r="B758" s="45" t="s">
        <v>2056</v>
      </c>
      <c r="C758" s="45" t="s">
        <v>529</v>
      </c>
      <c r="D758" s="46" t="s">
        <v>2106</v>
      </c>
      <c r="E758" s="71" t="s">
        <v>2107</v>
      </c>
      <c r="F758" s="45"/>
      <c r="G758" s="48" t="s">
        <v>452</v>
      </c>
      <c r="H758" s="49">
        <v>1</v>
      </c>
      <c r="I758" s="69" t="s">
        <v>1021</v>
      </c>
      <c r="J758" s="46" t="s">
        <v>536</v>
      </c>
      <c r="K758" s="46"/>
    </row>
    <row r="759" spans="1:11">
      <c r="A759" s="45">
        <f t="shared" si="11"/>
        <v>758</v>
      </c>
      <c r="B759" s="45" t="s">
        <v>2056</v>
      </c>
      <c r="C759" s="45" t="s">
        <v>529</v>
      </c>
      <c r="D759" s="46" t="s">
        <v>2108</v>
      </c>
      <c r="E759" s="71" t="s">
        <v>2109</v>
      </c>
      <c r="F759" s="45"/>
      <c r="G759" s="48" t="s">
        <v>452</v>
      </c>
      <c r="H759" s="49">
        <v>1</v>
      </c>
      <c r="I759" s="69" t="s">
        <v>1021</v>
      </c>
      <c r="J759" s="46" t="s">
        <v>536</v>
      </c>
      <c r="K759" s="46"/>
    </row>
    <row r="760" spans="1:11">
      <c r="A760" s="45">
        <f t="shared" si="11"/>
        <v>759</v>
      </c>
      <c r="B760" s="45" t="s">
        <v>2056</v>
      </c>
      <c r="C760" s="45" t="s">
        <v>529</v>
      </c>
      <c r="D760" s="46" t="s">
        <v>2110</v>
      </c>
      <c r="E760" s="71" t="s">
        <v>2111</v>
      </c>
      <c r="F760" s="45"/>
      <c r="G760" s="48" t="s">
        <v>452</v>
      </c>
      <c r="H760" s="49">
        <v>1</v>
      </c>
      <c r="I760" s="69" t="s">
        <v>1021</v>
      </c>
      <c r="J760" s="46" t="s">
        <v>536</v>
      </c>
      <c r="K760" s="46"/>
    </row>
    <row r="761" spans="1:11">
      <c r="A761" s="45">
        <f t="shared" si="11"/>
        <v>760</v>
      </c>
      <c r="B761" s="45" t="s">
        <v>2056</v>
      </c>
      <c r="C761" s="45" t="s">
        <v>529</v>
      </c>
      <c r="D761" s="46" t="s">
        <v>2112</v>
      </c>
      <c r="E761" s="71" t="s">
        <v>1079</v>
      </c>
      <c r="F761" s="45"/>
      <c r="G761" s="48" t="s">
        <v>452</v>
      </c>
      <c r="H761" s="49">
        <v>1</v>
      </c>
      <c r="I761" s="45"/>
      <c r="J761" s="46" t="s">
        <v>536</v>
      </c>
      <c r="K761" s="46"/>
    </row>
    <row r="762" spans="1:11">
      <c r="A762" s="45">
        <f t="shared" si="11"/>
        <v>761</v>
      </c>
      <c r="B762" s="45" t="s">
        <v>2056</v>
      </c>
      <c r="C762" s="45" t="s">
        <v>440</v>
      </c>
      <c r="D762" s="46" t="s">
        <v>2113</v>
      </c>
      <c r="E762" s="71" t="s">
        <v>2114</v>
      </c>
      <c r="F762" s="45"/>
      <c r="G762" s="48" t="s">
        <v>452</v>
      </c>
      <c r="H762" s="49">
        <v>1</v>
      </c>
      <c r="I762" s="69" t="s">
        <v>1021</v>
      </c>
      <c r="J762" s="46" t="s">
        <v>2068</v>
      </c>
      <c r="K762" s="46"/>
    </row>
    <row r="763" spans="1:11">
      <c r="A763" s="45">
        <f t="shared" si="11"/>
        <v>762</v>
      </c>
      <c r="B763" s="45" t="s">
        <v>2056</v>
      </c>
      <c r="C763" s="45" t="s">
        <v>440</v>
      </c>
      <c r="D763" s="46" t="s">
        <v>2115</v>
      </c>
      <c r="E763" s="71" t="s">
        <v>2116</v>
      </c>
      <c r="F763" s="45"/>
      <c r="G763" s="48" t="s">
        <v>452</v>
      </c>
      <c r="H763" s="49">
        <v>1</v>
      </c>
      <c r="I763" s="69" t="s">
        <v>1021</v>
      </c>
      <c r="J763" s="46" t="s">
        <v>2068</v>
      </c>
      <c r="K763" s="46"/>
    </row>
    <row r="764" spans="1:11">
      <c r="A764" s="45">
        <f t="shared" si="11"/>
        <v>763</v>
      </c>
      <c r="B764" s="45" t="s">
        <v>2056</v>
      </c>
      <c r="C764" s="45" t="s">
        <v>529</v>
      </c>
      <c r="D764" s="46" t="s">
        <v>2117</v>
      </c>
      <c r="E764" s="71" t="s">
        <v>2118</v>
      </c>
      <c r="F764" s="45"/>
      <c r="G764" s="48" t="s">
        <v>452</v>
      </c>
      <c r="H764" s="49">
        <v>1</v>
      </c>
      <c r="I764" s="45" t="s">
        <v>1021</v>
      </c>
      <c r="J764" s="46" t="s">
        <v>536</v>
      </c>
      <c r="K764" s="46"/>
    </row>
    <row r="765" spans="1:11">
      <c r="A765" s="45">
        <f t="shared" si="11"/>
        <v>764</v>
      </c>
      <c r="B765" s="45" t="s">
        <v>2056</v>
      </c>
      <c r="C765" s="45" t="s">
        <v>529</v>
      </c>
      <c r="D765" s="46" t="s">
        <v>2119</v>
      </c>
      <c r="E765" s="71" t="s">
        <v>2120</v>
      </c>
      <c r="F765" s="45"/>
      <c r="G765" s="48" t="s">
        <v>452</v>
      </c>
      <c r="H765" s="49">
        <v>1</v>
      </c>
      <c r="I765" s="45" t="s">
        <v>1021</v>
      </c>
      <c r="J765" s="46" t="s">
        <v>536</v>
      </c>
      <c r="K765" s="46"/>
    </row>
    <row r="766" spans="1:11">
      <c r="A766" s="45">
        <f t="shared" si="11"/>
        <v>765</v>
      </c>
      <c r="B766" s="45" t="s">
        <v>2056</v>
      </c>
      <c r="C766" s="45" t="s">
        <v>529</v>
      </c>
      <c r="D766" s="46" t="s">
        <v>2121</v>
      </c>
      <c r="E766" s="71" t="s">
        <v>2122</v>
      </c>
      <c r="F766" s="45"/>
      <c r="G766" s="48" t="s">
        <v>452</v>
      </c>
      <c r="H766" s="49">
        <v>1</v>
      </c>
      <c r="I766" s="45" t="s">
        <v>1021</v>
      </c>
      <c r="J766" s="46" t="s">
        <v>536</v>
      </c>
      <c r="K766" s="46"/>
    </row>
    <row r="767" spans="1:11">
      <c r="A767" s="45">
        <f t="shared" si="11"/>
        <v>766</v>
      </c>
      <c r="B767" s="45" t="s">
        <v>2056</v>
      </c>
      <c r="C767" s="45" t="s">
        <v>529</v>
      </c>
      <c r="D767" s="46" t="s">
        <v>2123</v>
      </c>
      <c r="E767" s="71" t="s">
        <v>2124</v>
      </c>
      <c r="F767" s="45"/>
      <c r="G767" s="48" t="s">
        <v>452</v>
      </c>
      <c r="H767" s="49">
        <v>1</v>
      </c>
      <c r="I767" s="45" t="s">
        <v>1021</v>
      </c>
      <c r="J767" s="46" t="s">
        <v>444</v>
      </c>
      <c r="K767" s="46"/>
    </row>
    <row r="768" spans="1:11">
      <c r="A768" s="45">
        <f t="shared" si="11"/>
        <v>767</v>
      </c>
      <c r="B768" s="45" t="s">
        <v>2056</v>
      </c>
      <c r="C768" s="45" t="s">
        <v>529</v>
      </c>
      <c r="D768" s="46" t="s">
        <v>2125</v>
      </c>
      <c r="E768" s="71" t="s">
        <v>2126</v>
      </c>
      <c r="F768" s="45"/>
      <c r="G768" s="48" t="s">
        <v>452</v>
      </c>
      <c r="H768" s="49">
        <v>1</v>
      </c>
      <c r="I768" s="45" t="s">
        <v>1021</v>
      </c>
      <c r="J768" s="46" t="s">
        <v>444</v>
      </c>
      <c r="K768" s="46"/>
    </row>
    <row r="769" spans="1:11">
      <c r="A769" s="45">
        <f t="shared" si="11"/>
        <v>768</v>
      </c>
      <c r="B769" s="45" t="s">
        <v>2056</v>
      </c>
      <c r="C769" s="45" t="s">
        <v>529</v>
      </c>
      <c r="D769" s="46" t="s">
        <v>2127</v>
      </c>
      <c r="E769" s="71" t="s">
        <v>2128</v>
      </c>
      <c r="F769" s="45"/>
      <c r="G769" s="48" t="s">
        <v>452</v>
      </c>
      <c r="H769" s="49">
        <v>1</v>
      </c>
      <c r="I769" s="45" t="s">
        <v>1021</v>
      </c>
      <c r="J769" s="46" t="s">
        <v>536</v>
      </c>
      <c r="K769" s="46"/>
    </row>
    <row r="770" spans="1:11">
      <c r="A770" s="45">
        <f t="shared" si="11"/>
        <v>769</v>
      </c>
      <c r="B770" s="45" t="s">
        <v>2056</v>
      </c>
      <c r="C770" s="45" t="s">
        <v>529</v>
      </c>
      <c r="D770" s="46" t="s">
        <v>2129</v>
      </c>
      <c r="E770" s="71" t="s">
        <v>2130</v>
      </c>
      <c r="F770" s="45"/>
      <c r="G770" s="48" t="s">
        <v>452</v>
      </c>
      <c r="H770" s="49">
        <v>1</v>
      </c>
      <c r="I770" s="45" t="s">
        <v>1021</v>
      </c>
      <c r="J770" s="46" t="s">
        <v>536</v>
      </c>
      <c r="K770" s="46"/>
    </row>
    <row r="771" spans="1:11">
      <c r="A771" s="45">
        <f t="shared" ref="A771:A834" si="12">ROW()-1</f>
        <v>770</v>
      </c>
      <c r="B771" s="45" t="s">
        <v>2056</v>
      </c>
      <c r="C771" s="45" t="s">
        <v>529</v>
      </c>
      <c r="D771" s="46" t="s">
        <v>2131</v>
      </c>
      <c r="E771" s="71" t="s">
        <v>2132</v>
      </c>
      <c r="F771" s="45"/>
      <c r="G771" s="48" t="s">
        <v>452</v>
      </c>
      <c r="H771" s="49">
        <v>1</v>
      </c>
      <c r="I771" s="45" t="s">
        <v>1021</v>
      </c>
      <c r="J771" s="46" t="s">
        <v>536</v>
      </c>
      <c r="K771" s="46"/>
    </row>
    <row r="772" spans="1:11">
      <c r="A772" s="45">
        <f t="shared" si="12"/>
        <v>771</v>
      </c>
      <c r="B772" s="45" t="s">
        <v>2056</v>
      </c>
      <c r="C772" s="45" t="s">
        <v>440</v>
      </c>
      <c r="D772" s="46" t="s">
        <v>2133</v>
      </c>
      <c r="E772" s="71" t="s">
        <v>2134</v>
      </c>
      <c r="F772" s="45"/>
      <c r="G772" s="48" t="s">
        <v>452</v>
      </c>
      <c r="H772" s="49">
        <v>1</v>
      </c>
      <c r="I772" s="45" t="s">
        <v>1021</v>
      </c>
      <c r="J772" s="46" t="s">
        <v>2135</v>
      </c>
      <c r="K772" s="46"/>
    </row>
    <row r="773" spans="1:11">
      <c r="A773" s="45">
        <f t="shared" si="12"/>
        <v>772</v>
      </c>
      <c r="B773" s="45" t="s">
        <v>2056</v>
      </c>
      <c r="C773" s="45" t="s">
        <v>529</v>
      </c>
      <c r="D773" s="46" t="s">
        <v>2136</v>
      </c>
      <c r="E773" s="71" t="s">
        <v>577</v>
      </c>
      <c r="F773" s="45"/>
      <c r="G773" s="48" t="s">
        <v>452</v>
      </c>
      <c r="H773" s="49">
        <v>1</v>
      </c>
      <c r="I773" s="45" t="s">
        <v>1021</v>
      </c>
      <c r="J773" s="46" t="s">
        <v>536</v>
      </c>
      <c r="K773" s="46"/>
    </row>
    <row r="774" spans="1:11">
      <c r="A774" s="45">
        <f t="shared" si="12"/>
        <v>773</v>
      </c>
      <c r="B774" s="45" t="s">
        <v>2056</v>
      </c>
      <c r="C774" s="45" t="s">
        <v>529</v>
      </c>
      <c r="D774" s="46" t="s">
        <v>2137</v>
      </c>
      <c r="E774" s="71" t="s">
        <v>584</v>
      </c>
      <c r="F774" s="45"/>
      <c r="G774" s="48" t="s">
        <v>452</v>
      </c>
      <c r="H774" s="49">
        <v>1</v>
      </c>
      <c r="I774" s="69" t="s">
        <v>1021</v>
      </c>
      <c r="J774" s="46" t="s">
        <v>2068</v>
      </c>
      <c r="K774" s="46"/>
    </row>
    <row r="775" spans="1:11">
      <c r="A775" s="45">
        <f t="shared" si="12"/>
        <v>774</v>
      </c>
      <c r="B775" s="45" t="s">
        <v>2056</v>
      </c>
      <c r="C775" s="45" t="s">
        <v>440</v>
      </c>
      <c r="D775" s="46" t="s">
        <v>2138</v>
      </c>
      <c r="E775" s="71" t="s">
        <v>2139</v>
      </c>
      <c r="F775" s="45"/>
      <c r="G775" s="48" t="s">
        <v>452</v>
      </c>
      <c r="H775" s="49">
        <v>1</v>
      </c>
      <c r="I775" s="69" t="s">
        <v>1021</v>
      </c>
      <c r="J775" s="46" t="s">
        <v>2068</v>
      </c>
      <c r="K775" s="46"/>
    </row>
    <row r="776" spans="1:11">
      <c r="A776" s="39">
        <f t="shared" si="12"/>
        <v>775</v>
      </c>
      <c r="B776" s="39" t="s">
        <v>2056</v>
      </c>
      <c r="C776" s="39" t="s">
        <v>529</v>
      </c>
      <c r="D776" s="40" t="s">
        <v>2140</v>
      </c>
      <c r="E776" s="41" t="s">
        <v>2141</v>
      </c>
      <c r="F776" s="39"/>
      <c r="G776" s="42">
        <v>46142</v>
      </c>
      <c r="H776" s="55">
        <v>1</v>
      </c>
      <c r="I776" s="56" t="s">
        <v>2142</v>
      </c>
      <c r="J776" s="40" t="s">
        <v>2143</v>
      </c>
      <c r="K776" s="40"/>
    </row>
    <row r="777" spans="1:11">
      <c r="A777" s="45">
        <f t="shared" si="12"/>
        <v>776</v>
      </c>
      <c r="B777" s="45" t="s">
        <v>2056</v>
      </c>
      <c r="C777" s="45" t="s">
        <v>529</v>
      </c>
      <c r="D777" s="46" t="s">
        <v>2144</v>
      </c>
      <c r="E777" s="71" t="s">
        <v>2145</v>
      </c>
      <c r="F777" s="45"/>
      <c r="G777" s="48" t="s">
        <v>452</v>
      </c>
      <c r="H777" s="49">
        <v>1</v>
      </c>
      <c r="I777" s="69" t="s">
        <v>1021</v>
      </c>
      <c r="J777" s="46" t="s">
        <v>2143</v>
      </c>
      <c r="K777" s="46"/>
    </row>
    <row r="778" spans="1:11">
      <c r="A778" s="45">
        <f t="shared" si="12"/>
        <v>777</v>
      </c>
      <c r="B778" s="45" t="s">
        <v>2056</v>
      </c>
      <c r="C778" s="45" t="s">
        <v>440</v>
      </c>
      <c r="D778" s="46" t="s">
        <v>2146</v>
      </c>
      <c r="E778" s="71" t="s">
        <v>2147</v>
      </c>
      <c r="F778" s="45"/>
      <c r="G778" s="48" t="s">
        <v>452</v>
      </c>
      <c r="H778" s="49">
        <v>1</v>
      </c>
      <c r="I778" s="69" t="s">
        <v>1021</v>
      </c>
      <c r="J778" s="46" t="s">
        <v>444</v>
      </c>
      <c r="K778" s="46"/>
    </row>
    <row r="779" spans="1:11">
      <c r="A779" s="45">
        <f t="shared" si="12"/>
        <v>778</v>
      </c>
      <c r="B779" s="45" t="s">
        <v>2056</v>
      </c>
      <c r="C779" s="45" t="s">
        <v>529</v>
      </c>
      <c r="D779" s="46" t="s">
        <v>2148</v>
      </c>
      <c r="E779" s="71" t="s">
        <v>588</v>
      </c>
      <c r="F779" s="45"/>
      <c r="G779" s="48" t="s">
        <v>452</v>
      </c>
      <c r="H779" s="49">
        <v>1</v>
      </c>
      <c r="I779" s="69" t="s">
        <v>1021</v>
      </c>
      <c r="J779" s="46" t="s">
        <v>2068</v>
      </c>
      <c r="K779" s="46"/>
    </row>
    <row r="780" spans="1:11">
      <c r="A780" s="45">
        <f t="shared" si="12"/>
        <v>779</v>
      </c>
      <c r="B780" s="45" t="s">
        <v>2056</v>
      </c>
      <c r="C780" s="45" t="s">
        <v>440</v>
      </c>
      <c r="D780" s="46" t="s">
        <v>2149</v>
      </c>
      <c r="E780" s="71" t="s">
        <v>487</v>
      </c>
      <c r="F780" s="45"/>
      <c r="G780" s="48" t="s">
        <v>452</v>
      </c>
      <c r="H780" s="49">
        <v>1</v>
      </c>
      <c r="I780" s="69" t="s">
        <v>1021</v>
      </c>
      <c r="J780" s="46" t="s">
        <v>2068</v>
      </c>
      <c r="K780" s="46"/>
    </row>
    <row r="781" spans="1:11">
      <c r="A781" s="45">
        <f t="shared" si="12"/>
        <v>780</v>
      </c>
      <c r="B781" s="45" t="s">
        <v>2056</v>
      </c>
      <c r="C781" s="45" t="s">
        <v>600</v>
      </c>
      <c r="D781" s="46" t="s">
        <v>2150</v>
      </c>
      <c r="E781" s="71" t="s">
        <v>2151</v>
      </c>
      <c r="F781" s="45"/>
      <c r="G781" s="48" t="s">
        <v>452</v>
      </c>
      <c r="H781" s="49">
        <v>1</v>
      </c>
      <c r="I781" s="45"/>
      <c r="J781" s="46" t="s">
        <v>444</v>
      </c>
      <c r="K781" s="46"/>
    </row>
    <row r="782" spans="1:11">
      <c r="A782" s="45">
        <f t="shared" si="12"/>
        <v>781</v>
      </c>
      <c r="B782" s="45" t="s">
        <v>2056</v>
      </c>
      <c r="C782" s="45" t="s">
        <v>600</v>
      </c>
      <c r="D782" s="46" t="s">
        <v>2152</v>
      </c>
      <c r="E782" s="71" t="s">
        <v>2153</v>
      </c>
      <c r="F782" s="45"/>
      <c r="G782" s="48" t="s">
        <v>452</v>
      </c>
      <c r="H782" s="49">
        <v>1</v>
      </c>
      <c r="I782" s="45"/>
      <c r="J782" s="46" t="s">
        <v>444</v>
      </c>
      <c r="K782" s="46"/>
    </row>
    <row r="783" spans="1:11">
      <c r="A783" s="45">
        <f t="shared" si="12"/>
        <v>782</v>
      </c>
      <c r="B783" s="45" t="s">
        <v>2056</v>
      </c>
      <c r="C783" s="45" t="s">
        <v>615</v>
      </c>
      <c r="D783" s="46" t="s">
        <v>2154</v>
      </c>
      <c r="E783" s="71" t="s">
        <v>2155</v>
      </c>
      <c r="F783" s="45"/>
      <c r="G783" s="48" t="s">
        <v>452</v>
      </c>
      <c r="H783" s="49">
        <v>1</v>
      </c>
      <c r="I783" s="69" t="s">
        <v>1021</v>
      </c>
      <c r="J783" s="46" t="s">
        <v>2156</v>
      </c>
      <c r="K783" s="46"/>
    </row>
    <row r="784" spans="1:11">
      <c r="A784" s="45">
        <f t="shared" si="12"/>
        <v>783</v>
      </c>
      <c r="B784" s="45" t="s">
        <v>2056</v>
      </c>
      <c r="C784" s="45" t="s">
        <v>615</v>
      </c>
      <c r="D784" s="46" t="s">
        <v>2157</v>
      </c>
      <c r="E784" s="71" t="s">
        <v>2158</v>
      </c>
      <c r="F784" s="45"/>
      <c r="G784" s="48" t="s">
        <v>452</v>
      </c>
      <c r="H784" s="49">
        <v>1</v>
      </c>
      <c r="I784" s="69" t="s">
        <v>1021</v>
      </c>
      <c r="J784" s="46" t="s">
        <v>2156</v>
      </c>
      <c r="K784" s="46"/>
    </row>
    <row r="785" spans="1:11">
      <c r="A785" s="45">
        <f t="shared" si="12"/>
        <v>784</v>
      </c>
      <c r="B785" s="45" t="s">
        <v>2056</v>
      </c>
      <c r="C785" s="45" t="s">
        <v>202</v>
      </c>
      <c r="D785" s="46" t="s">
        <v>2159</v>
      </c>
      <c r="E785" s="71" t="s">
        <v>2160</v>
      </c>
      <c r="F785" s="45"/>
      <c r="G785" s="48" t="s">
        <v>452</v>
      </c>
      <c r="H785" s="49">
        <v>1</v>
      </c>
      <c r="I785" s="45" t="s">
        <v>1021</v>
      </c>
      <c r="J785" s="46" t="s">
        <v>2156</v>
      </c>
      <c r="K785" s="46"/>
    </row>
    <row r="786" spans="1:11">
      <c r="A786" s="45">
        <f t="shared" si="12"/>
        <v>785</v>
      </c>
      <c r="B786" s="45" t="s">
        <v>2056</v>
      </c>
      <c r="C786" s="45" t="s">
        <v>202</v>
      </c>
      <c r="D786" s="46" t="s">
        <v>2161</v>
      </c>
      <c r="E786" s="71" t="s">
        <v>2162</v>
      </c>
      <c r="F786" s="45"/>
      <c r="G786" s="48" t="s">
        <v>452</v>
      </c>
      <c r="H786" s="49">
        <v>1</v>
      </c>
      <c r="I786" s="69" t="s">
        <v>1021</v>
      </c>
      <c r="J786" s="46" t="s">
        <v>2163</v>
      </c>
      <c r="K786" s="46"/>
    </row>
    <row r="787" spans="1:11">
      <c r="A787" s="45">
        <f t="shared" si="12"/>
        <v>786</v>
      </c>
      <c r="B787" s="45" t="s">
        <v>2056</v>
      </c>
      <c r="C787" s="45" t="s">
        <v>202</v>
      </c>
      <c r="D787" s="46" t="s">
        <v>2164</v>
      </c>
      <c r="E787" s="71" t="s">
        <v>2165</v>
      </c>
      <c r="F787" s="45"/>
      <c r="G787" s="48" t="s">
        <v>452</v>
      </c>
      <c r="H787" s="49">
        <v>1</v>
      </c>
      <c r="I787" s="69" t="s">
        <v>1021</v>
      </c>
      <c r="J787" s="46" t="s">
        <v>2163</v>
      </c>
      <c r="K787" s="46"/>
    </row>
    <row r="788" spans="1:11">
      <c r="A788" s="45">
        <f t="shared" si="12"/>
        <v>787</v>
      </c>
      <c r="B788" s="45" t="s">
        <v>2056</v>
      </c>
      <c r="C788" s="45" t="s">
        <v>202</v>
      </c>
      <c r="D788" s="46" t="s">
        <v>2166</v>
      </c>
      <c r="E788" s="71" t="s">
        <v>2167</v>
      </c>
      <c r="F788" s="45"/>
      <c r="G788" s="48" t="s">
        <v>452</v>
      </c>
      <c r="H788" s="49">
        <v>1</v>
      </c>
      <c r="I788" s="45" t="s">
        <v>1021</v>
      </c>
      <c r="J788" s="46" t="s">
        <v>2163</v>
      </c>
      <c r="K788" s="46"/>
    </row>
    <row r="789" spans="1:11">
      <c r="A789" s="45">
        <f t="shared" si="12"/>
        <v>788</v>
      </c>
      <c r="B789" s="45" t="s">
        <v>2056</v>
      </c>
      <c r="C789" s="45" t="s">
        <v>202</v>
      </c>
      <c r="D789" s="46" t="s">
        <v>2168</v>
      </c>
      <c r="E789" s="71" t="s">
        <v>2169</v>
      </c>
      <c r="F789" s="45"/>
      <c r="G789" s="48" t="s">
        <v>452</v>
      </c>
      <c r="H789" s="49">
        <v>1</v>
      </c>
      <c r="I789" s="45" t="s">
        <v>1021</v>
      </c>
      <c r="J789" s="46" t="s">
        <v>2163</v>
      </c>
      <c r="K789" s="46"/>
    </row>
    <row r="790" spans="1:11">
      <c r="A790" s="45">
        <f t="shared" si="12"/>
        <v>789</v>
      </c>
      <c r="B790" s="45" t="s">
        <v>2056</v>
      </c>
      <c r="C790" s="45" t="s">
        <v>202</v>
      </c>
      <c r="D790" s="46" t="s">
        <v>2170</v>
      </c>
      <c r="E790" s="71" t="s">
        <v>2171</v>
      </c>
      <c r="F790" s="45"/>
      <c r="G790" s="48" t="s">
        <v>452</v>
      </c>
      <c r="H790" s="49">
        <v>1</v>
      </c>
      <c r="I790" s="45" t="s">
        <v>1021</v>
      </c>
      <c r="J790" s="46" t="s">
        <v>2163</v>
      </c>
      <c r="K790" s="46"/>
    </row>
    <row r="791" spans="1:11">
      <c r="A791" s="45">
        <f t="shared" si="12"/>
        <v>790</v>
      </c>
      <c r="B791" s="45" t="s">
        <v>2056</v>
      </c>
      <c r="C791" s="45" t="s">
        <v>202</v>
      </c>
      <c r="D791" s="46" t="s">
        <v>2172</v>
      </c>
      <c r="E791" s="71" t="s">
        <v>2173</v>
      </c>
      <c r="F791" s="45"/>
      <c r="G791" s="48" t="s">
        <v>452</v>
      </c>
      <c r="H791" s="49">
        <v>1</v>
      </c>
      <c r="I791" s="45" t="s">
        <v>1021</v>
      </c>
      <c r="J791" s="46" t="s">
        <v>2163</v>
      </c>
      <c r="K791" s="46"/>
    </row>
    <row r="792" spans="1:11">
      <c r="A792" s="45">
        <f t="shared" si="12"/>
        <v>791</v>
      </c>
      <c r="B792" s="45" t="s">
        <v>2056</v>
      </c>
      <c r="C792" s="45" t="s">
        <v>202</v>
      </c>
      <c r="D792" s="46" t="s">
        <v>2174</v>
      </c>
      <c r="E792" s="71" t="s">
        <v>2175</v>
      </c>
      <c r="F792" s="45"/>
      <c r="G792" s="48" t="s">
        <v>452</v>
      </c>
      <c r="H792" s="49">
        <v>1</v>
      </c>
      <c r="I792" s="45" t="s">
        <v>1021</v>
      </c>
      <c r="J792" s="46" t="s">
        <v>2163</v>
      </c>
      <c r="K792" s="46"/>
    </row>
    <row r="793" spans="1:11">
      <c r="A793" s="45">
        <f t="shared" si="12"/>
        <v>792</v>
      </c>
      <c r="B793" s="45" t="s">
        <v>2056</v>
      </c>
      <c r="C793" s="45" t="s">
        <v>202</v>
      </c>
      <c r="D793" s="46" t="s">
        <v>2176</v>
      </c>
      <c r="E793" s="71" t="s">
        <v>2177</v>
      </c>
      <c r="F793" s="45"/>
      <c r="G793" s="48" t="s">
        <v>452</v>
      </c>
      <c r="H793" s="49">
        <v>1</v>
      </c>
      <c r="I793" s="45" t="s">
        <v>1021</v>
      </c>
      <c r="J793" s="46" t="s">
        <v>2163</v>
      </c>
      <c r="K793" s="46"/>
    </row>
    <row r="794" spans="1:11">
      <c r="A794" s="45">
        <f t="shared" si="12"/>
        <v>793</v>
      </c>
      <c r="B794" s="45" t="s">
        <v>2056</v>
      </c>
      <c r="C794" s="45" t="s">
        <v>202</v>
      </c>
      <c r="D794" s="46" t="s">
        <v>2178</v>
      </c>
      <c r="E794" s="71" t="s">
        <v>2179</v>
      </c>
      <c r="F794" s="45"/>
      <c r="G794" s="48" t="s">
        <v>452</v>
      </c>
      <c r="H794" s="49">
        <v>1</v>
      </c>
      <c r="I794" s="45" t="s">
        <v>1021</v>
      </c>
      <c r="J794" s="46" t="s">
        <v>2163</v>
      </c>
      <c r="K794" s="46"/>
    </row>
    <row r="795" spans="1:11">
      <c r="A795" s="45">
        <f t="shared" si="12"/>
        <v>794</v>
      </c>
      <c r="B795" s="45" t="s">
        <v>2056</v>
      </c>
      <c r="C795" s="45" t="s">
        <v>202</v>
      </c>
      <c r="D795" s="46" t="s">
        <v>2180</v>
      </c>
      <c r="E795" s="71" t="s">
        <v>2181</v>
      </c>
      <c r="F795" s="45"/>
      <c r="G795" s="48" t="s">
        <v>452</v>
      </c>
      <c r="H795" s="49">
        <v>1</v>
      </c>
      <c r="I795" s="45" t="s">
        <v>1021</v>
      </c>
      <c r="J795" s="46" t="s">
        <v>2163</v>
      </c>
      <c r="K795" s="46"/>
    </row>
    <row r="796" spans="1:11">
      <c r="A796" s="45">
        <f t="shared" si="12"/>
        <v>795</v>
      </c>
      <c r="B796" s="45" t="s">
        <v>2056</v>
      </c>
      <c r="C796" s="45" t="s">
        <v>202</v>
      </c>
      <c r="D796" s="46" t="s">
        <v>2182</v>
      </c>
      <c r="E796" s="71" t="s">
        <v>2183</v>
      </c>
      <c r="F796" s="45"/>
      <c r="G796" s="48" t="s">
        <v>452</v>
      </c>
      <c r="H796" s="49">
        <v>1</v>
      </c>
      <c r="I796" s="45" t="s">
        <v>1021</v>
      </c>
      <c r="J796" s="46" t="s">
        <v>2163</v>
      </c>
      <c r="K796" s="46"/>
    </row>
    <row r="797" spans="1:11">
      <c r="A797" s="45">
        <f t="shared" si="12"/>
        <v>796</v>
      </c>
      <c r="B797" s="45" t="s">
        <v>2056</v>
      </c>
      <c r="C797" s="45" t="s">
        <v>202</v>
      </c>
      <c r="D797" s="46" t="s">
        <v>2184</v>
      </c>
      <c r="E797" s="71" t="s">
        <v>2185</v>
      </c>
      <c r="F797" s="45"/>
      <c r="G797" s="48" t="s">
        <v>452</v>
      </c>
      <c r="H797" s="49">
        <v>1</v>
      </c>
      <c r="I797" s="45" t="s">
        <v>1021</v>
      </c>
      <c r="J797" s="46" t="s">
        <v>2163</v>
      </c>
      <c r="K797" s="46"/>
    </row>
    <row r="798" spans="1:11">
      <c r="A798" s="45">
        <f t="shared" si="12"/>
        <v>797</v>
      </c>
      <c r="B798" s="45" t="s">
        <v>2056</v>
      </c>
      <c r="C798" s="45" t="s">
        <v>202</v>
      </c>
      <c r="D798" s="46" t="s">
        <v>2186</v>
      </c>
      <c r="E798" s="71" t="s">
        <v>2187</v>
      </c>
      <c r="F798" s="45"/>
      <c r="G798" s="48" t="s">
        <v>452</v>
      </c>
      <c r="H798" s="49">
        <v>1</v>
      </c>
      <c r="I798" s="45" t="s">
        <v>1021</v>
      </c>
      <c r="J798" s="46" t="s">
        <v>2163</v>
      </c>
      <c r="K798" s="46"/>
    </row>
    <row r="799" spans="1:11">
      <c r="A799" s="45">
        <f t="shared" si="12"/>
        <v>798</v>
      </c>
      <c r="B799" s="45" t="s">
        <v>2056</v>
      </c>
      <c r="C799" s="45" t="s">
        <v>202</v>
      </c>
      <c r="D799" s="46" t="s">
        <v>2188</v>
      </c>
      <c r="E799" s="71" t="s">
        <v>2189</v>
      </c>
      <c r="F799" s="45"/>
      <c r="G799" s="48" t="s">
        <v>452</v>
      </c>
      <c r="H799" s="49">
        <v>1</v>
      </c>
      <c r="I799" s="45" t="s">
        <v>1021</v>
      </c>
      <c r="J799" s="46" t="s">
        <v>2163</v>
      </c>
      <c r="K799" s="46"/>
    </row>
    <row r="800" spans="1:11">
      <c r="A800" s="45">
        <f t="shared" si="12"/>
        <v>799</v>
      </c>
      <c r="B800" s="45" t="s">
        <v>2056</v>
      </c>
      <c r="C800" s="45" t="s">
        <v>202</v>
      </c>
      <c r="D800" s="46" t="s">
        <v>2190</v>
      </c>
      <c r="E800" s="71" t="s">
        <v>2191</v>
      </c>
      <c r="F800" s="45"/>
      <c r="G800" s="48" t="s">
        <v>452</v>
      </c>
      <c r="H800" s="49">
        <v>1</v>
      </c>
      <c r="I800" s="45" t="s">
        <v>1021</v>
      </c>
      <c r="J800" s="46" t="s">
        <v>2163</v>
      </c>
      <c r="K800" s="46"/>
    </row>
    <row r="801" spans="1:11">
      <c r="A801" s="45">
        <f t="shared" si="12"/>
        <v>800</v>
      </c>
      <c r="B801" s="45" t="s">
        <v>2056</v>
      </c>
      <c r="C801" s="45" t="s">
        <v>202</v>
      </c>
      <c r="D801" s="46" t="s">
        <v>2192</v>
      </c>
      <c r="E801" s="71" t="s">
        <v>2193</v>
      </c>
      <c r="F801" s="45"/>
      <c r="G801" s="48" t="s">
        <v>452</v>
      </c>
      <c r="H801" s="49">
        <v>1</v>
      </c>
      <c r="I801" s="45" t="s">
        <v>1021</v>
      </c>
      <c r="J801" s="46" t="s">
        <v>2163</v>
      </c>
      <c r="K801" s="46"/>
    </row>
    <row r="802" spans="1:11">
      <c r="A802" s="45">
        <f t="shared" si="12"/>
        <v>801</v>
      </c>
      <c r="B802" s="45" t="s">
        <v>2056</v>
      </c>
      <c r="C802" s="45" t="s">
        <v>202</v>
      </c>
      <c r="D802" s="46" t="s">
        <v>2194</v>
      </c>
      <c r="E802" s="71" t="s">
        <v>2195</v>
      </c>
      <c r="F802" s="45"/>
      <c r="G802" s="48" t="s">
        <v>452</v>
      </c>
      <c r="H802" s="49">
        <v>1</v>
      </c>
      <c r="I802" s="45" t="s">
        <v>1021</v>
      </c>
      <c r="J802" s="46" t="s">
        <v>444</v>
      </c>
      <c r="K802" s="46"/>
    </row>
    <row r="803" spans="1:11">
      <c r="A803" s="45">
        <f t="shared" si="12"/>
        <v>802</v>
      </c>
      <c r="B803" s="45" t="s">
        <v>2056</v>
      </c>
      <c r="C803" s="45" t="s">
        <v>202</v>
      </c>
      <c r="D803" s="46" t="s">
        <v>2196</v>
      </c>
      <c r="E803" s="71" t="s">
        <v>2195</v>
      </c>
      <c r="F803" s="45"/>
      <c r="G803" s="48" t="s">
        <v>452</v>
      </c>
      <c r="H803" s="49">
        <v>1</v>
      </c>
      <c r="I803" s="45" t="s">
        <v>1021</v>
      </c>
      <c r="J803" s="46" t="s">
        <v>444</v>
      </c>
      <c r="K803" s="46"/>
    </row>
    <row r="804" spans="1:11">
      <c r="A804" s="45">
        <f t="shared" si="12"/>
        <v>803</v>
      </c>
      <c r="B804" s="45" t="s">
        <v>2056</v>
      </c>
      <c r="C804" s="45" t="s">
        <v>202</v>
      </c>
      <c r="D804" s="46" t="s">
        <v>2197</v>
      </c>
      <c r="E804" s="71" t="s">
        <v>2198</v>
      </c>
      <c r="F804" s="45"/>
      <c r="G804" s="48" t="s">
        <v>452</v>
      </c>
      <c r="H804" s="49">
        <v>1</v>
      </c>
      <c r="I804" s="45" t="s">
        <v>2199</v>
      </c>
      <c r="J804" s="46" t="s">
        <v>2156</v>
      </c>
      <c r="K804" s="46"/>
    </row>
    <row r="805" spans="1:11">
      <c r="A805" s="45">
        <f t="shared" si="12"/>
        <v>804</v>
      </c>
      <c r="B805" s="45" t="s">
        <v>2056</v>
      </c>
      <c r="C805" s="45" t="s">
        <v>202</v>
      </c>
      <c r="D805" s="46" t="s">
        <v>2200</v>
      </c>
      <c r="E805" s="71" t="s">
        <v>2201</v>
      </c>
      <c r="F805" s="45"/>
      <c r="G805" s="48" t="s">
        <v>452</v>
      </c>
      <c r="H805" s="49">
        <v>1</v>
      </c>
      <c r="I805" s="45" t="s">
        <v>2199</v>
      </c>
      <c r="J805" s="46" t="s">
        <v>2156</v>
      </c>
      <c r="K805" s="46"/>
    </row>
    <row r="806" spans="1:11">
      <c r="A806" s="45">
        <f t="shared" si="12"/>
        <v>805</v>
      </c>
      <c r="B806" s="45" t="s">
        <v>2056</v>
      </c>
      <c r="C806" s="45" t="s">
        <v>202</v>
      </c>
      <c r="D806" s="46" t="s">
        <v>2202</v>
      </c>
      <c r="E806" s="71" t="s">
        <v>2203</v>
      </c>
      <c r="F806" s="45"/>
      <c r="G806" s="48" t="s">
        <v>452</v>
      </c>
      <c r="H806" s="49">
        <v>1</v>
      </c>
      <c r="I806" s="45" t="s">
        <v>1021</v>
      </c>
      <c r="J806" s="46" t="s">
        <v>444</v>
      </c>
      <c r="K806" s="46"/>
    </row>
    <row r="807" spans="1:11">
      <c r="A807" s="45">
        <f t="shared" si="12"/>
        <v>806</v>
      </c>
      <c r="B807" s="45" t="s">
        <v>2056</v>
      </c>
      <c r="C807" s="45" t="s">
        <v>202</v>
      </c>
      <c r="D807" s="46" t="s">
        <v>2204</v>
      </c>
      <c r="E807" s="71" t="s">
        <v>2205</v>
      </c>
      <c r="F807" s="45"/>
      <c r="G807" s="48" t="s">
        <v>452</v>
      </c>
      <c r="H807" s="49">
        <v>1</v>
      </c>
      <c r="I807" s="45" t="s">
        <v>1021</v>
      </c>
      <c r="J807" s="46" t="s">
        <v>444</v>
      </c>
      <c r="K807" s="46"/>
    </row>
    <row r="808" spans="1:11">
      <c r="A808" s="45">
        <f t="shared" si="12"/>
        <v>807</v>
      </c>
      <c r="B808" s="45" t="s">
        <v>2056</v>
      </c>
      <c r="C808" s="45" t="s">
        <v>202</v>
      </c>
      <c r="D808" s="46" t="s">
        <v>2206</v>
      </c>
      <c r="E808" s="71" t="s">
        <v>2207</v>
      </c>
      <c r="F808" s="45"/>
      <c r="G808" s="48" t="s">
        <v>452</v>
      </c>
      <c r="H808" s="49">
        <v>1</v>
      </c>
      <c r="I808" s="45" t="s">
        <v>1021</v>
      </c>
      <c r="J808" s="46" t="s">
        <v>2163</v>
      </c>
      <c r="K808" s="46"/>
    </row>
    <row r="809" spans="1:11">
      <c r="A809" s="45">
        <f t="shared" si="12"/>
        <v>808</v>
      </c>
      <c r="B809" s="45" t="s">
        <v>2056</v>
      </c>
      <c r="C809" s="45" t="s">
        <v>202</v>
      </c>
      <c r="D809" s="46" t="s">
        <v>2208</v>
      </c>
      <c r="E809" s="71" t="s">
        <v>2209</v>
      </c>
      <c r="F809" s="45"/>
      <c r="G809" s="48" t="s">
        <v>452</v>
      </c>
      <c r="H809" s="49">
        <v>1</v>
      </c>
      <c r="I809" s="45" t="s">
        <v>1021</v>
      </c>
      <c r="J809" s="46" t="s">
        <v>444</v>
      </c>
      <c r="K809" s="46"/>
    </row>
    <row r="810" spans="1:11">
      <c r="A810" s="45">
        <f t="shared" si="12"/>
        <v>809</v>
      </c>
      <c r="B810" s="45" t="s">
        <v>2056</v>
      </c>
      <c r="C810" s="45" t="s">
        <v>202</v>
      </c>
      <c r="D810" s="46" t="s">
        <v>2210</v>
      </c>
      <c r="E810" s="71" t="s">
        <v>2211</v>
      </c>
      <c r="F810" s="45"/>
      <c r="G810" s="48" t="s">
        <v>452</v>
      </c>
      <c r="H810" s="49">
        <v>1</v>
      </c>
      <c r="I810" s="45" t="s">
        <v>1021</v>
      </c>
      <c r="J810" s="46" t="s">
        <v>444</v>
      </c>
      <c r="K810" s="46"/>
    </row>
    <row r="811" spans="1:11">
      <c r="A811" s="45">
        <f t="shared" si="12"/>
        <v>810</v>
      </c>
      <c r="B811" s="45" t="s">
        <v>2056</v>
      </c>
      <c r="C811" s="45" t="s">
        <v>202</v>
      </c>
      <c r="D811" s="46" t="s">
        <v>2212</v>
      </c>
      <c r="E811" s="71" t="s">
        <v>2213</v>
      </c>
      <c r="F811" s="45"/>
      <c r="G811" s="48" t="s">
        <v>452</v>
      </c>
      <c r="H811" s="49">
        <v>1</v>
      </c>
      <c r="I811" s="45" t="s">
        <v>1021</v>
      </c>
      <c r="J811" s="46" t="s">
        <v>2163</v>
      </c>
      <c r="K811" s="46"/>
    </row>
    <row r="812" spans="1:11">
      <c r="A812" s="45">
        <f t="shared" si="12"/>
        <v>811</v>
      </c>
      <c r="B812" s="45" t="s">
        <v>2056</v>
      </c>
      <c r="C812" s="45" t="s">
        <v>202</v>
      </c>
      <c r="D812" s="46" t="s">
        <v>2214</v>
      </c>
      <c r="E812" s="71" t="s">
        <v>2215</v>
      </c>
      <c r="F812" s="45"/>
      <c r="G812" s="48" t="s">
        <v>452</v>
      </c>
      <c r="H812" s="49">
        <v>1</v>
      </c>
      <c r="I812" s="45" t="s">
        <v>1021</v>
      </c>
      <c r="J812" s="46" t="s">
        <v>2163</v>
      </c>
      <c r="K812" s="46"/>
    </row>
    <row r="813" spans="1:11">
      <c r="A813" s="45">
        <f t="shared" si="12"/>
        <v>812</v>
      </c>
      <c r="B813" s="45" t="s">
        <v>2056</v>
      </c>
      <c r="C813" s="45" t="s">
        <v>202</v>
      </c>
      <c r="D813" s="46" t="s">
        <v>2216</v>
      </c>
      <c r="E813" s="71" t="s">
        <v>2217</v>
      </c>
      <c r="F813" s="45"/>
      <c r="G813" s="48" t="s">
        <v>452</v>
      </c>
      <c r="H813" s="49">
        <v>1</v>
      </c>
      <c r="I813" s="45" t="s">
        <v>1021</v>
      </c>
      <c r="J813" s="46" t="s">
        <v>444</v>
      </c>
      <c r="K813" s="46"/>
    </row>
    <row r="814" spans="1:11">
      <c r="A814" s="45">
        <f t="shared" si="12"/>
        <v>813</v>
      </c>
      <c r="B814" s="45" t="s">
        <v>2056</v>
      </c>
      <c r="C814" s="45" t="s">
        <v>202</v>
      </c>
      <c r="D814" s="46" t="s">
        <v>2218</v>
      </c>
      <c r="E814" s="71" t="s">
        <v>2219</v>
      </c>
      <c r="F814" s="45"/>
      <c r="G814" s="48" t="s">
        <v>452</v>
      </c>
      <c r="H814" s="49">
        <v>1</v>
      </c>
      <c r="I814" s="45"/>
      <c r="J814" s="46" t="s">
        <v>444</v>
      </c>
      <c r="K814" s="46"/>
    </row>
    <row r="815" spans="1:11">
      <c r="A815" s="45">
        <f t="shared" si="12"/>
        <v>814</v>
      </c>
      <c r="B815" s="45" t="s">
        <v>2056</v>
      </c>
      <c r="C815" s="45" t="s">
        <v>202</v>
      </c>
      <c r="D815" s="46" t="s">
        <v>2220</v>
      </c>
      <c r="E815" s="71" t="s">
        <v>2221</v>
      </c>
      <c r="F815" s="45"/>
      <c r="G815" s="48" t="s">
        <v>452</v>
      </c>
      <c r="H815" s="49">
        <v>1</v>
      </c>
      <c r="I815" s="45" t="s">
        <v>1021</v>
      </c>
      <c r="J815" s="46" t="s">
        <v>444</v>
      </c>
      <c r="K815" s="46"/>
    </row>
    <row r="816" spans="1:11">
      <c r="A816" s="45">
        <f t="shared" si="12"/>
        <v>815</v>
      </c>
      <c r="B816" s="45" t="s">
        <v>2056</v>
      </c>
      <c r="C816" s="45" t="s">
        <v>202</v>
      </c>
      <c r="D816" s="46" t="s">
        <v>2222</v>
      </c>
      <c r="E816" s="71" t="s">
        <v>2223</v>
      </c>
      <c r="F816" s="45"/>
      <c r="G816" s="48" t="s">
        <v>452</v>
      </c>
      <c r="H816" s="49">
        <v>1</v>
      </c>
      <c r="I816" s="45" t="s">
        <v>1021</v>
      </c>
      <c r="J816" s="46" t="s">
        <v>444</v>
      </c>
      <c r="K816" s="46"/>
    </row>
    <row r="817" spans="1:11">
      <c r="A817" s="45">
        <f t="shared" si="12"/>
        <v>816</v>
      </c>
      <c r="B817" s="45" t="s">
        <v>2056</v>
      </c>
      <c r="C817" s="45" t="s">
        <v>202</v>
      </c>
      <c r="D817" s="46" t="s">
        <v>2224</v>
      </c>
      <c r="E817" s="71" t="s">
        <v>2225</v>
      </c>
      <c r="F817" s="45"/>
      <c r="G817" s="48" t="s">
        <v>452</v>
      </c>
      <c r="H817" s="49">
        <v>1</v>
      </c>
      <c r="I817" s="45" t="s">
        <v>1021</v>
      </c>
      <c r="J817" s="46" t="s">
        <v>444</v>
      </c>
      <c r="K817" s="46"/>
    </row>
    <row r="818" spans="1:11">
      <c r="A818" s="45">
        <f t="shared" si="12"/>
        <v>817</v>
      </c>
      <c r="B818" s="45" t="s">
        <v>2056</v>
      </c>
      <c r="C818" s="45" t="s">
        <v>202</v>
      </c>
      <c r="D818" s="46" t="s">
        <v>2226</v>
      </c>
      <c r="E818" s="71" t="s">
        <v>2227</v>
      </c>
      <c r="F818" s="45"/>
      <c r="G818" s="48" t="s">
        <v>452</v>
      </c>
      <c r="H818" s="49">
        <v>1</v>
      </c>
      <c r="I818" s="45" t="s">
        <v>1021</v>
      </c>
      <c r="J818" s="46" t="s">
        <v>444</v>
      </c>
      <c r="K818" s="46"/>
    </row>
    <row r="819" spans="1:11">
      <c r="A819" s="45">
        <f t="shared" si="12"/>
        <v>818</v>
      </c>
      <c r="B819" s="45" t="s">
        <v>2056</v>
      </c>
      <c r="C819" s="45" t="s">
        <v>202</v>
      </c>
      <c r="D819" s="46" t="s">
        <v>2228</v>
      </c>
      <c r="E819" s="71" t="s">
        <v>2229</v>
      </c>
      <c r="F819" s="45"/>
      <c r="G819" s="48" t="s">
        <v>452</v>
      </c>
      <c r="H819" s="49">
        <v>1</v>
      </c>
      <c r="I819" s="45" t="s">
        <v>1021</v>
      </c>
      <c r="J819" s="46" t="s">
        <v>444</v>
      </c>
      <c r="K819" s="46"/>
    </row>
    <row r="820" spans="1:11">
      <c r="A820" s="45">
        <f t="shared" si="12"/>
        <v>819</v>
      </c>
      <c r="B820" s="45" t="s">
        <v>2056</v>
      </c>
      <c r="C820" s="45" t="s">
        <v>202</v>
      </c>
      <c r="D820" s="46" t="s">
        <v>2230</v>
      </c>
      <c r="E820" s="71" t="s">
        <v>2231</v>
      </c>
      <c r="F820" s="45"/>
      <c r="G820" s="48" t="s">
        <v>452</v>
      </c>
      <c r="H820" s="49">
        <v>1</v>
      </c>
      <c r="I820" s="45" t="s">
        <v>1021</v>
      </c>
      <c r="J820" s="46" t="s">
        <v>2156</v>
      </c>
      <c r="K820" s="46"/>
    </row>
    <row r="821" spans="1:11">
      <c r="A821" s="45">
        <f t="shared" si="12"/>
        <v>820</v>
      </c>
      <c r="B821" s="45" t="s">
        <v>2056</v>
      </c>
      <c r="C821" s="45" t="s">
        <v>202</v>
      </c>
      <c r="D821" s="46" t="s">
        <v>2232</v>
      </c>
      <c r="E821" s="71" t="s">
        <v>2233</v>
      </c>
      <c r="F821" s="45"/>
      <c r="G821" s="48" t="s">
        <v>452</v>
      </c>
      <c r="H821" s="49">
        <v>1</v>
      </c>
      <c r="I821" s="45" t="s">
        <v>1021</v>
      </c>
      <c r="J821" s="46" t="s">
        <v>444</v>
      </c>
      <c r="K821" s="46"/>
    </row>
    <row r="822" spans="1:11">
      <c r="A822" s="45">
        <f t="shared" si="12"/>
        <v>821</v>
      </c>
      <c r="B822" s="45" t="s">
        <v>2056</v>
      </c>
      <c r="C822" s="45" t="s">
        <v>843</v>
      </c>
      <c r="D822" s="46" t="s">
        <v>2234</v>
      </c>
      <c r="E822" s="71" t="s">
        <v>2235</v>
      </c>
      <c r="F822" s="45"/>
      <c r="G822" s="48" t="s">
        <v>452</v>
      </c>
      <c r="H822" s="49">
        <v>1</v>
      </c>
      <c r="I822" s="45" t="s">
        <v>1021</v>
      </c>
      <c r="J822" s="46" t="s">
        <v>2236</v>
      </c>
      <c r="K822" s="46"/>
    </row>
    <row r="823" spans="1:11">
      <c r="A823" s="45">
        <f t="shared" si="12"/>
        <v>822</v>
      </c>
      <c r="B823" s="45" t="s">
        <v>2056</v>
      </c>
      <c r="C823" s="45" t="s">
        <v>843</v>
      </c>
      <c r="D823" s="46" t="s">
        <v>2237</v>
      </c>
      <c r="E823" s="71" t="s">
        <v>2238</v>
      </c>
      <c r="F823" s="45"/>
      <c r="G823" s="48" t="s">
        <v>452</v>
      </c>
      <c r="H823" s="49">
        <v>1</v>
      </c>
      <c r="I823" s="45" t="s">
        <v>1021</v>
      </c>
      <c r="J823" s="46" t="s">
        <v>2236</v>
      </c>
      <c r="K823" s="46"/>
    </row>
    <row r="824" spans="1:11">
      <c r="A824" s="45">
        <f t="shared" si="12"/>
        <v>823</v>
      </c>
      <c r="B824" s="45" t="s">
        <v>2056</v>
      </c>
      <c r="C824" s="45" t="s">
        <v>843</v>
      </c>
      <c r="D824" s="46" t="s">
        <v>2239</v>
      </c>
      <c r="E824" s="71" t="s">
        <v>2240</v>
      </c>
      <c r="F824" s="45"/>
      <c r="G824" s="48" t="s">
        <v>452</v>
      </c>
      <c r="H824" s="49">
        <v>1</v>
      </c>
      <c r="I824" s="45" t="s">
        <v>1021</v>
      </c>
      <c r="J824" s="46" t="s">
        <v>2236</v>
      </c>
      <c r="K824" s="46"/>
    </row>
    <row r="825" spans="1:11">
      <c r="A825" s="45">
        <f t="shared" si="12"/>
        <v>824</v>
      </c>
      <c r="B825" s="45" t="s">
        <v>2056</v>
      </c>
      <c r="C825" s="45" t="s">
        <v>843</v>
      </c>
      <c r="D825" s="46" t="s">
        <v>2241</v>
      </c>
      <c r="E825" s="71" t="s">
        <v>2242</v>
      </c>
      <c r="F825" s="45"/>
      <c r="G825" s="48" t="s">
        <v>452</v>
      </c>
      <c r="H825" s="49">
        <v>1</v>
      </c>
      <c r="I825" s="45" t="s">
        <v>1021</v>
      </c>
      <c r="J825" s="46" t="s">
        <v>2236</v>
      </c>
      <c r="K825" s="46"/>
    </row>
    <row r="826" spans="1:11">
      <c r="A826" s="45">
        <f t="shared" si="12"/>
        <v>825</v>
      </c>
      <c r="B826" s="45" t="s">
        <v>2056</v>
      </c>
      <c r="C826" s="45" t="s">
        <v>843</v>
      </c>
      <c r="D826" s="46" t="s">
        <v>2243</v>
      </c>
      <c r="E826" s="71" t="s">
        <v>2244</v>
      </c>
      <c r="F826" s="45"/>
      <c r="G826" s="48" t="s">
        <v>452</v>
      </c>
      <c r="H826" s="49">
        <v>1</v>
      </c>
      <c r="I826" s="45" t="s">
        <v>1021</v>
      </c>
      <c r="J826" s="46" t="s">
        <v>2236</v>
      </c>
      <c r="K826" s="46"/>
    </row>
    <row r="827" spans="1:11">
      <c r="A827" s="45">
        <f t="shared" si="12"/>
        <v>826</v>
      </c>
      <c r="B827" s="45" t="s">
        <v>2056</v>
      </c>
      <c r="C827" s="45" t="s">
        <v>843</v>
      </c>
      <c r="D827" s="46" t="s">
        <v>2245</v>
      </c>
      <c r="E827" s="71" t="s">
        <v>2246</v>
      </c>
      <c r="F827" s="45"/>
      <c r="G827" s="48" t="s">
        <v>452</v>
      </c>
      <c r="H827" s="49">
        <v>1</v>
      </c>
      <c r="I827" s="45" t="s">
        <v>1021</v>
      </c>
      <c r="J827" s="46" t="s">
        <v>2236</v>
      </c>
      <c r="K827" s="46"/>
    </row>
    <row r="828" spans="1:11">
      <c r="A828" s="45">
        <f t="shared" si="12"/>
        <v>827</v>
      </c>
      <c r="B828" s="45" t="s">
        <v>2056</v>
      </c>
      <c r="C828" s="45" t="s">
        <v>843</v>
      </c>
      <c r="D828" s="46" t="s">
        <v>2247</v>
      </c>
      <c r="E828" s="71" t="s">
        <v>2248</v>
      </c>
      <c r="F828" s="45"/>
      <c r="G828" s="48" t="s">
        <v>452</v>
      </c>
      <c r="H828" s="49">
        <v>1</v>
      </c>
      <c r="I828" s="45" t="s">
        <v>1021</v>
      </c>
      <c r="J828" s="46" t="s">
        <v>2236</v>
      </c>
      <c r="K828" s="46"/>
    </row>
    <row r="829" spans="1:11">
      <c r="A829" s="45">
        <f t="shared" si="12"/>
        <v>828</v>
      </c>
      <c r="B829" s="45" t="s">
        <v>2056</v>
      </c>
      <c r="C829" s="45" t="s">
        <v>843</v>
      </c>
      <c r="D829" s="46" t="s">
        <v>2249</v>
      </c>
      <c r="E829" s="71" t="s">
        <v>2250</v>
      </c>
      <c r="F829" s="45"/>
      <c r="G829" s="48" t="s">
        <v>452</v>
      </c>
      <c r="H829" s="49">
        <v>1</v>
      </c>
      <c r="I829" s="45" t="s">
        <v>1021</v>
      </c>
      <c r="J829" s="46" t="s">
        <v>2236</v>
      </c>
      <c r="K829" s="46"/>
    </row>
    <row r="830" spans="1:11">
      <c r="A830" s="45">
        <f t="shared" si="12"/>
        <v>829</v>
      </c>
      <c r="B830" s="45" t="s">
        <v>2056</v>
      </c>
      <c r="C830" s="45" t="s">
        <v>843</v>
      </c>
      <c r="D830" s="46" t="s">
        <v>2251</v>
      </c>
      <c r="E830" s="71" t="s">
        <v>2252</v>
      </c>
      <c r="F830" s="45"/>
      <c r="G830" s="48" t="s">
        <v>452</v>
      </c>
      <c r="H830" s="49">
        <v>1</v>
      </c>
      <c r="I830" s="45" t="s">
        <v>1021</v>
      </c>
      <c r="J830" s="46" t="s">
        <v>2236</v>
      </c>
      <c r="K830" s="46"/>
    </row>
    <row r="831" spans="1:11">
      <c r="A831" s="45">
        <f t="shared" si="12"/>
        <v>830</v>
      </c>
      <c r="B831" s="45" t="s">
        <v>2056</v>
      </c>
      <c r="C831" s="45" t="s">
        <v>843</v>
      </c>
      <c r="D831" s="46" t="s">
        <v>2253</v>
      </c>
      <c r="E831" s="71" t="s">
        <v>2254</v>
      </c>
      <c r="F831" s="45"/>
      <c r="G831" s="48" t="s">
        <v>452</v>
      </c>
      <c r="H831" s="49">
        <v>1</v>
      </c>
      <c r="I831" s="45" t="s">
        <v>1021</v>
      </c>
      <c r="J831" s="46" t="s">
        <v>2236</v>
      </c>
      <c r="K831" s="46"/>
    </row>
    <row r="832" spans="1:11">
      <c r="A832" s="50">
        <f t="shared" si="12"/>
        <v>831</v>
      </c>
      <c r="B832" s="50" t="s">
        <v>2056</v>
      </c>
      <c r="C832" s="50" t="s">
        <v>843</v>
      </c>
      <c r="D832" s="51" t="s">
        <v>2255</v>
      </c>
      <c r="E832" s="72" t="s">
        <v>2256</v>
      </c>
      <c r="F832" s="50"/>
      <c r="G832" s="53" t="s">
        <v>452</v>
      </c>
      <c r="H832" s="54">
        <v>1</v>
      </c>
      <c r="I832" s="50"/>
      <c r="J832" s="51" t="s">
        <v>2163</v>
      </c>
      <c r="K832" s="51"/>
    </row>
    <row r="833" spans="1:11">
      <c r="A833" s="45">
        <f t="shared" si="12"/>
        <v>832</v>
      </c>
      <c r="B833" s="45" t="s">
        <v>2056</v>
      </c>
      <c r="C833" s="45" t="s">
        <v>843</v>
      </c>
      <c r="D833" s="46" t="s">
        <v>2257</v>
      </c>
      <c r="E833" s="71" t="s">
        <v>2258</v>
      </c>
      <c r="F833" s="45"/>
      <c r="G833" s="48" t="s">
        <v>452</v>
      </c>
      <c r="H833" s="49">
        <v>1</v>
      </c>
      <c r="I833" s="45" t="s">
        <v>1021</v>
      </c>
      <c r="J833" s="46" t="s">
        <v>2163</v>
      </c>
      <c r="K833" s="46"/>
    </row>
    <row r="834" spans="1:11">
      <c r="A834" s="45">
        <f t="shared" si="12"/>
        <v>833</v>
      </c>
      <c r="B834" s="45" t="s">
        <v>2056</v>
      </c>
      <c r="C834" s="45" t="s">
        <v>843</v>
      </c>
      <c r="D834" s="46" t="s">
        <v>2259</v>
      </c>
      <c r="E834" s="71" t="s">
        <v>2260</v>
      </c>
      <c r="F834" s="45"/>
      <c r="G834" s="48" t="s">
        <v>452</v>
      </c>
      <c r="H834" s="49">
        <v>1</v>
      </c>
      <c r="I834" s="45" t="s">
        <v>1021</v>
      </c>
      <c r="J834" s="46" t="s">
        <v>2163</v>
      </c>
      <c r="K834" s="46"/>
    </row>
    <row r="835" spans="1:11">
      <c r="A835" s="45">
        <f t="shared" ref="A835:A898" si="13">ROW()-1</f>
        <v>834</v>
      </c>
      <c r="B835" s="45" t="s">
        <v>2056</v>
      </c>
      <c r="C835" s="45" t="s">
        <v>843</v>
      </c>
      <c r="D835" s="46" t="s">
        <v>2261</v>
      </c>
      <c r="E835" s="71" t="s">
        <v>2262</v>
      </c>
      <c r="F835" s="45"/>
      <c r="G835" s="48" t="s">
        <v>452</v>
      </c>
      <c r="H835" s="49">
        <v>1</v>
      </c>
      <c r="I835" s="45" t="s">
        <v>1021</v>
      </c>
      <c r="J835" s="46" t="s">
        <v>2163</v>
      </c>
      <c r="K835" s="46"/>
    </row>
    <row r="836" spans="1:11">
      <c r="A836" s="45">
        <f t="shared" si="13"/>
        <v>835</v>
      </c>
      <c r="B836" s="45" t="s">
        <v>2056</v>
      </c>
      <c r="C836" s="45" t="s">
        <v>843</v>
      </c>
      <c r="D836" s="46" t="s">
        <v>2263</v>
      </c>
      <c r="E836" s="71" t="s">
        <v>1477</v>
      </c>
      <c r="F836" s="45"/>
      <c r="G836" s="48" t="s">
        <v>452</v>
      </c>
      <c r="H836" s="49">
        <v>1</v>
      </c>
      <c r="I836" s="45" t="s">
        <v>1021</v>
      </c>
      <c r="J836" s="46" t="s">
        <v>444</v>
      </c>
      <c r="K836" s="46"/>
    </row>
    <row r="837" spans="1:11">
      <c r="A837" s="45">
        <f t="shared" si="13"/>
        <v>836</v>
      </c>
      <c r="B837" s="45" t="s">
        <v>2056</v>
      </c>
      <c r="C837" s="45" t="s">
        <v>843</v>
      </c>
      <c r="D837" s="46" t="s">
        <v>2264</v>
      </c>
      <c r="E837" s="71" t="s">
        <v>2265</v>
      </c>
      <c r="F837" s="45"/>
      <c r="G837" s="48" t="s">
        <v>452</v>
      </c>
      <c r="H837" s="49">
        <v>1</v>
      </c>
      <c r="I837" s="45" t="s">
        <v>1021</v>
      </c>
      <c r="J837" s="46" t="s">
        <v>2236</v>
      </c>
      <c r="K837" s="46"/>
    </row>
    <row r="838" spans="1:11">
      <c r="A838" s="45">
        <f t="shared" si="13"/>
        <v>837</v>
      </c>
      <c r="B838" s="45" t="s">
        <v>2056</v>
      </c>
      <c r="C838" s="45" t="s">
        <v>843</v>
      </c>
      <c r="D838" s="46" t="s">
        <v>2266</v>
      </c>
      <c r="E838" s="71" t="s">
        <v>2267</v>
      </c>
      <c r="F838" s="45"/>
      <c r="G838" s="48" t="s">
        <v>452</v>
      </c>
      <c r="H838" s="49">
        <v>1</v>
      </c>
      <c r="I838" s="45" t="s">
        <v>1021</v>
      </c>
      <c r="J838" s="46" t="s">
        <v>908</v>
      </c>
      <c r="K838" s="46"/>
    </row>
    <row r="839" spans="1:11">
      <c r="A839" s="45">
        <f t="shared" si="13"/>
        <v>838</v>
      </c>
      <c r="B839" s="45" t="s">
        <v>2056</v>
      </c>
      <c r="C839" s="45" t="s">
        <v>843</v>
      </c>
      <c r="D839" s="46" t="s">
        <v>2268</v>
      </c>
      <c r="E839" s="71" t="s">
        <v>2269</v>
      </c>
      <c r="F839" s="45"/>
      <c r="G839" s="48" t="s">
        <v>452</v>
      </c>
      <c r="H839" s="49">
        <v>1</v>
      </c>
      <c r="I839" s="45" t="s">
        <v>1021</v>
      </c>
      <c r="J839" s="46" t="s">
        <v>908</v>
      </c>
      <c r="K839" s="46"/>
    </row>
    <row r="840" spans="1:11">
      <c r="A840" s="45">
        <f t="shared" si="13"/>
        <v>839</v>
      </c>
      <c r="B840" s="45" t="s">
        <v>2056</v>
      </c>
      <c r="C840" s="45" t="s">
        <v>843</v>
      </c>
      <c r="D840" s="46" t="s">
        <v>2270</v>
      </c>
      <c r="E840" s="71" t="s">
        <v>849</v>
      </c>
      <c r="F840" s="45"/>
      <c r="G840" s="48" t="s">
        <v>452</v>
      </c>
      <c r="H840" s="49">
        <v>1</v>
      </c>
      <c r="I840" s="45" t="s">
        <v>1021</v>
      </c>
      <c r="J840" s="46" t="s">
        <v>2236</v>
      </c>
      <c r="K840" s="46"/>
    </row>
    <row r="841" spans="1:11">
      <c r="A841" s="45">
        <f t="shared" si="13"/>
        <v>840</v>
      </c>
      <c r="B841" s="45" t="s">
        <v>2056</v>
      </c>
      <c r="C841" s="45" t="s">
        <v>843</v>
      </c>
      <c r="D841" s="46" t="s">
        <v>2271</v>
      </c>
      <c r="E841" s="71" t="s">
        <v>2272</v>
      </c>
      <c r="F841" s="45"/>
      <c r="G841" s="48" t="s">
        <v>452</v>
      </c>
      <c r="H841" s="49">
        <v>1</v>
      </c>
      <c r="I841" s="45" t="s">
        <v>1021</v>
      </c>
      <c r="J841" s="46" t="s">
        <v>908</v>
      </c>
      <c r="K841" s="46"/>
    </row>
    <row r="842" spans="1:11">
      <c r="A842" s="45">
        <f t="shared" si="13"/>
        <v>841</v>
      </c>
      <c r="B842" s="45" t="s">
        <v>2056</v>
      </c>
      <c r="C842" s="45" t="s">
        <v>843</v>
      </c>
      <c r="D842" s="46" t="s">
        <v>2273</v>
      </c>
      <c r="E842" s="71" t="s">
        <v>2274</v>
      </c>
      <c r="F842" s="45"/>
      <c r="G842" s="48" t="s">
        <v>452</v>
      </c>
      <c r="H842" s="49">
        <v>1</v>
      </c>
      <c r="I842" s="45" t="s">
        <v>1021</v>
      </c>
      <c r="J842" s="46" t="s">
        <v>908</v>
      </c>
      <c r="K842" s="46"/>
    </row>
    <row r="843" spans="1:11">
      <c r="A843" s="45">
        <f t="shared" si="13"/>
        <v>842</v>
      </c>
      <c r="B843" s="45" t="s">
        <v>2056</v>
      </c>
      <c r="C843" s="45" t="s">
        <v>843</v>
      </c>
      <c r="D843" s="46" t="s">
        <v>2275</v>
      </c>
      <c r="E843" s="71" t="s">
        <v>2276</v>
      </c>
      <c r="F843" s="45"/>
      <c r="G843" s="48" t="s">
        <v>452</v>
      </c>
      <c r="H843" s="49">
        <v>1</v>
      </c>
      <c r="I843" s="45" t="s">
        <v>1021</v>
      </c>
      <c r="J843" s="46" t="s">
        <v>908</v>
      </c>
      <c r="K843" s="46"/>
    </row>
    <row r="844" spans="1:11">
      <c r="A844" s="45">
        <f t="shared" si="13"/>
        <v>843</v>
      </c>
      <c r="B844" s="45" t="s">
        <v>2056</v>
      </c>
      <c r="C844" s="45" t="s">
        <v>843</v>
      </c>
      <c r="D844" s="46" t="s">
        <v>2277</v>
      </c>
      <c r="E844" s="71" t="s">
        <v>2278</v>
      </c>
      <c r="F844" s="45"/>
      <c r="G844" s="48" t="s">
        <v>452</v>
      </c>
      <c r="H844" s="49">
        <v>1</v>
      </c>
      <c r="I844" s="45" t="s">
        <v>1021</v>
      </c>
      <c r="J844" s="46" t="s">
        <v>908</v>
      </c>
      <c r="K844" s="46"/>
    </row>
    <row r="845" spans="1:11">
      <c r="A845" s="45">
        <f t="shared" si="13"/>
        <v>844</v>
      </c>
      <c r="B845" s="45" t="s">
        <v>2056</v>
      </c>
      <c r="C845" s="45" t="s">
        <v>843</v>
      </c>
      <c r="D845" s="46" t="s">
        <v>2279</v>
      </c>
      <c r="E845" s="71" t="s">
        <v>2280</v>
      </c>
      <c r="F845" s="45"/>
      <c r="G845" s="48" t="s">
        <v>452</v>
      </c>
      <c r="H845" s="49">
        <v>1</v>
      </c>
      <c r="I845" s="45"/>
      <c r="J845" s="46" t="s">
        <v>908</v>
      </c>
      <c r="K845" s="46"/>
    </row>
    <row r="846" spans="1:11">
      <c r="A846" s="45">
        <f t="shared" si="13"/>
        <v>845</v>
      </c>
      <c r="B846" s="45" t="s">
        <v>2056</v>
      </c>
      <c r="C846" s="45" t="s">
        <v>843</v>
      </c>
      <c r="D846" s="46" t="s">
        <v>2281</v>
      </c>
      <c r="E846" s="71" t="s">
        <v>2282</v>
      </c>
      <c r="F846" s="45"/>
      <c r="G846" s="48" t="s">
        <v>452</v>
      </c>
      <c r="H846" s="49">
        <v>1</v>
      </c>
      <c r="I846" s="45" t="s">
        <v>1021</v>
      </c>
      <c r="J846" s="46" t="s">
        <v>908</v>
      </c>
      <c r="K846" s="46"/>
    </row>
    <row r="847" spans="1:11">
      <c r="A847" s="45">
        <f t="shared" si="13"/>
        <v>846</v>
      </c>
      <c r="B847" s="45" t="s">
        <v>2056</v>
      </c>
      <c r="C847" s="45" t="s">
        <v>843</v>
      </c>
      <c r="D847" s="46" t="s">
        <v>2283</v>
      </c>
      <c r="E847" s="71" t="s">
        <v>2284</v>
      </c>
      <c r="F847" s="45"/>
      <c r="G847" s="48" t="s">
        <v>452</v>
      </c>
      <c r="H847" s="49">
        <v>1</v>
      </c>
      <c r="I847" s="45" t="s">
        <v>1021</v>
      </c>
      <c r="J847" s="46" t="s">
        <v>2236</v>
      </c>
      <c r="K847" s="46"/>
    </row>
    <row r="848" spans="1:11">
      <c r="A848" s="45">
        <f t="shared" si="13"/>
        <v>847</v>
      </c>
      <c r="B848" s="45" t="s">
        <v>2056</v>
      </c>
      <c r="C848" s="45" t="s">
        <v>734</v>
      </c>
      <c r="D848" s="46" t="s">
        <v>2285</v>
      </c>
      <c r="E848" s="71" t="s">
        <v>2286</v>
      </c>
      <c r="F848" s="45"/>
      <c r="G848" s="48" t="s">
        <v>452</v>
      </c>
      <c r="H848" s="49">
        <v>1</v>
      </c>
      <c r="I848" s="45" t="s">
        <v>1021</v>
      </c>
      <c r="J848" s="46" t="s">
        <v>2236</v>
      </c>
      <c r="K848" s="46"/>
    </row>
    <row r="849" spans="1:11">
      <c r="A849" s="45">
        <f t="shared" si="13"/>
        <v>848</v>
      </c>
      <c r="B849" s="45" t="s">
        <v>2056</v>
      </c>
      <c r="C849" s="45" t="s">
        <v>734</v>
      </c>
      <c r="D849" s="46" t="s">
        <v>2287</v>
      </c>
      <c r="E849" s="71" t="s">
        <v>2288</v>
      </c>
      <c r="F849" s="45"/>
      <c r="G849" s="48" t="s">
        <v>452</v>
      </c>
      <c r="H849" s="49">
        <v>1</v>
      </c>
      <c r="I849" s="45" t="s">
        <v>1021</v>
      </c>
      <c r="J849" s="46" t="s">
        <v>2236</v>
      </c>
      <c r="K849" s="46"/>
    </row>
    <row r="850" spans="1:11">
      <c r="A850" s="45">
        <f t="shared" si="13"/>
        <v>849</v>
      </c>
      <c r="B850" s="45" t="s">
        <v>2056</v>
      </c>
      <c r="C850" s="45" t="s">
        <v>734</v>
      </c>
      <c r="D850" s="46" t="s">
        <v>2289</v>
      </c>
      <c r="E850" s="71" t="s">
        <v>819</v>
      </c>
      <c r="F850" s="45"/>
      <c r="G850" s="48" t="s">
        <v>452</v>
      </c>
      <c r="H850" s="49">
        <v>1</v>
      </c>
      <c r="I850" s="45" t="s">
        <v>1021</v>
      </c>
      <c r="J850" s="46" t="s">
        <v>2236</v>
      </c>
      <c r="K850" s="46"/>
    </row>
    <row r="851" spans="1:11">
      <c r="A851" s="45">
        <f t="shared" si="13"/>
        <v>850</v>
      </c>
      <c r="B851" s="45" t="s">
        <v>2056</v>
      </c>
      <c r="C851" s="45" t="s">
        <v>734</v>
      </c>
      <c r="D851" s="46" t="s">
        <v>2290</v>
      </c>
      <c r="E851" s="71" t="s">
        <v>799</v>
      </c>
      <c r="F851" s="45"/>
      <c r="G851" s="48" t="s">
        <v>452</v>
      </c>
      <c r="H851" s="49">
        <v>1</v>
      </c>
      <c r="I851" s="45" t="s">
        <v>1021</v>
      </c>
      <c r="J851" s="46" t="s">
        <v>2236</v>
      </c>
      <c r="K851" s="46"/>
    </row>
    <row r="852" spans="1:11">
      <c r="A852" s="45">
        <f t="shared" si="13"/>
        <v>851</v>
      </c>
      <c r="B852" s="45" t="s">
        <v>2056</v>
      </c>
      <c r="C852" s="45" t="s">
        <v>734</v>
      </c>
      <c r="D852" s="46" t="s">
        <v>2291</v>
      </c>
      <c r="E852" s="71" t="s">
        <v>2292</v>
      </c>
      <c r="F852" s="45"/>
      <c r="G852" s="48" t="s">
        <v>452</v>
      </c>
      <c r="H852" s="49">
        <v>1</v>
      </c>
      <c r="I852" s="45" t="s">
        <v>1021</v>
      </c>
      <c r="J852" s="46" t="s">
        <v>2236</v>
      </c>
      <c r="K852" s="46"/>
    </row>
    <row r="853" spans="1:11">
      <c r="A853" s="45">
        <f t="shared" si="13"/>
        <v>852</v>
      </c>
      <c r="B853" s="45" t="s">
        <v>2056</v>
      </c>
      <c r="C853" s="45" t="s">
        <v>734</v>
      </c>
      <c r="D853" s="46" t="s">
        <v>2293</v>
      </c>
      <c r="E853" s="71" t="s">
        <v>2294</v>
      </c>
      <c r="F853" s="45"/>
      <c r="G853" s="48" t="s">
        <v>452</v>
      </c>
      <c r="H853" s="49">
        <v>1</v>
      </c>
      <c r="I853" s="45" t="s">
        <v>1021</v>
      </c>
      <c r="J853" s="46" t="s">
        <v>2236</v>
      </c>
      <c r="K853" s="46"/>
    </row>
    <row r="854" spans="1:11">
      <c r="A854" s="45">
        <f t="shared" si="13"/>
        <v>853</v>
      </c>
      <c r="B854" s="45" t="s">
        <v>2056</v>
      </c>
      <c r="C854" s="45" t="s">
        <v>734</v>
      </c>
      <c r="D854" s="46" t="s">
        <v>2295</v>
      </c>
      <c r="E854" s="71" t="s">
        <v>2296</v>
      </c>
      <c r="F854" s="45"/>
      <c r="G854" s="48" t="s">
        <v>452</v>
      </c>
      <c r="H854" s="49">
        <v>1</v>
      </c>
      <c r="I854" s="45" t="s">
        <v>1021</v>
      </c>
      <c r="J854" s="46" t="s">
        <v>2236</v>
      </c>
      <c r="K854" s="46"/>
    </row>
    <row r="855" spans="1:11">
      <c r="A855" s="45">
        <f t="shared" si="13"/>
        <v>854</v>
      </c>
      <c r="B855" s="45" t="s">
        <v>2056</v>
      </c>
      <c r="C855" s="45" t="s">
        <v>734</v>
      </c>
      <c r="D855" s="46" t="s">
        <v>2297</v>
      </c>
      <c r="E855" s="71" t="s">
        <v>2298</v>
      </c>
      <c r="F855" s="45"/>
      <c r="G855" s="48" t="s">
        <v>452</v>
      </c>
      <c r="H855" s="49">
        <v>1</v>
      </c>
      <c r="I855" s="45" t="s">
        <v>1021</v>
      </c>
      <c r="J855" s="46" t="s">
        <v>2236</v>
      </c>
      <c r="K855" s="46"/>
    </row>
    <row r="856" spans="1:11">
      <c r="A856" s="45">
        <f t="shared" si="13"/>
        <v>855</v>
      </c>
      <c r="B856" s="45" t="s">
        <v>2056</v>
      </c>
      <c r="C856" s="45" t="s">
        <v>734</v>
      </c>
      <c r="D856" s="46" t="s">
        <v>2299</v>
      </c>
      <c r="E856" s="71" t="s">
        <v>2300</v>
      </c>
      <c r="F856" s="45"/>
      <c r="G856" s="48" t="s">
        <v>452</v>
      </c>
      <c r="H856" s="49">
        <v>1</v>
      </c>
      <c r="I856" s="45" t="s">
        <v>1021</v>
      </c>
      <c r="J856" s="46" t="s">
        <v>2236</v>
      </c>
      <c r="K856" s="46"/>
    </row>
    <row r="857" spans="1:11">
      <c r="A857" s="45">
        <f t="shared" si="13"/>
        <v>856</v>
      </c>
      <c r="B857" s="45" t="s">
        <v>2056</v>
      </c>
      <c r="C857" s="45" t="s">
        <v>734</v>
      </c>
      <c r="D857" s="46" t="s">
        <v>2301</v>
      </c>
      <c r="E857" s="71" t="s">
        <v>2302</v>
      </c>
      <c r="F857" s="45"/>
      <c r="G857" s="48" t="s">
        <v>452</v>
      </c>
      <c r="H857" s="49">
        <v>1</v>
      </c>
      <c r="I857" s="45" t="s">
        <v>1021</v>
      </c>
      <c r="J857" s="46" t="s">
        <v>2236</v>
      </c>
      <c r="K857" s="46"/>
    </row>
    <row r="858" spans="1:11">
      <c r="A858" s="45">
        <f t="shared" si="13"/>
        <v>857</v>
      </c>
      <c r="B858" s="45" t="s">
        <v>2056</v>
      </c>
      <c r="C858" s="45" t="s">
        <v>734</v>
      </c>
      <c r="D858" s="46" t="s">
        <v>2303</v>
      </c>
      <c r="E858" s="71" t="s">
        <v>2304</v>
      </c>
      <c r="F858" s="45"/>
      <c r="G858" s="48" t="s">
        <v>452</v>
      </c>
      <c r="H858" s="49">
        <v>1</v>
      </c>
      <c r="I858" s="45" t="s">
        <v>1021</v>
      </c>
      <c r="J858" s="46" t="s">
        <v>2236</v>
      </c>
      <c r="K858" s="46"/>
    </row>
    <row r="859" spans="1:11">
      <c r="A859" s="45">
        <f t="shared" si="13"/>
        <v>858</v>
      </c>
      <c r="B859" s="45" t="s">
        <v>2056</v>
      </c>
      <c r="C859" s="45" t="s">
        <v>734</v>
      </c>
      <c r="D859" s="46" t="s">
        <v>2305</v>
      </c>
      <c r="E859" s="71" t="s">
        <v>789</v>
      </c>
      <c r="F859" s="45"/>
      <c r="G859" s="48" t="s">
        <v>452</v>
      </c>
      <c r="H859" s="49">
        <v>1</v>
      </c>
      <c r="I859" s="45" t="s">
        <v>1021</v>
      </c>
      <c r="J859" s="46" t="s">
        <v>2236</v>
      </c>
      <c r="K859" s="46"/>
    </row>
    <row r="860" spans="1:11">
      <c r="A860" s="45">
        <f t="shared" si="13"/>
        <v>859</v>
      </c>
      <c r="B860" s="45" t="s">
        <v>2056</v>
      </c>
      <c r="C860" s="45" t="s">
        <v>734</v>
      </c>
      <c r="D860" s="46" t="s">
        <v>2306</v>
      </c>
      <c r="E860" s="71" t="s">
        <v>1193</v>
      </c>
      <c r="F860" s="45"/>
      <c r="G860" s="48" t="s">
        <v>452</v>
      </c>
      <c r="H860" s="49">
        <v>1</v>
      </c>
      <c r="I860" s="45" t="s">
        <v>1021</v>
      </c>
      <c r="J860" s="46" t="s">
        <v>2236</v>
      </c>
      <c r="K860" s="46"/>
    </row>
    <row r="861" spans="1:11">
      <c r="A861" s="45">
        <f t="shared" si="13"/>
        <v>860</v>
      </c>
      <c r="B861" s="45" t="s">
        <v>2056</v>
      </c>
      <c r="C861" s="45" t="s">
        <v>2307</v>
      </c>
      <c r="D861" s="46" t="s">
        <v>2308</v>
      </c>
      <c r="E861" s="71" t="s">
        <v>2309</v>
      </c>
      <c r="F861" s="45"/>
      <c r="G861" s="48" t="s">
        <v>452</v>
      </c>
      <c r="H861" s="49">
        <v>1</v>
      </c>
      <c r="I861" s="45" t="s">
        <v>1021</v>
      </c>
      <c r="J861" s="46" t="s">
        <v>444</v>
      </c>
      <c r="K861" s="46"/>
    </row>
    <row r="862" spans="1:11">
      <c r="A862" s="45">
        <f t="shared" si="13"/>
        <v>861</v>
      </c>
      <c r="B862" s="45" t="s">
        <v>2056</v>
      </c>
      <c r="C862" s="45" t="s">
        <v>2307</v>
      </c>
      <c r="D862" s="46" t="s">
        <v>2310</v>
      </c>
      <c r="E862" s="71" t="s">
        <v>2311</v>
      </c>
      <c r="F862" s="45"/>
      <c r="G862" s="48" t="s">
        <v>452</v>
      </c>
      <c r="H862" s="49">
        <v>1</v>
      </c>
      <c r="I862" s="45"/>
      <c r="J862" s="46" t="s">
        <v>444</v>
      </c>
      <c r="K862" s="46"/>
    </row>
    <row r="863" spans="1:11">
      <c r="A863" s="39">
        <f t="shared" si="13"/>
        <v>862</v>
      </c>
      <c r="B863" s="39" t="s">
        <v>2312</v>
      </c>
      <c r="C863" s="39" t="s">
        <v>217</v>
      </c>
      <c r="D863" s="39" t="s">
        <v>2313</v>
      </c>
      <c r="E863" s="44" t="s">
        <v>2314</v>
      </c>
      <c r="F863" s="39" t="s">
        <v>2315</v>
      </c>
      <c r="G863" s="42">
        <v>46813</v>
      </c>
      <c r="H863" s="55">
        <v>0</v>
      </c>
      <c r="I863" s="56"/>
      <c r="J863" s="40" t="s">
        <v>2316</v>
      </c>
      <c r="K863" s="40"/>
    </row>
    <row r="864" spans="1:11">
      <c r="A864" s="39">
        <f t="shared" si="13"/>
        <v>863</v>
      </c>
      <c r="B864" s="39" t="s">
        <v>2312</v>
      </c>
      <c r="C864" s="39" t="s">
        <v>217</v>
      </c>
      <c r="D864" s="39" t="s">
        <v>2317</v>
      </c>
      <c r="E864" s="44" t="s">
        <v>2318</v>
      </c>
      <c r="F864" s="39" t="s">
        <v>2319</v>
      </c>
      <c r="G864" s="39"/>
      <c r="H864" s="39"/>
      <c r="I864" s="56"/>
      <c r="J864" s="40" t="s">
        <v>2316</v>
      </c>
      <c r="K864" s="40"/>
    </row>
    <row r="865" spans="1:11">
      <c r="A865" s="39">
        <f t="shared" si="13"/>
        <v>864</v>
      </c>
      <c r="B865" s="39" t="s">
        <v>2312</v>
      </c>
      <c r="C865" s="39" t="s">
        <v>217</v>
      </c>
      <c r="D865" s="39" t="s">
        <v>2320</v>
      </c>
      <c r="E865" s="44" t="s">
        <v>1303</v>
      </c>
      <c r="F865" s="39" t="s">
        <v>2321</v>
      </c>
      <c r="G865" s="39"/>
      <c r="H865" s="39"/>
      <c r="I865" s="56"/>
      <c r="J865" s="40" t="s">
        <v>2316</v>
      </c>
      <c r="K865" s="40"/>
    </row>
    <row r="866" spans="1:11">
      <c r="A866" s="39">
        <f t="shared" si="13"/>
        <v>865</v>
      </c>
      <c r="B866" s="39" t="s">
        <v>2312</v>
      </c>
      <c r="C866" s="39" t="s">
        <v>217</v>
      </c>
      <c r="D866" s="39" t="s">
        <v>2322</v>
      </c>
      <c r="E866" s="44" t="s">
        <v>2323</v>
      </c>
      <c r="F866" s="39" t="s">
        <v>2315</v>
      </c>
      <c r="G866" s="39"/>
      <c r="H866" s="39"/>
      <c r="I866" s="56"/>
      <c r="J866" s="40" t="s">
        <v>2316</v>
      </c>
      <c r="K866" s="40"/>
    </row>
    <row r="867" spans="1:11">
      <c r="A867" s="39">
        <f t="shared" si="13"/>
        <v>866</v>
      </c>
      <c r="B867" s="39" t="s">
        <v>2312</v>
      </c>
      <c r="C867" s="39" t="s">
        <v>217</v>
      </c>
      <c r="D867" s="39" t="s">
        <v>2324</v>
      </c>
      <c r="E867" s="44" t="s">
        <v>2325</v>
      </c>
      <c r="F867" s="39" t="s">
        <v>2326</v>
      </c>
      <c r="G867" s="39"/>
      <c r="H867" s="39"/>
      <c r="I867" s="56"/>
      <c r="J867" s="40" t="s">
        <v>2316</v>
      </c>
      <c r="K867" s="40"/>
    </row>
    <row r="868" spans="1:11">
      <c r="A868" s="39">
        <f t="shared" si="13"/>
        <v>867</v>
      </c>
      <c r="B868" s="39" t="s">
        <v>2312</v>
      </c>
      <c r="C868" s="39" t="s">
        <v>217</v>
      </c>
      <c r="D868" s="39" t="s">
        <v>2327</v>
      </c>
      <c r="E868" s="44" t="s">
        <v>2328</v>
      </c>
      <c r="F868" s="39" t="s">
        <v>2329</v>
      </c>
      <c r="G868" s="39"/>
      <c r="H868" s="39"/>
      <c r="I868" s="56"/>
      <c r="J868" s="40" t="s">
        <v>2316</v>
      </c>
      <c r="K868" s="40"/>
    </row>
    <row r="869" spans="1:11">
      <c r="A869" s="39">
        <f t="shared" si="13"/>
        <v>868</v>
      </c>
      <c r="B869" s="39" t="s">
        <v>2312</v>
      </c>
      <c r="C869" s="39" t="s">
        <v>217</v>
      </c>
      <c r="D869" s="39" t="s">
        <v>2330</v>
      </c>
      <c r="E869" s="44" t="s">
        <v>2331</v>
      </c>
      <c r="F869" s="39" t="s">
        <v>2332</v>
      </c>
      <c r="G869" s="39"/>
      <c r="H869" s="39"/>
      <c r="I869" s="56"/>
      <c r="J869" s="40" t="s">
        <v>2316</v>
      </c>
      <c r="K869" s="40"/>
    </row>
    <row r="870" spans="1:11">
      <c r="A870" s="39">
        <f t="shared" si="13"/>
        <v>869</v>
      </c>
      <c r="B870" s="39" t="s">
        <v>2312</v>
      </c>
      <c r="C870" s="39" t="s">
        <v>217</v>
      </c>
      <c r="D870" s="39" t="s">
        <v>2333</v>
      </c>
      <c r="E870" s="44" t="s">
        <v>1336</v>
      </c>
      <c r="F870" s="39" t="s">
        <v>2334</v>
      </c>
      <c r="G870" s="39"/>
      <c r="H870" s="39"/>
      <c r="I870" s="56"/>
      <c r="J870" s="40" t="s">
        <v>2316</v>
      </c>
      <c r="K870" s="40"/>
    </row>
    <row r="871" spans="1:11">
      <c r="A871" s="39">
        <f t="shared" si="13"/>
        <v>870</v>
      </c>
      <c r="B871" s="39" t="s">
        <v>2312</v>
      </c>
      <c r="C871" s="39" t="s">
        <v>217</v>
      </c>
      <c r="D871" s="39" t="s">
        <v>2335</v>
      </c>
      <c r="E871" s="44" t="s">
        <v>1070</v>
      </c>
      <c r="F871" s="39" t="s">
        <v>2336</v>
      </c>
      <c r="G871" s="39"/>
      <c r="H871" s="39"/>
      <c r="I871" s="56"/>
      <c r="J871" s="40" t="s">
        <v>2316</v>
      </c>
      <c r="K871" s="40"/>
    </row>
    <row r="872" spans="1:11">
      <c r="A872" s="39">
        <f t="shared" si="13"/>
        <v>871</v>
      </c>
      <c r="B872" s="39" t="s">
        <v>2312</v>
      </c>
      <c r="C872" s="39" t="s">
        <v>217</v>
      </c>
      <c r="D872" s="39" t="s">
        <v>2337</v>
      </c>
      <c r="E872" s="44" t="s">
        <v>2338</v>
      </c>
      <c r="F872" s="39" t="s">
        <v>2339</v>
      </c>
      <c r="G872" s="39"/>
      <c r="H872" s="39"/>
      <c r="I872" s="56"/>
      <c r="J872" s="40" t="s">
        <v>2316</v>
      </c>
      <c r="K872" s="40"/>
    </row>
    <row r="873" spans="1:11">
      <c r="A873" s="39">
        <f t="shared" si="13"/>
        <v>872</v>
      </c>
      <c r="B873" s="39" t="s">
        <v>2312</v>
      </c>
      <c r="C873" s="39" t="s">
        <v>217</v>
      </c>
      <c r="D873" s="39" t="s">
        <v>2340</v>
      </c>
      <c r="E873" s="44" t="s">
        <v>2341</v>
      </c>
      <c r="F873" s="39" t="s">
        <v>2342</v>
      </c>
      <c r="G873" s="39"/>
      <c r="H873" s="39"/>
      <c r="I873" s="56"/>
      <c r="J873" s="40" t="s">
        <v>2316</v>
      </c>
      <c r="K873" s="40"/>
    </row>
    <row r="874" spans="1:11">
      <c r="A874" s="39">
        <f t="shared" si="13"/>
        <v>873</v>
      </c>
      <c r="B874" s="39" t="s">
        <v>2312</v>
      </c>
      <c r="C874" s="39" t="s">
        <v>217</v>
      </c>
      <c r="D874" s="39" t="s">
        <v>2343</v>
      </c>
      <c r="E874" s="44" t="s">
        <v>2344</v>
      </c>
      <c r="F874" s="39" t="s">
        <v>2345</v>
      </c>
      <c r="G874" s="39"/>
      <c r="H874" s="39"/>
      <c r="I874" s="56"/>
      <c r="J874" s="40" t="s">
        <v>2316</v>
      </c>
      <c r="K874" s="40"/>
    </row>
    <row r="875" spans="1:11">
      <c r="A875" s="39">
        <f t="shared" si="13"/>
        <v>874</v>
      </c>
      <c r="B875" s="39" t="s">
        <v>2312</v>
      </c>
      <c r="C875" s="39" t="s">
        <v>217</v>
      </c>
      <c r="D875" s="39" t="s">
        <v>2346</v>
      </c>
      <c r="E875" s="44" t="s">
        <v>2347</v>
      </c>
      <c r="F875" s="39" t="s">
        <v>2348</v>
      </c>
      <c r="G875" s="39"/>
      <c r="H875" s="39"/>
      <c r="I875" s="56"/>
      <c r="J875" s="40" t="s">
        <v>2316</v>
      </c>
      <c r="K875" s="40"/>
    </row>
    <row r="876" spans="1:11">
      <c r="A876" s="39">
        <f t="shared" si="13"/>
        <v>875</v>
      </c>
      <c r="B876" s="39" t="s">
        <v>2312</v>
      </c>
      <c r="C876" s="39" t="s">
        <v>217</v>
      </c>
      <c r="D876" s="39" t="s">
        <v>2349</v>
      </c>
      <c r="E876" s="44" t="s">
        <v>588</v>
      </c>
      <c r="F876" s="39" t="s">
        <v>2350</v>
      </c>
      <c r="G876" s="39"/>
      <c r="H876" s="39"/>
      <c r="I876" s="56"/>
      <c r="J876" s="40" t="s">
        <v>2351</v>
      </c>
      <c r="K876" s="40"/>
    </row>
    <row r="877" spans="1:11">
      <c r="A877" s="39">
        <f t="shared" si="13"/>
        <v>876</v>
      </c>
      <c r="B877" s="39" t="s">
        <v>2312</v>
      </c>
      <c r="C877" s="39" t="s">
        <v>217</v>
      </c>
      <c r="D877" s="39" t="s">
        <v>2352</v>
      </c>
      <c r="E877" s="44" t="s">
        <v>2353</v>
      </c>
      <c r="F877" s="39" t="s">
        <v>2354</v>
      </c>
      <c r="G877" s="39"/>
      <c r="H877" s="39"/>
      <c r="I877" s="56"/>
      <c r="J877" s="40" t="s">
        <v>2351</v>
      </c>
      <c r="K877" s="40"/>
    </row>
    <row r="878" spans="1:11">
      <c r="A878" s="39">
        <f t="shared" si="13"/>
        <v>877</v>
      </c>
      <c r="B878" s="39" t="s">
        <v>2312</v>
      </c>
      <c r="C878" s="39" t="s">
        <v>217</v>
      </c>
      <c r="D878" s="39" t="s">
        <v>2355</v>
      </c>
      <c r="E878" s="44" t="s">
        <v>2356</v>
      </c>
      <c r="F878" s="39" t="s">
        <v>964</v>
      </c>
      <c r="G878" s="39"/>
      <c r="H878" s="39"/>
      <c r="I878" s="56"/>
      <c r="J878" s="40" t="s">
        <v>2351</v>
      </c>
      <c r="K878" s="40"/>
    </row>
    <row r="879" spans="1:11" ht="84">
      <c r="A879" s="39">
        <f t="shared" si="13"/>
        <v>878</v>
      </c>
      <c r="B879" s="39" t="s">
        <v>2312</v>
      </c>
      <c r="C879" s="39" t="s">
        <v>217</v>
      </c>
      <c r="D879" s="39" t="s">
        <v>2357</v>
      </c>
      <c r="E879" s="44" t="s">
        <v>2358</v>
      </c>
      <c r="F879" s="56" t="s">
        <v>2359</v>
      </c>
      <c r="G879" s="39"/>
      <c r="H879" s="39"/>
      <c r="I879" s="56"/>
      <c r="J879" s="40" t="s">
        <v>2351</v>
      </c>
      <c r="K879" s="40"/>
    </row>
    <row r="880" spans="1:11" ht="72">
      <c r="A880" s="39">
        <f t="shared" si="13"/>
        <v>879</v>
      </c>
      <c r="B880" s="39" t="s">
        <v>2312</v>
      </c>
      <c r="C880" s="39" t="s">
        <v>217</v>
      </c>
      <c r="D880" s="39" t="s">
        <v>2360</v>
      </c>
      <c r="E880" s="44" t="s">
        <v>2361</v>
      </c>
      <c r="F880" s="56" t="s">
        <v>2362</v>
      </c>
      <c r="G880" s="39"/>
      <c r="H880" s="39"/>
      <c r="I880" s="56"/>
      <c r="J880" s="40" t="s">
        <v>2351</v>
      </c>
      <c r="K880" s="40"/>
    </row>
    <row r="881" spans="1:11">
      <c r="A881" s="39">
        <f t="shared" si="13"/>
        <v>880</v>
      </c>
      <c r="B881" s="39" t="s">
        <v>2312</v>
      </c>
      <c r="C881" s="39" t="s">
        <v>217</v>
      </c>
      <c r="D881" s="39" t="s">
        <v>2363</v>
      </c>
      <c r="E881" s="44" t="s">
        <v>2364</v>
      </c>
      <c r="F881" s="39" t="s">
        <v>2365</v>
      </c>
      <c r="G881" s="39"/>
      <c r="H881" s="39"/>
      <c r="I881" s="56"/>
      <c r="J881" s="40" t="s">
        <v>2351</v>
      </c>
      <c r="K881" s="40"/>
    </row>
    <row r="882" spans="1:11" ht="120">
      <c r="A882" s="39">
        <f t="shared" si="13"/>
        <v>881</v>
      </c>
      <c r="B882" s="39" t="s">
        <v>2312</v>
      </c>
      <c r="C882" s="39" t="s">
        <v>217</v>
      </c>
      <c r="D882" s="39" t="s">
        <v>2366</v>
      </c>
      <c r="E882" s="44" t="s">
        <v>2367</v>
      </c>
      <c r="F882" s="56" t="s">
        <v>2368</v>
      </c>
      <c r="G882" s="39"/>
      <c r="H882" s="39"/>
      <c r="I882" s="56"/>
      <c r="J882" s="40" t="s">
        <v>2351</v>
      </c>
      <c r="K882" s="40"/>
    </row>
    <row r="883" spans="1:11" ht="24">
      <c r="A883" s="39">
        <f t="shared" si="13"/>
        <v>882</v>
      </c>
      <c r="B883" s="39" t="s">
        <v>2312</v>
      </c>
      <c r="C883" s="39" t="s">
        <v>217</v>
      </c>
      <c r="D883" s="39" t="s">
        <v>2369</v>
      </c>
      <c r="E883" s="44" t="s">
        <v>2370</v>
      </c>
      <c r="F883" s="56" t="s">
        <v>2371</v>
      </c>
      <c r="G883" s="39"/>
      <c r="H883" s="39"/>
      <c r="I883" s="56"/>
      <c r="J883" s="40" t="s">
        <v>2351</v>
      </c>
      <c r="K883" s="40"/>
    </row>
    <row r="884" spans="1:11" ht="36">
      <c r="A884" s="39">
        <f t="shared" si="13"/>
        <v>883</v>
      </c>
      <c r="B884" s="39" t="s">
        <v>2312</v>
      </c>
      <c r="C884" s="39" t="s">
        <v>217</v>
      </c>
      <c r="D884" s="39" t="s">
        <v>2372</v>
      </c>
      <c r="E884" s="44" t="s">
        <v>2373</v>
      </c>
      <c r="F884" s="56" t="s">
        <v>2374</v>
      </c>
      <c r="G884" s="39"/>
      <c r="H884" s="39"/>
      <c r="I884" s="56"/>
      <c r="J884" s="40" t="s">
        <v>2351</v>
      </c>
      <c r="K884" s="40"/>
    </row>
    <row r="885" spans="1:11" ht="24">
      <c r="A885" s="39">
        <f t="shared" si="13"/>
        <v>884</v>
      </c>
      <c r="B885" s="39" t="s">
        <v>2312</v>
      </c>
      <c r="C885" s="39" t="s">
        <v>217</v>
      </c>
      <c r="D885" s="39" t="s">
        <v>2375</v>
      </c>
      <c r="E885" s="44" t="s">
        <v>2376</v>
      </c>
      <c r="F885" s="56" t="s">
        <v>2377</v>
      </c>
      <c r="G885" s="39"/>
      <c r="H885" s="39"/>
      <c r="I885" s="56"/>
      <c r="J885" s="40" t="s">
        <v>2351</v>
      </c>
      <c r="K885" s="40"/>
    </row>
    <row r="886" spans="1:11">
      <c r="A886" s="39">
        <f t="shared" si="13"/>
        <v>885</v>
      </c>
      <c r="B886" s="39" t="s">
        <v>2312</v>
      </c>
      <c r="C886" s="39" t="s">
        <v>217</v>
      </c>
      <c r="D886" s="39" t="s">
        <v>2378</v>
      </c>
      <c r="E886" s="44" t="s">
        <v>2379</v>
      </c>
      <c r="F886" s="39" t="s">
        <v>2380</v>
      </c>
      <c r="G886" s="39"/>
      <c r="H886" s="39"/>
      <c r="I886" s="56"/>
      <c r="J886" s="40" t="s">
        <v>2316</v>
      </c>
      <c r="K886" s="40"/>
    </row>
    <row r="887" spans="1:11">
      <c r="A887" s="39">
        <f t="shared" si="13"/>
        <v>886</v>
      </c>
      <c r="B887" s="39" t="s">
        <v>2312</v>
      </c>
      <c r="C887" s="39" t="s">
        <v>217</v>
      </c>
      <c r="D887" s="39" t="s">
        <v>2381</v>
      </c>
      <c r="E887" s="44" t="s">
        <v>2382</v>
      </c>
      <c r="F887" s="39" t="s">
        <v>2383</v>
      </c>
      <c r="G887" s="39"/>
      <c r="H887" s="39"/>
      <c r="I887" s="56"/>
      <c r="J887" s="40" t="s">
        <v>2316</v>
      </c>
      <c r="K887" s="40"/>
    </row>
    <row r="888" spans="1:11">
      <c r="A888" s="39">
        <f t="shared" si="13"/>
        <v>887</v>
      </c>
      <c r="B888" s="39" t="s">
        <v>2312</v>
      </c>
      <c r="C888" s="39" t="s">
        <v>217</v>
      </c>
      <c r="D888" s="39" t="s">
        <v>2384</v>
      </c>
      <c r="E888" s="44" t="s">
        <v>2385</v>
      </c>
      <c r="F888" s="39" t="s">
        <v>2386</v>
      </c>
      <c r="G888" s="39"/>
      <c r="H888" s="39"/>
      <c r="I888" s="56"/>
      <c r="J888" s="40" t="s">
        <v>2316</v>
      </c>
      <c r="K888" s="40"/>
    </row>
    <row r="889" spans="1:11">
      <c r="A889" s="39">
        <f t="shared" si="13"/>
        <v>888</v>
      </c>
      <c r="B889" s="39" t="s">
        <v>2312</v>
      </c>
      <c r="C889" s="39" t="s">
        <v>217</v>
      </c>
      <c r="D889" s="39" t="s">
        <v>2387</v>
      </c>
      <c r="E889" s="44" t="s">
        <v>950</v>
      </c>
      <c r="F889" s="39" t="s">
        <v>2388</v>
      </c>
      <c r="G889" s="39"/>
      <c r="H889" s="39"/>
      <c r="I889" s="56"/>
      <c r="J889" s="40" t="s">
        <v>2316</v>
      </c>
      <c r="K889" s="40"/>
    </row>
    <row r="890" spans="1:11">
      <c r="A890" s="39">
        <f t="shared" si="13"/>
        <v>889</v>
      </c>
      <c r="B890" s="39" t="s">
        <v>2312</v>
      </c>
      <c r="C890" s="39" t="s">
        <v>217</v>
      </c>
      <c r="D890" s="39" t="s">
        <v>2389</v>
      </c>
      <c r="E890" s="44" t="s">
        <v>2390</v>
      </c>
      <c r="F890" s="39" t="s">
        <v>2391</v>
      </c>
      <c r="G890" s="39"/>
      <c r="H890" s="39"/>
      <c r="I890" s="56"/>
      <c r="J890" s="40" t="s">
        <v>2316</v>
      </c>
      <c r="K890" s="40"/>
    </row>
    <row r="891" spans="1:11">
      <c r="A891" s="39">
        <f t="shared" si="13"/>
        <v>890</v>
      </c>
      <c r="B891" s="39" t="s">
        <v>2312</v>
      </c>
      <c r="C891" s="39" t="s">
        <v>217</v>
      </c>
      <c r="D891" s="39" t="s">
        <v>2392</v>
      </c>
      <c r="E891" s="44" t="s">
        <v>2393</v>
      </c>
      <c r="F891" s="39" t="s">
        <v>2394</v>
      </c>
      <c r="G891" s="39"/>
      <c r="H891" s="39"/>
      <c r="I891" s="56"/>
      <c r="J891" s="40" t="s">
        <v>2351</v>
      </c>
      <c r="K891" s="40"/>
    </row>
    <row r="892" spans="1:11">
      <c r="A892" s="39">
        <f t="shared" si="13"/>
        <v>891</v>
      </c>
      <c r="B892" s="39" t="s">
        <v>2312</v>
      </c>
      <c r="C892" s="39" t="s">
        <v>217</v>
      </c>
      <c r="D892" s="39" t="s">
        <v>2395</v>
      </c>
      <c r="E892" s="44" t="s">
        <v>2396</v>
      </c>
      <c r="F892" s="39" t="s">
        <v>2397</v>
      </c>
      <c r="G892" s="39"/>
      <c r="H892" s="39"/>
      <c r="I892" s="56" t="s">
        <v>2398</v>
      </c>
      <c r="J892" s="40" t="s">
        <v>2351</v>
      </c>
      <c r="K892" s="40"/>
    </row>
    <row r="893" spans="1:11">
      <c r="A893" s="39">
        <f t="shared" si="13"/>
        <v>892</v>
      </c>
      <c r="B893" s="39" t="s">
        <v>2312</v>
      </c>
      <c r="C893" s="39" t="s">
        <v>217</v>
      </c>
      <c r="D893" s="39" t="s">
        <v>2399</v>
      </c>
      <c r="E893" s="44" t="s">
        <v>1079</v>
      </c>
      <c r="F893" s="39"/>
      <c r="G893" s="39"/>
      <c r="H893" s="39"/>
      <c r="I893" s="56" t="s">
        <v>2398</v>
      </c>
      <c r="J893" s="40" t="s">
        <v>2351</v>
      </c>
      <c r="K893" s="40"/>
    </row>
    <row r="894" spans="1:11">
      <c r="A894" s="39">
        <f t="shared" si="13"/>
        <v>893</v>
      </c>
      <c r="B894" s="39" t="s">
        <v>2312</v>
      </c>
      <c r="C894" s="39" t="s">
        <v>217</v>
      </c>
      <c r="D894" s="39" t="s">
        <v>2400</v>
      </c>
      <c r="E894" s="44" t="s">
        <v>2401</v>
      </c>
      <c r="F894" s="39" t="s">
        <v>2348</v>
      </c>
      <c r="G894" s="39"/>
      <c r="H894" s="39"/>
      <c r="I894" s="56"/>
      <c r="J894" s="40" t="s">
        <v>2316</v>
      </c>
      <c r="K894" s="40"/>
    </row>
    <row r="895" spans="1:11">
      <c r="A895" s="39">
        <f t="shared" si="13"/>
        <v>894</v>
      </c>
      <c r="B895" s="39" t="s">
        <v>2312</v>
      </c>
      <c r="C895" s="39" t="s">
        <v>2402</v>
      </c>
      <c r="D895" s="39" t="s">
        <v>2403</v>
      </c>
      <c r="E895" s="44" t="s">
        <v>2404</v>
      </c>
      <c r="F895" s="39"/>
      <c r="G895" s="39"/>
      <c r="H895" s="39"/>
      <c r="I895" s="56" t="s">
        <v>2398</v>
      </c>
      <c r="J895" s="40" t="s">
        <v>2351</v>
      </c>
      <c r="K895" s="40"/>
    </row>
    <row r="896" spans="1:11">
      <c r="A896" s="39">
        <f t="shared" si="13"/>
        <v>895</v>
      </c>
      <c r="B896" s="39" t="s">
        <v>2312</v>
      </c>
      <c r="C896" s="39" t="s">
        <v>2402</v>
      </c>
      <c r="D896" s="39" t="s">
        <v>2405</v>
      </c>
      <c r="E896" s="44" t="s">
        <v>2406</v>
      </c>
      <c r="F896" s="39"/>
      <c r="G896" s="39"/>
      <c r="H896" s="39"/>
      <c r="I896" s="56" t="s">
        <v>2398</v>
      </c>
      <c r="J896" s="40" t="s">
        <v>2351</v>
      </c>
      <c r="K896" s="40"/>
    </row>
    <row r="897" spans="1:11">
      <c r="A897" s="39">
        <f t="shared" si="13"/>
        <v>896</v>
      </c>
      <c r="B897" s="39" t="s">
        <v>2312</v>
      </c>
      <c r="C897" s="39" t="s">
        <v>232</v>
      </c>
      <c r="D897" s="39" t="s">
        <v>2407</v>
      </c>
      <c r="E897" s="44" t="s">
        <v>2408</v>
      </c>
      <c r="F897" s="39" t="s">
        <v>2409</v>
      </c>
      <c r="G897" s="39"/>
      <c r="H897" s="39"/>
      <c r="I897" s="56"/>
      <c r="J897" s="40" t="s">
        <v>2410</v>
      </c>
      <c r="K897" s="40"/>
    </row>
    <row r="898" spans="1:11">
      <c r="A898" s="39">
        <f t="shared" si="13"/>
        <v>897</v>
      </c>
      <c r="B898" s="39" t="s">
        <v>2312</v>
      </c>
      <c r="C898" s="39" t="s">
        <v>232</v>
      </c>
      <c r="D898" s="39" t="s">
        <v>2411</v>
      </c>
      <c r="E898" s="44" t="s">
        <v>454</v>
      </c>
      <c r="F898" s="89" t="s">
        <v>2412</v>
      </c>
      <c r="G898" s="39"/>
      <c r="H898" s="39"/>
      <c r="I898" s="56"/>
      <c r="J898" s="40" t="s">
        <v>1862</v>
      </c>
      <c r="K898" s="40"/>
    </row>
    <row r="899" spans="1:11">
      <c r="A899" s="39">
        <f t="shared" ref="A899:A962" si="14">ROW()-1</f>
        <v>898</v>
      </c>
      <c r="B899" s="39" t="s">
        <v>2312</v>
      </c>
      <c r="C899" s="39" t="s">
        <v>232</v>
      </c>
      <c r="D899" s="39" t="s">
        <v>2413</v>
      </c>
      <c r="E899" s="44" t="s">
        <v>2414</v>
      </c>
      <c r="F899" s="89" t="s">
        <v>2415</v>
      </c>
      <c r="G899" s="39"/>
      <c r="H899" s="39"/>
      <c r="I899" s="56"/>
      <c r="J899" s="40" t="s">
        <v>1862</v>
      </c>
      <c r="K899" s="40"/>
    </row>
    <row r="900" spans="1:11">
      <c r="A900" s="39">
        <f t="shared" si="14"/>
        <v>899</v>
      </c>
      <c r="B900" s="39" t="s">
        <v>2312</v>
      </c>
      <c r="C900" s="39" t="s">
        <v>232</v>
      </c>
      <c r="D900" s="39" t="s">
        <v>2416</v>
      </c>
      <c r="E900" s="44" t="s">
        <v>2417</v>
      </c>
      <c r="F900" s="89" t="s">
        <v>2418</v>
      </c>
      <c r="G900" s="39"/>
      <c r="H900" s="39"/>
      <c r="I900" s="56"/>
      <c r="J900" s="40" t="s">
        <v>1862</v>
      </c>
      <c r="K900" s="40"/>
    </row>
    <row r="901" spans="1:11">
      <c r="A901" s="39">
        <f t="shared" si="14"/>
        <v>900</v>
      </c>
      <c r="B901" s="39" t="s">
        <v>2312</v>
      </c>
      <c r="C901" s="39" t="s">
        <v>232</v>
      </c>
      <c r="D901" s="39" t="s">
        <v>2419</v>
      </c>
      <c r="E901" s="44" t="s">
        <v>2420</v>
      </c>
      <c r="F901" s="89" t="s">
        <v>2421</v>
      </c>
      <c r="G901" s="39"/>
      <c r="H901" s="39"/>
      <c r="I901" s="56"/>
      <c r="J901" s="40" t="s">
        <v>1862</v>
      </c>
      <c r="K901" s="40"/>
    </row>
    <row r="902" spans="1:11">
      <c r="A902" s="39">
        <f t="shared" si="14"/>
        <v>901</v>
      </c>
      <c r="B902" s="39" t="s">
        <v>2312</v>
      </c>
      <c r="C902" s="39" t="s">
        <v>232</v>
      </c>
      <c r="D902" s="39" t="s">
        <v>2422</v>
      </c>
      <c r="E902" s="44" t="s">
        <v>490</v>
      </c>
      <c r="F902" s="89" t="s">
        <v>2423</v>
      </c>
      <c r="G902" s="39"/>
      <c r="H902" s="39"/>
      <c r="I902" s="56"/>
      <c r="J902" s="40" t="s">
        <v>1862</v>
      </c>
      <c r="K902" s="40"/>
    </row>
    <row r="903" spans="1:11">
      <c r="A903" s="39">
        <f t="shared" si="14"/>
        <v>902</v>
      </c>
      <c r="B903" s="39" t="s">
        <v>2312</v>
      </c>
      <c r="C903" s="39" t="s">
        <v>232</v>
      </c>
      <c r="D903" s="39" t="s">
        <v>2424</v>
      </c>
      <c r="E903" s="44" t="s">
        <v>2425</v>
      </c>
      <c r="F903" s="39" t="s">
        <v>2426</v>
      </c>
      <c r="G903" s="39"/>
      <c r="H903" s="39"/>
      <c r="I903" s="56"/>
      <c r="J903" s="40" t="s">
        <v>2410</v>
      </c>
      <c r="K903" s="40"/>
    </row>
    <row r="904" spans="1:11">
      <c r="A904" s="39">
        <f t="shared" si="14"/>
        <v>903</v>
      </c>
      <c r="B904" s="39" t="s">
        <v>2312</v>
      </c>
      <c r="C904" s="39" t="s">
        <v>232</v>
      </c>
      <c r="D904" s="39" t="s">
        <v>2427</v>
      </c>
      <c r="E904" s="44" t="s">
        <v>2428</v>
      </c>
      <c r="F904" s="39" t="s">
        <v>2429</v>
      </c>
      <c r="G904" s="39"/>
      <c r="H904" s="39"/>
      <c r="I904" s="56"/>
      <c r="J904" s="40" t="s">
        <v>2410</v>
      </c>
      <c r="K904" s="40"/>
    </row>
    <row r="905" spans="1:11">
      <c r="A905" s="39">
        <f t="shared" si="14"/>
        <v>904</v>
      </c>
      <c r="B905" s="39" t="s">
        <v>2312</v>
      </c>
      <c r="C905" s="39" t="s">
        <v>232</v>
      </c>
      <c r="D905" s="39" t="s">
        <v>2430</v>
      </c>
      <c r="E905" s="44" t="s">
        <v>2431</v>
      </c>
      <c r="F905" s="39" t="s">
        <v>2432</v>
      </c>
      <c r="G905" s="39"/>
      <c r="H905" s="39"/>
      <c r="I905" s="56"/>
      <c r="J905" s="40" t="s">
        <v>2410</v>
      </c>
      <c r="K905" s="40"/>
    </row>
    <row r="906" spans="1:11">
      <c r="A906" s="39">
        <f t="shared" si="14"/>
        <v>905</v>
      </c>
      <c r="B906" s="39" t="s">
        <v>2312</v>
      </c>
      <c r="C906" s="39" t="s">
        <v>232</v>
      </c>
      <c r="D906" s="39" t="s">
        <v>2433</v>
      </c>
      <c r="E906" s="44" t="s">
        <v>478</v>
      </c>
      <c r="F906" s="39" t="s">
        <v>2434</v>
      </c>
      <c r="G906" s="39"/>
      <c r="H906" s="39"/>
      <c r="I906" s="56"/>
      <c r="J906" s="40" t="s">
        <v>444</v>
      </c>
      <c r="K906" s="40"/>
    </row>
    <row r="907" spans="1:11">
      <c r="A907" s="39">
        <f t="shared" si="14"/>
        <v>906</v>
      </c>
      <c r="B907" s="39" t="s">
        <v>2312</v>
      </c>
      <c r="C907" s="39" t="s">
        <v>232</v>
      </c>
      <c r="D907" s="39" t="s">
        <v>2435</v>
      </c>
      <c r="E907" s="44" t="s">
        <v>701</v>
      </c>
      <c r="F907" s="89" t="s">
        <v>2436</v>
      </c>
      <c r="G907" s="39"/>
      <c r="H907" s="39"/>
      <c r="I907" s="56"/>
      <c r="J907" s="40" t="s">
        <v>444</v>
      </c>
      <c r="K907" s="40"/>
    </row>
    <row r="908" spans="1:11">
      <c r="A908" s="39">
        <f t="shared" si="14"/>
        <v>907</v>
      </c>
      <c r="B908" s="39" t="s">
        <v>2312</v>
      </c>
      <c r="C908" s="39" t="s">
        <v>232</v>
      </c>
      <c r="D908" s="39" t="s">
        <v>2437</v>
      </c>
      <c r="E908" s="44" t="s">
        <v>2438</v>
      </c>
      <c r="F908" s="89" t="s">
        <v>2439</v>
      </c>
      <c r="G908" s="39"/>
      <c r="H908" s="39"/>
      <c r="I908" s="56"/>
      <c r="J908" s="40" t="s">
        <v>444</v>
      </c>
      <c r="K908" s="40"/>
    </row>
    <row r="909" spans="1:11">
      <c r="A909" s="39">
        <f t="shared" si="14"/>
        <v>908</v>
      </c>
      <c r="B909" s="39" t="s">
        <v>2312</v>
      </c>
      <c r="C909" s="39" t="s">
        <v>232</v>
      </c>
      <c r="D909" s="39" t="s">
        <v>2440</v>
      </c>
      <c r="E909" s="44" t="s">
        <v>2441</v>
      </c>
      <c r="F909" s="89" t="s">
        <v>2439</v>
      </c>
      <c r="G909" s="39"/>
      <c r="H909" s="39"/>
      <c r="I909" s="56"/>
      <c r="J909" s="40" t="s">
        <v>1862</v>
      </c>
      <c r="K909" s="40"/>
    </row>
    <row r="910" spans="1:11">
      <c r="A910" s="39">
        <f t="shared" si="14"/>
        <v>909</v>
      </c>
      <c r="B910" s="39" t="s">
        <v>2312</v>
      </c>
      <c r="C910" s="39" t="s">
        <v>232</v>
      </c>
      <c r="D910" s="39" t="s">
        <v>2442</v>
      </c>
      <c r="E910" s="44" t="s">
        <v>2443</v>
      </c>
      <c r="F910" s="89" t="s">
        <v>2444</v>
      </c>
      <c r="G910" s="39"/>
      <c r="H910" s="39"/>
      <c r="I910" s="56"/>
      <c r="J910" s="40" t="s">
        <v>444</v>
      </c>
      <c r="K910" s="40"/>
    </row>
    <row r="911" spans="1:11">
      <c r="A911" s="39">
        <f t="shared" si="14"/>
        <v>910</v>
      </c>
      <c r="B911" s="39" t="s">
        <v>2312</v>
      </c>
      <c r="C911" s="39" t="s">
        <v>232</v>
      </c>
      <c r="D911" s="39" t="s">
        <v>2445</v>
      </c>
      <c r="E911" s="44" t="s">
        <v>2446</v>
      </c>
      <c r="F911" s="89" t="s">
        <v>2447</v>
      </c>
      <c r="G911" s="39"/>
      <c r="H911" s="39"/>
      <c r="I911" s="56"/>
      <c r="J911" s="40" t="s">
        <v>444</v>
      </c>
      <c r="K911" s="40"/>
    </row>
    <row r="912" spans="1:11">
      <c r="A912" s="39">
        <f t="shared" si="14"/>
        <v>911</v>
      </c>
      <c r="B912" s="39" t="s">
        <v>2312</v>
      </c>
      <c r="C912" s="39" t="s">
        <v>232</v>
      </c>
      <c r="D912" s="39" t="s">
        <v>2448</v>
      </c>
      <c r="E912" s="44" t="s">
        <v>2449</v>
      </c>
      <c r="F912" s="89" t="s">
        <v>2450</v>
      </c>
      <c r="G912" s="39"/>
      <c r="H912" s="39"/>
      <c r="I912" s="56"/>
      <c r="J912" s="40" t="s">
        <v>444</v>
      </c>
      <c r="K912" s="40"/>
    </row>
    <row r="913" spans="1:11">
      <c r="A913" s="39">
        <f t="shared" si="14"/>
        <v>912</v>
      </c>
      <c r="B913" s="39" t="s">
        <v>2312</v>
      </c>
      <c r="C913" s="39" t="s">
        <v>232</v>
      </c>
      <c r="D913" s="39" t="s">
        <v>2451</v>
      </c>
      <c r="E913" s="44" t="s">
        <v>1702</v>
      </c>
      <c r="F913" s="89" t="s">
        <v>2444</v>
      </c>
      <c r="G913" s="39"/>
      <c r="H913" s="39"/>
      <c r="I913" s="56"/>
      <c r="J913" s="40" t="s">
        <v>2410</v>
      </c>
      <c r="K913" s="40"/>
    </row>
    <row r="914" spans="1:11">
      <c r="A914" s="39">
        <f t="shared" si="14"/>
        <v>913</v>
      </c>
      <c r="B914" s="39" t="s">
        <v>2312</v>
      </c>
      <c r="C914" s="39" t="s">
        <v>232</v>
      </c>
      <c r="D914" s="39" t="s">
        <v>2452</v>
      </c>
      <c r="E914" s="44" t="s">
        <v>2453</v>
      </c>
      <c r="F914" s="89" t="s">
        <v>2454</v>
      </c>
      <c r="G914" s="39"/>
      <c r="H914" s="39"/>
      <c r="I914" s="56"/>
      <c r="J914" s="40" t="s">
        <v>2410</v>
      </c>
      <c r="K914" s="40"/>
    </row>
    <row r="915" spans="1:11">
      <c r="A915" s="39">
        <f t="shared" si="14"/>
        <v>914</v>
      </c>
      <c r="B915" s="39" t="s">
        <v>2312</v>
      </c>
      <c r="C915" s="39" t="s">
        <v>232</v>
      </c>
      <c r="D915" s="39" t="s">
        <v>2455</v>
      </c>
      <c r="E915" s="44" t="s">
        <v>2456</v>
      </c>
      <c r="F915" s="89" t="s">
        <v>2457</v>
      </c>
      <c r="G915" s="39"/>
      <c r="H915" s="39"/>
      <c r="I915" s="56" t="s">
        <v>2458</v>
      </c>
      <c r="J915" s="40" t="s">
        <v>470</v>
      </c>
      <c r="K915" s="40"/>
    </row>
    <row r="916" spans="1:11">
      <c r="A916" s="39">
        <f t="shared" si="14"/>
        <v>915</v>
      </c>
      <c r="B916" s="39" t="s">
        <v>2312</v>
      </c>
      <c r="C916" s="39" t="s">
        <v>232</v>
      </c>
      <c r="D916" s="39" t="s">
        <v>2459</v>
      </c>
      <c r="E916" s="44" t="s">
        <v>2460</v>
      </c>
      <c r="F916" s="89" t="s">
        <v>2461</v>
      </c>
      <c r="G916" s="39"/>
      <c r="H916" s="39"/>
      <c r="I916" s="56"/>
      <c r="J916" s="40" t="s">
        <v>1862</v>
      </c>
      <c r="K916" s="40"/>
    </row>
    <row r="917" spans="1:11">
      <c r="A917" s="39">
        <f t="shared" si="14"/>
        <v>916</v>
      </c>
      <c r="B917" s="39" t="s">
        <v>2312</v>
      </c>
      <c r="C917" s="39" t="s">
        <v>202</v>
      </c>
      <c r="D917" s="39" t="s">
        <v>2462</v>
      </c>
      <c r="E917" s="44" t="s">
        <v>1602</v>
      </c>
      <c r="F917" s="89" t="s">
        <v>2463</v>
      </c>
      <c r="G917" s="39"/>
      <c r="H917" s="39"/>
      <c r="I917" s="56"/>
      <c r="J917" s="40" t="s">
        <v>1698</v>
      </c>
      <c r="K917" s="40"/>
    </row>
    <row r="918" spans="1:11">
      <c r="A918" s="39">
        <f t="shared" si="14"/>
        <v>917</v>
      </c>
      <c r="B918" s="39" t="s">
        <v>2312</v>
      </c>
      <c r="C918" s="39" t="s">
        <v>202</v>
      </c>
      <c r="D918" s="39" t="s">
        <v>2464</v>
      </c>
      <c r="E918" s="44" t="s">
        <v>1607</v>
      </c>
      <c r="F918" s="89" t="s">
        <v>2465</v>
      </c>
      <c r="G918" s="39"/>
      <c r="H918" s="39"/>
      <c r="I918" s="56"/>
      <c r="J918" s="40" t="s">
        <v>2466</v>
      </c>
      <c r="K918" s="40"/>
    </row>
    <row r="919" spans="1:11">
      <c r="A919" s="39">
        <f t="shared" si="14"/>
        <v>918</v>
      </c>
      <c r="B919" s="39" t="s">
        <v>2312</v>
      </c>
      <c r="C919" s="39" t="s">
        <v>202</v>
      </c>
      <c r="D919" s="39" t="s">
        <v>2467</v>
      </c>
      <c r="E919" s="44" t="s">
        <v>2468</v>
      </c>
      <c r="F919" s="89" t="s">
        <v>2469</v>
      </c>
      <c r="G919" s="39"/>
      <c r="H919" s="39"/>
      <c r="I919" s="56"/>
      <c r="J919" s="40" t="s">
        <v>1698</v>
      </c>
      <c r="K919" s="40"/>
    </row>
    <row r="920" spans="1:11">
      <c r="A920" s="39">
        <f t="shared" si="14"/>
        <v>919</v>
      </c>
      <c r="B920" s="39" t="s">
        <v>2312</v>
      </c>
      <c r="C920" s="39" t="s">
        <v>202</v>
      </c>
      <c r="D920" s="39" t="s">
        <v>2470</v>
      </c>
      <c r="E920" s="44" t="s">
        <v>2471</v>
      </c>
      <c r="F920" s="89" t="s">
        <v>2472</v>
      </c>
      <c r="G920" s="39"/>
      <c r="H920" s="39"/>
      <c r="I920" s="56"/>
      <c r="J920" s="40" t="s">
        <v>2466</v>
      </c>
      <c r="K920" s="40"/>
    </row>
    <row r="921" spans="1:11">
      <c r="A921" s="39">
        <f t="shared" si="14"/>
        <v>920</v>
      </c>
      <c r="B921" s="39" t="s">
        <v>2312</v>
      </c>
      <c r="C921" s="39" t="s">
        <v>202</v>
      </c>
      <c r="D921" s="39" t="s">
        <v>2473</v>
      </c>
      <c r="E921" s="44" t="s">
        <v>644</v>
      </c>
      <c r="F921" s="89" t="s">
        <v>2474</v>
      </c>
      <c r="G921" s="39"/>
      <c r="H921" s="39"/>
      <c r="I921" s="56"/>
      <c r="J921" s="40" t="s">
        <v>1698</v>
      </c>
      <c r="K921" s="40"/>
    </row>
    <row r="922" spans="1:11">
      <c r="A922" s="39">
        <f t="shared" si="14"/>
        <v>921</v>
      </c>
      <c r="B922" s="39" t="s">
        <v>2312</v>
      </c>
      <c r="C922" s="39" t="s">
        <v>202</v>
      </c>
      <c r="D922" s="39" t="s">
        <v>2475</v>
      </c>
      <c r="E922" s="44" t="s">
        <v>647</v>
      </c>
      <c r="F922" s="89" t="s">
        <v>2476</v>
      </c>
      <c r="G922" s="39"/>
      <c r="H922" s="39"/>
      <c r="I922" s="56"/>
      <c r="J922" s="40" t="s">
        <v>2466</v>
      </c>
      <c r="K922" s="40"/>
    </row>
    <row r="923" spans="1:11">
      <c r="A923" s="39">
        <f t="shared" si="14"/>
        <v>922</v>
      </c>
      <c r="B923" s="39" t="s">
        <v>2312</v>
      </c>
      <c r="C923" s="39" t="s">
        <v>202</v>
      </c>
      <c r="D923" s="39" t="s">
        <v>2477</v>
      </c>
      <c r="E923" s="44" t="s">
        <v>654</v>
      </c>
      <c r="F923" s="89" t="s">
        <v>2478</v>
      </c>
      <c r="G923" s="39"/>
      <c r="H923" s="39"/>
      <c r="I923" s="56"/>
      <c r="J923" s="40" t="s">
        <v>2466</v>
      </c>
      <c r="K923" s="40"/>
    </row>
    <row r="924" spans="1:11">
      <c r="A924" s="39">
        <f t="shared" si="14"/>
        <v>923</v>
      </c>
      <c r="B924" s="39" t="s">
        <v>2312</v>
      </c>
      <c r="C924" s="39" t="s">
        <v>202</v>
      </c>
      <c r="D924" s="39" t="s">
        <v>2479</v>
      </c>
      <c r="E924" s="44" t="s">
        <v>1122</v>
      </c>
      <c r="F924" s="89" t="s">
        <v>2480</v>
      </c>
      <c r="G924" s="39"/>
      <c r="H924" s="39"/>
      <c r="I924" s="56"/>
      <c r="J924" s="40" t="s">
        <v>1698</v>
      </c>
      <c r="K924" s="40"/>
    </row>
    <row r="925" spans="1:11">
      <c r="A925" s="39">
        <f t="shared" si="14"/>
        <v>924</v>
      </c>
      <c r="B925" s="39" t="s">
        <v>2312</v>
      </c>
      <c r="C925" s="39" t="s">
        <v>202</v>
      </c>
      <c r="D925" s="39" t="s">
        <v>2481</v>
      </c>
      <c r="E925" s="44" t="s">
        <v>2482</v>
      </c>
      <c r="F925" s="89" t="s">
        <v>2483</v>
      </c>
      <c r="G925" s="39"/>
      <c r="H925" s="39"/>
      <c r="I925" s="56"/>
      <c r="J925" s="40" t="s">
        <v>1698</v>
      </c>
      <c r="K925" s="40"/>
    </row>
    <row r="926" spans="1:11">
      <c r="A926" s="39">
        <f t="shared" si="14"/>
        <v>925</v>
      </c>
      <c r="B926" s="39" t="s">
        <v>2312</v>
      </c>
      <c r="C926" s="39" t="s">
        <v>202</v>
      </c>
      <c r="D926" s="39" t="s">
        <v>2484</v>
      </c>
      <c r="E926" s="44" t="s">
        <v>662</v>
      </c>
      <c r="F926" s="89" t="s">
        <v>2485</v>
      </c>
      <c r="G926" s="39"/>
      <c r="H926" s="39"/>
      <c r="I926" s="56"/>
      <c r="J926" s="40" t="s">
        <v>2466</v>
      </c>
      <c r="K926" s="40"/>
    </row>
    <row r="927" spans="1:11">
      <c r="A927" s="39">
        <f t="shared" si="14"/>
        <v>926</v>
      </c>
      <c r="B927" s="39" t="s">
        <v>2312</v>
      </c>
      <c r="C927" s="39" t="s">
        <v>202</v>
      </c>
      <c r="D927" s="39" t="s">
        <v>2486</v>
      </c>
      <c r="E927" s="44" t="s">
        <v>668</v>
      </c>
      <c r="F927" s="89" t="s">
        <v>2487</v>
      </c>
      <c r="G927" s="39"/>
      <c r="H927" s="39"/>
      <c r="I927" s="56"/>
      <c r="J927" s="40" t="s">
        <v>2466</v>
      </c>
      <c r="K927" s="40"/>
    </row>
    <row r="928" spans="1:11">
      <c r="A928" s="39">
        <f t="shared" si="14"/>
        <v>927</v>
      </c>
      <c r="B928" s="39" t="s">
        <v>2312</v>
      </c>
      <c r="C928" s="39" t="s">
        <v>202</v>
      </c>
      <c r="D928" s="39" t="s">
        <v>2488</v>
      </c>
      <c r="E928" s="44" t="s">
        <v>677</v>
      </c>
      <c r="F928" s="89" t="s">
        <v>2489</v>
      </c>
      <c r="G928" s="39"/>
      <c r="H928" s="39"/>
      <c r="I928" s="56"/>
      <c r="J928" s="40" t="s">
        <v>2466</v>
      </c>
      <c r="K928" s="40"/>
    </row>
    <row r="929" spans="1:11">
      <c r="A929" s="39">
        <f t="shared" si="14"/>
        <v>928</v>
      </c>
      <c r="B929" s="39" t="s">
        <v>2312</v>
      </c>
      <c r="C929" s="39" t="s">
        <v>202</v>
      </c>
      <c r="D929" s="39" t="s">
        <v>2490</v>
      </c>
      <c r="E929" s="44" t="s">
        <v>2491</v>
      </c>
      <c r="F929" s="89" t="s">
        <v>2492</v>
      </c>
      <c r="G929" s="39"/>
      <c r="H929" s="39"/>
      <c r="I929" s="56"/>
      <c r="J929" s="40" t="s">
        <v>2466</v>
      </c>
      <c r="K929" s="40"/>
    </row>
    <row r="930" spans="1:11">
      <c r="A930" s="39">
        <f t="shared" si="14"/>
        <v>929</v>
      </c>
      <c r="B930" s="39" t="s">
        <v>2312</v>
      </c>
      <c r="C930" s="39" t="s">
        <v>202</v>
      </c>
      <c r="D930" s="39" t="s">
        <v>2493</v>
      </c>
      <c r="E930" s="44" t="s">
        <v>680</v>
      </c>
      <c r="F930" s="89" t="s">
        <v>2494</v>
      </c>
      <c r="G930" s="39"/>
      <c r="H930" s="39"/>
      <c r="I930" s="56"/>
      <c r="J930" s="40" t="s">
        <v>2466</v>
      </c>
      <c r="K930" s="40"/>
    </row>
    <row r="931" spans="1:11">
      <c r="A931" s="39">
        <f t="shared" si="14"/>
        <v>930</v>
      </c>
      <c r="B931" s="39" t="s">
        <v>2312</v>
      </c>
      <c r="C931" s="39" t="s">
        <v>202</v>
      </c>
      <c r="D931" s="39" t="s">
        <v>2495</v>
      </c>
      <c r="E931" s="44" t="s">
        <v>674</v>
      </c>
      <c r="F931" s="89" t="s">
        <v>2496</v>
      </c>
      <c r="G931" s="39"/>
      <c r="H931" s="39"/>
      <c r="I931" s="56"/>
      <c r="J931" s="40" t="s">
        <v>2466</v>
      </c>
      <c r="K931" s="40"/>
    </row>
    <row r="932" spans="1:11">
      <c r="A932" s="39">
        <f t="shared" si="14"/>
        <v>931</v>
      </c>
      <c r="B932" s="39" t="s">
        <v>2312</v>
      </c>
      <c r="C932" s="39" t="s">
        <v>202</v>
      </c>
      <c r="D932" s="39" t="s">
        <v>2497</v>
      </c>
      <c r="E932" s="44" t="s">
        <v>686</v>
      </c>
      <c r="F932" s="89" t="s">
        <v>2498</v>
      </c>
      <c r="G932" s="39"/>
      <c r="H932" s="39"/>
      <c r="I932" s="56"/>
      <c r="J932" s="40" t="s">
        <v>2466</v>
      </c>
      <c r="K932" s="40"/>
    </row>
    <row r="933" spans="1:11">
      <c r="A933" s="39">
        <f t="shared" si="14"/>
        <v>932</v>
      </c>
      <c r="B933" s="39" t="s">
        <v>2312</v>
      </c>
      <c r="C933" s="39" t="s">
        <v>202</v>
      </c>
      <c r="D933" s="39" t="s">
        <v>2499</v>
      </c>
      <c r="E933" s="44" t="s">
        <v>2500</v>
      </c>
      <c r="F933" s="89" t="s">
        <v>2501</v>
      </c>
      <c r="G933" s="39"/>
      <c r="H933" s="39"/>
      <c r="I933" s="56"/>
      <c r="J933" s="40" t="s">
        <v>2466</v>
      </c>
      <c r="K933" s="40"/>
    </row>
    <row r="934" spans="1:11">
      <c r="A934" s="39">
        <f t="shared" si="14"/>
        <v>933</v>
      </c>
      <c r="B934" s="39" t="s">
        <v>2312</v>
      </c>
      <c r="C934" s="39" t="s">
        <v>202</v>
      </c>
      <c r="D934" s="39" t="s">
        <v>2502</v>
      </c>
      <c r="E934" s="44" t="s">
        <v>2503</v>
      </c>
      <c r="F934" s="89" t="s">
        <v>2504</v>
      </c>
      <c r="G934" s="39"/>
      <c r="H934" s="39"/>
      <c r="I934" s="56"/>
      <c r="J934" s="40" t="s">
        <v>2466</v>
      </c>
      <c r="K934" s="40"/>
    </row>
    <row r="935" spans="1:11">
      <c r="A935" s="39">
        <f t="shared" si="14"/>
        <v>934</v>
      </c>
      <c r="B935" s="39" t="s">
        <v>2312</v>
      </c>
      <c r="C935" s="39" t="s">
        <v>202</v>
      </c>
      <c r="D935" s="39" t="s">
        <v>2505</v>
      </c>
      <c r="E935" s="44" t="s">
        <v>2506</v>
      </c>
      <c r="F935" s="89" t="s">
        <v>2507</v>
      </c>
      <c r="G935" s="39"/>
      <c r="H935" s="39"/>
      <c r="I935" s="56"/>
      <c r="J935" s="40" t="s">
        <v>1698</v>
      </c>
      <c r="K935" s="40"/>
    </row>
    <row r="936" spans="1:11">
      <c r="A936" s="39">
        <f t="shared" si="14"/>
        <v>935</v>
      </c>
      <c r="B936" s="39" t="s">
        <v>2312</v>
      </c>
      <c r="C936" s="39" t="s">
        <v>202</v>
      </c>
      <c r="D936" s="39" t="s">
        <v>2508</v>
      </c>
      <c r="E936" s="44" t="s">
        <v>1107</v>
      </c>
      <c r="F936" s="89" t="s">
        <v>2509</v>
      </c>
      <c r="G936" s="39"/>
      <c r="H936" s="39"/>
      <c r="I936" s="56"/>
      <c r="J936" s="40" t="s">
        <v>1698</v>
      </c>
      <c r="K936" s="40"/>
    </row>
    <row r="937" spans="1:11">
      <c r="A937" s="39">
        <f t="shared" si="14"/>
        <v>936</v>
      </c>
      <c r="B937" s="39" t="s">
        <v>2312</v>
      </c>
      <c r="C937" s="39" t="s">
        <v>202</v>
      </c>
      <c r="D937" s="39" t="s">
        <v>2510</v>
      </c>
      <c r="E937" s="44" t="s">
        <v>2511</v>
      </c>
      <c r="F937" s="89" t="s">
        <v>2512</v>
      </c>
      <c r="G937" s="39"/>
      <c r="H937" s="39"/>
      <c r="I937" s="56"/>
      <c r="J937" s="40" t="s">
        <v>1698</v>
      </c>
      <c r="K937" s="40"/>
    </row>
    <row r="938" spans="1:11">
      <c r="A938" s="39">
        <f t="shared" si="14"/>
        <v>937</v>
      </c>
      <c r="B938" s="39" t="s">
        <v>2312</v>
      </c>
      <c r="C938" s="39" t="s">
        <v>202</v>
      </c>
      <c r="D938" s="39" t="s">
        <v>2513</v>
      </c>
      <c r="E938" s="44" t="s">
        <v>701</v>
      </c>
      <c r="F938" s="89" t="s">
        <v>2514</v>
      </c>
      <c r="G938" s="39"/>
      <c r="H938" s="39"/>
      <c r="I938" s="56"/>
      <c r="J938" s="40" t="s">
        <v>2466</v>
      </c>
      <c r="K938" s="40"/>
    </row>
    <row r="939" spans="1:11">
      <c r="A939" s="39">
        <f t="shared" si="14"/>
        <v>938</v>
      </c>
      <c r="B939" s="39" t="s">
        <v>2312</v>
      </c>
      <c r="C939" s="39" t="s">
        <v>202</v>
      </c>
      <c r="D939" s="39" t="s">
        <v>2515</v>
      </c>
      <c r="E939" s="44" t="s">
        <v>2516</v>
      </c>
      <c r="F939" s="89" t="s">
        <v>2517</v>
      </c>
      <c r="G939" s="39"/>
      <c r="H939" s="39"/>
      <c r="I939" s="56"/>
      <c r="J939" s="40" t="s">
        <v>1698</v>
      </c>
      <c r="K939" s="40"/>
    </row>
    <row r="940" spans="1:11">
      <c r="A940" s="39">
        <f t="shared" si="14"/>
        <v>939</v>
      </c>
      <c r="B940" s="39" t="s">
        <v>2312</v>
      </c>
      <c r="C940" s="39" t="s">
        <v>202</v>
      </c>
      <c r="D940" s="39" t="s">
        <v>2518</v>
      </c>
      <c r="E940" s="44" t="s">
        <v>1149</v>
      </c>
      <c r="F940" s="89" t="s">
        <v>2519</v>
      </c>
      <c r="G940" s="39"/>
      <c r="H940" s="39"/>
      <c r="I940" s="56"/>
      <c r="J940" s="40" t="s">
        <v>1698</v>
      </c>
      <c r="K940" s="40"/>
    </row>
    <row r="941" spans="1:11">
      <c r="A941" s="39">
        <f t="shared" si="14"/>
        <v>940</v>
      </c>
      <c r="B941" s="39" t="s">
        <v>2312</v>
      </c>
      <c r="C941" s="39" t="s">
        <v>202</v>
      </c>
      <c r="D941" s="39" t="s">
        <v>2520</v>
      </c>
      <c r="E941" s="44" t="s">
        <v>2521</v>
      </c>
      <c r="F941" s="89" t="s">
        <v>2522</v>
      </c>
      <c r="G941" s="39"/>
      <c r="H941" s="39"/>
      <c r="I941" s="56"/>
      <c r="J941" s="40" t="s">
        <v>1698</v>
      </c>
      <c r="K941" s="40"/>
    </row>
    <row r="942" spans="1:11">
      <c r="A942" s="39">
        <f t="shared" si="14"/>
        <v>941</v>
      </c>
      <c r="B942" s="39" t="s">
        <v>2312</v>
      </c>
      <c r="C942" s="39" t="s">
        <v>202</v>
      </c>
      <c r="D942" s="39" t="s">
        <v>2523</v>
      </c>
      <c r="E942" s="44" t="s">
        <v>2524</v>
      </c>
      <c r="F942" s="89" t="s">
        <v>2525</v>
      </c>
      <c r="G942" s="39"/>
      <c r="H942" s="39"/>
      <c r="I942" s="56"/>
      <c r="J942" s="40" t="s">
        <v>2466</v>
      </c>
      <c r="K942" s="40"/>
    </row>
    <row r="943" spans="1:11">
      <c r="A943" s="39">
        <f t="shared" si="14"/>
        <v>942</v>
      </c>
      <c r="B943" s="39" t="s">
        <v>2312</v>
      </c>
      <c r="C943" s="39" t="s">
        <v>202</v>
      </c>
      <c r="D943" s="39" t="s">
        <v>2526</v>
      </c>
      <c r="E943" s="44" t="s">
        <v>707</v>
      </c>
      <c r="F943" s="89" t="s">
        <v>2527</v>
      </c>
      <c r="G943" s="39"/>
      <c r="H943" s="39"/>
      <c r="I943" s="56"/>
      <c r="J943" s="40" t="s">
        <v>2466</v>
      </c>
      <c r="K943" s="40"/>
    </row>
    <row r="944" spans="1:11">
      <c r="A944" s="39">
        <f t="shared" si="14"/>
        <v>943</v>
      </c>
      <c r="B944" s="39" t="s">
        <v>2312</v>
      </c>
      <c r="C944" s="39" t="s">
        <v>202</v>
      </c>
      <c r="D944" s="39" t="s">
        <v>2528</v>
      </c>
      <c r="E944" s="44" t="s">
        <v>1161</v>
      </c>
      <c r="F944" s="89" t="s">
        <v>2529</v>
      </c>
      <c r="G944" s="39"/>
      <c r="H944" s="39"/>
      <c r="I944" s="56"/>
      <c r="J944" s="40" t="s">
        <v>2466</v>
      </c>
      <c r="K944" s="40"/>
    </row>
    <row r="945" spans="1:11">
      <c r="A945" s="39">
        <f t="shared" si="14"/>
        <v>944</v>
      </c>
      <c r="B945" s="39" t="s">
        <v>2312</v>
      </c>
      <c r="C945" s="39" t="s">
        <v>202</v>
      </c>
      <c r="D945" s="39" t="s">
        <v>2530</v>
      </c>
      <c r="E945" s="44" t="s">
        <v>2531</v>
      </c>
      <c r="F945" s="89" t="s">
        <v>2532</v>
      </c>
      <c r="G945" s="39"/>
      <c r="H945" s="39"/>
      <c r="I945" s="56"/>
      <c r="J945" s="40" t="s">
        <v>2466</v>
      </c>
      <c r="K945" s="40"/>
    </row>
    <row r="946" spans="1:11">
      <c r="A946" s="39">
        <f t="shared" si="14"/>
        <v>945</v>
      </c>
      <c r="B946" s="39" t="s">
        <v>2312</v>
      </c>
      <c r="C946" s="39" t="s">
        <v>202</v>
      </c>
      <c r="D946" s="39" t="s">
        <v>2533</v>
      </c>
      <c r="E946" s="44" t="s">
        <v>2534</v>
      </c>
      <c r="F946" s="89" t="s">
        <v>2535</v>
      </c>
      <c r="G946" s="39"/>
      <c r="H946" s="39"/>
      <c r="I946" s="56"/>
      <c r="J946" s="40" t="s">
        <v>2466</v>
      </c>
      <c r="K946" s="40"/>
    </row>
    <row r="947" spans="1:11">
      <c r="A947" s="39">
        <f t="shared" si="14"/>
        <v>946</v>
      </c>
      <c r="B947" s="39" t="s">
        <v>2312</v>
      </c>
      <c r="C947" s="39" t="s">
        <v>202</v>
      </c>
      <c r="D947" s="39" t="s">
        <v>2536</v>
      </c>
      <c r="E947" s="44" t="s">
        <v>2537</v>
      </c>
      <c r="F947" s="89" t="s">
        <v>2538</v>
      </c>
      <c r="G947" s="39"/>
      <c r="H947" s="39"/>
      <c r="I947" s="56"/>
      <c r="J947" s="40" t="s">
        <v>2466</v>
      </c>
      <c r="K947" s="40"/>
    </row>
    <row r="948" spans="1:11">
      <c r="A948" s="39">
        <f t="shared" si="14"/>
        <v>947</v>
      </c>
      <c r="B948" s="39" t="s">
        <v>2312</v>
      </c>
      <c r="C948" s="39" t="s">
        <v>202</v>
      </c>
      <c r="D948" s="39" t="s">
        <v>2539</v>
      </c>
      <c r="E948" s="44" t="s">
        <v>2540</v>
      </c>
      <c r="F948" s="89" t="s">
        <v>2519</v>
      </c>
      <c r="G948" s="39"/>
      <c r="H948" s="39"/>
      <c r="I948" s="56"/>
      <c r="J948" s="40" t="s">
        <v>1698</v>
      </c>
      <c r="K948" s="40"/>
    </row>
    <row r="949" spans="1:11">
      <c r="A949" s="39">
        <f t="shared" si="14"/>
        <v>948</v>
      </c>
      <c r="B949" s="39" t="s">
        <v>2312</v>
      </c>
      <c r="C949" s="39" t="s">
        <v>340</v>
      </c>
      <c r="D949" s="39" t="s">
        <v>2541</v>
      </c>
      <c r="E949" s="44" t="s">
        <v>2541</v>
      </c>
      <c r="F949" s="89" t="s">
        <v>2542</v>
      </c>
      <c r="G949" s="39"/>
      <c r="H949" s="39"/>
      <c r="I949" s="56"/>
      <c r="J949" s="40" t="s">
        <v>444</v>
      </c>
      <c r="K949" s="40"/>
    </row>
    <row r="950" spans="1:11">
      <c r="A950" s="39">
        <f t="shared" si="14"/>
        <v>949</v>
      </c>
      <c r="B950" s="39" t="s">
        <v>2312</v>
      </c>
      <c r="C950" s="39" t="s">
        <v>2543</v>
      </c>
      <c r="D950" s="39" t="s">
        <v>2544</v>
      </c>
      <c r="E950" s="44" t="s">
        <v>2545</v>
      </c>
      <c r="F950" s="39"/>
      <c r="G950" s="39"/>
      <c r="H950" s="39"/>
      <c r="I950" s="56"/>
      <c r="J950" s="40" t="s">
        <v>2351</v>
      </c>
      <c r="K950" s="40" t="s">
        <v>774</v>
      </c>
    </row>
    <row r="951" spans="1:11">
      <c r="A951" s="39">
        <f t="shared" si="14"/>
        <v>950</v>
      </c>
      <c r="B951" s="39" t="s">
        <v>2312</v>
      </c>
      <c r="C951" s="39" t="s">
        <v>271</v>
      </c>
      <c r="D951" s="39" t="s">
        <v>2546</v>
      </c>
      <c r="E951" s="44" t="s">
        <v>2547</v>
      </c>
      <c r="F951" s="39" t="s">
        <v>2548</v>
      </c>
      <c r="G951" s="39"/>
      <c r="H951" s="39"/>
      <c r="I951" s="56"/>
      <c r="J951" s="40" t="s">
        <v>774</v>
      </c>
      <c r="K951" s="40" t="s">
        <v>806</v>
      </c>
    </row>
    <row r="952" spans="1:11">
      <c r="A952" s="39">
        <f t="shared" si="14"/>
        <v>951</v>
      </c>
      <c r="B952" s="39" t="s">
        <v>2312</v>
      </c>
      <c r="C952" s="39" t="s">
        <v>271</v>
      </c>
      <c r="D952" s="39" t="s">
        <v>2549</v>
      </c>
      <c r="E952" s="44" t="s">
        <v>2550</v>
      </c>
      <c r="F952" s="39"/>
      <c r="G952" s="39"/>
      <c r="H952" s="39"/>
      <c r="I952" s="56"/>
      <c r="J952" s="40" t="s">
        <v>774</v>
      </c>
      <c r="K952" s="40" t="s">
        <v>806</v>
      </c>
    </row>
    <row r="953" spans="1:11">
      <c r="A953" s="39">
        <f t="shared" si="14"/>
        <v>952</v>
      </c>
      <c r="B953" s="39" t="s">
        <v>2312</v>
      </c>
      <c r="C953" s="39" t="s">
        <v>271</v>
      </c>
      <c r="D953" s="39" t="s">
        <v>2551</v>
      </c>
      <c r="E953" s="44" t="s">
        <v>2552</v>
      </c>
      <c r="F953" s="39"/>
      <c r="G953" s="39"/>
      <c r="H953" s="39"/>
      <c r="I953" s="56"/>
      <c r="J953" s="40" t="s">
        <v>774</v>
      </c>
      <c r="K953" s="40" t="s">
        <v>806</v>
      </c>
    </row>
    <row r="954" spans="1:11">
      <c r="A954" s="39">
        <f t="shared" si="14"/>
        <v>953</v>
      </c>
      <c r="B954" s="39" t="s">
        <v>2312</v>
      </c>
      <c r="C954" s="39" t="s">
        <v>271</v>
      </c>
      <c r="D954" s="39" t="s">
        <v>2553</v>
      </c>
      <c r="E954" s="44" t="s">
        <v>2554</v>
      </c>
      <c r="F954" s="39"/>
      <c r="G954" s="39"/>
      <c r="H954" s="39"/>
      <c r="I954" s="56"/>
      <c r="J954" s="40" t="s">
        <v>774</v>
      </c>
      <c r="K954" s="40" t="s">
        <v>806</v>
      </c>
    </row>
    <row r="955" spans="1:11">
      <c r="A955" s="39">
        <f t="shared" si="14"/>
        <v>954</v>
      </c>
      <c r="B955" s="39" t="s">
        <v>2312</v>
      </c>
      <c r="C955" s="39" t="s">
        <v>271</v>
      </c>
      <c r="D955" s="39" t="s">
        <v>2555</v>
      </c>
      <c r="E955" s="44" t="s">
        <v>749</v>
      </c>
      <c r="F955" s="39" t="s">
        <v>2556</v>
      </c>
      <c r="G955" s="39"/>
      <c r="H955" s="39"/>
      <c r="I955" s="56"/>
      <c r="J955" s="40" t="s">
        <v>774</v>
      </c>
      <c r="K955" s="40" t="s">
        <v>806</v>
      </c>
    </row>
    <row r="956" spans="1:11">
      <c r="A956" s="39">
        <f t="shared" si="14"/>
        <v>955</v>
      </c>
      <c r="B956" s="39" t="s">
        <v>2312</v>
      </c>
      <c r="C956" s="39" t="s">
        <v>271</v>
      </c>
      <c r="D956" s="39" t="s">
        <v>2557</v>
      </c>
      <c r="E956" s="44" t="s">
        <v>2558</v>
      </c>
      <c r="F956" s="39"/>
      <c r="G956" s="39"/>
      <c r="H956" s="39"/>
      <c r="I956" s="56"/>
      <c r="J956" s="40" t="s">
        <v>774</v>
      </c>
      <c r="K956" s="40" t="s">
        <v>806</v>
      </c>
    </row>
    <row r="957" spans="1:11">
      <c r="A957" s="39">
        <f t="shared" si="14"/>
        <v>956</v>
      </c>
      <c r="B957" s="39" t="s">
        <v>2312</v>
      </c>
      <c r="C957" s="39" t="s">
        <v>271</v>
      </c>
      <c r="D957" s="39" t="s">
        <v>2559</v>
      </c>
      <c r="E957" s="44" t="s">
        <v>771</v>
      </c>
      <c r="F957" s="39"/>
      <c r="G957" s="39"/>
      <c r="H957" s="39"/>
      <c r="I957" s="56"/>
      <c r="J957" s="40" t="s">
        <v>774</v>
      </c>
      <c r="K957" s="40" t="s">
        <v>806</v>
      </c>
    </row>
    <row r="958" spans="1:11">
      <c r="A958" s="39">
        <f t="shared" si="14"/>
        <v>957</v>
      </c>
      <c r="B958" s="39" t="s">
        <v>2312</v>
      </c>
      <c r="C958" s="39" t="s">
        <v>271</v>
      </c>
      <c r="D958" s="39" t="s">
        <v>2560</v>
      </c>
      <c r="E958" s="44" t="s">
        <v>2561</v>
      </c>
      <c r="F958" s="39"/>
      <c r="G958" s="39"/>
      <c r="H958" s="39"/>
      <c r="I958" s="56"/>
      <c r="J958" s="40" t="s">
        <v>774</v>
      </c>
      <c r="K958" s="40" t="s">
        <v>806</v>
      </c>
    </row>
    <row r="959" spans="1:11">
      <c r="A959" s="39">
        <f t="shared" si="14"/>
        <v>958</v>
      </c>
      <c r="B959" s="39" t="s">
        <v>2312</v>
      </c>
      <c r="C959" s="39" t="s">
        <v>271</v>
      </c>
      <c r="D959" s="39" t="s">
        <v>2562</v>
      </c>
      <c r="E959" s="44" t="s">
        <v>2563</v>
      </c>
      <c r="F959" s="39"/>
      <c r="G959" s="39"/>
      <c r="H959" s="39"/>
      <c r="I959" s="56"/>
      <c r="J959" s="40" t="s">
        <v>774</v>
      </c>
      <c r="K959" s="40" t="s">
        <v>806</v>
      </c>
    </row>
    <row r="960" spans="1:11">
      <c r="A960" s="39">
        <f t="shared" si="14"/>
        <v>959</v>
      </c>
      <c r="B960" s="39" t="s">
        <v>2312</v>
      </c>
      <c r="C960" s="39" t="s">
        <v>271</v>
      </c>
      <c r="D960" s="39" t="s">
        <v>2564</v>
      </c>
      <c r="E960" s="44" t="s">
        <v>786</v>
      </c>
      <c r="F960" s="39"/>
      <c r="G960" s="39"/>
      <c r="H960" s="39"/>
      <c r="I960" s="56"/>
      <c r="J960" s="40" t="s">
        <v>774</v>
      </c>
      <c r="K960" s="40" t="s">
        <v>806</v>
      </c>
    </row>
    <row r="961" spans="1:11">
      <c r="A961" s="39">
        <f t="shared" si="14"/>
        <v>960</v>
      </c>
      <c r="B961" s="39" t="s">
        <v>2312</v>
      </c>
      <c r="C961" s="39" t="s">
        <v>271</v>
      </c>
      <c r="D961" s="39" t="s">
        <v>2565</v>
      </c>
      <c r="E961" s="44" t="s">
        <v>2566</v>
      </c>
      <c r="F961" s="39"/>
      <c r="G961" s="39"/>
      <c r="H961" s="39"/>
      <c r="I961" s="56"/>
      <c r="J961" s="40" t="s">
        <v>957</v>
      </c>
      <c r="K961" s="40" t="s">
        <v>774</v>
      </c>
    </row>
    <row r="962" spans="1:11">
      <c r="A962" s="39">
        <f t="shared" si="14"/>
        <v>961</v>
      </c>
      <c r="B962" s="39" t="s">
        <v>2312</v>
      </c>
      <c r="C962" s="39" t="s">
        <v>271</v>
      </c>
      <c r="D962" s="39" t="s">
        <v>2567</v>
      </c>
      <c r="E962" s="44" t="s">
        <v>789</v>
      </c>
      <c r="F962" s="39"/>
      <c r="G962" s="39"/>
      <c r="H962" s="39"/>
      <c r="I962" s="56"/>
      <c r="J962" s="40" t="s">
        <v>957</v>
      </c>
      <c r="K962" s="40" t="s">
        <v>774</v>
      </c>
    </row>
    <row r="963" spans="1:11">
      <c r="A963" s="39">
        <f t="shared" ref="A963:A1026" si="15">ROW()-1</f>
        <v>962</v>
      </c>
      <c r="B963" s="39" t="s">
        <v>2312</v>
      </c>
      <c r="C963" s="39" t="s">
        <v>271</v>
      </c>
      <c r="D963" s="39" t="s">
        <v>2568</v>
      </c>
      <c r="E963" s="44" t="s">
        <v>2569</v>
      </c>
      <c r="F963" s="39"/>
      <c r="G963" s="39"/>
      <c r="H963" s="39"/>
      <c r="I963" s="56"/>
      <c r="J963" s="40" t="s">
        <v>957</v>
      </c>
      <c r="K963" s="40" t="s">
        <v>774</v>
      </c>
    </row>
    <row r="964" spans="1:11">
      <c r="A964" s="39">
        <f t="shared" si="15"/>
        <v>963</v>
      </c>
      <c r="B964" s="39" t="s">
        <v>2312</v>
      </c>
      <c r="C964" s="39" t="s">
        <v>271</v>
      </c>
      <c r="D964" s="39" t="s">
        <v>2570</v>
      </c>
      <c r="E964" s="44" t="s">
        <v>2571</v>
      </c>
      <c r="F964" s="39"/>
      <c r="G964" s="39"/>
      <c r="H964" s="39"/>
      <c r="I964" s="56"/>
      <c r="J964" s="40" t="s">
        <v>774</v>
      </c>
      <c r="K964" s="40" t="s">
        <v>806</v>
      </c>
    </row>
    <row r="965" spans="1:11">
      <c r="A965" s="39">
        <f t="shared" si="15"/>
        <v>964</v>
      </c>
      <c r="B965" s="39" t="s">
        <v>2312</v>
      </c>
      <c r="C965" s="39" t="s">
        <v>271</v>
      </c>
      <c r="D965" s="39" t="s">
        <v>2572</v>
      </c>
      <c r="E965" s="44" t="s">
        <v>799</v>
      </c>
      <c r="F965" s="39"/>
      <c r="G965" s="39"/>
      <c r="H965" s="39"/>
      <c r="I965" s="56"/>
      <c r="J965" s="40" t="s">
        <v>957</v>
      </c>
      <c r="K965" s="40" t="s">
        <v>774</v>
      </c>
    </row>
    <row r="966" spans="1:11">
      <c r="A966" s="39">
        <f t="shared" si="15"/>
        <v>965</v>
      </c>
      <c r="B966" s="39" t="s">
        <v>2312</v>
      </c>
      <c r="C966" s="39" t="s">
        <v>271</v>
      </c>
      <c r="D966" s="39" t="s">
        <v>2573</v>
      </c>
      <c r="E966" s="44" t="s">
        <v>1198</v>
      </c>
      <c r="F966" s="39"/>
      <c r="G966" s="39"/>
      <c r="H966" s="39"/>
      <c r="I966" s="56"/>
      <c r="J966" s="40" t="s">
        <v>957</v>
      </c>
      <c r="K966" s="40" t="s">
        <v>774</v>
      </c>
    </row>
    <row r="967" spans="1:11">
      <c r="A967" s="39">
        <f t="shared" si="15"/>
        <v>966</v>
      </c>
      <c r="B967" s="39" t="s">
        <v>2312</v>
      </c>
      <c r="C967" s="39" t="s">
        <v>271</v>
      </c>
      <c r="D967" s="39" t="s">
        <v>2574</v>
      </c>
      <c r="E967" s="44" t="s">
        <v>795</v>
      </c>
      <c r="F967" s="39"/>
      <c r="G967" s="39"/>
      <c r="H967" s="39"/>
      <c r="I967" s="56"/>
      <c r="J967" s="40" t="s">
        <v>774</v>
      </c>
      <c r="K967" s="40" t="s">
        <v>806</v>
      </c>
    </row>
    <row r="968" spans="1:11">
      <c r="A968" s="39">
        <f t="shared" si="15"/>
        <v>967</v>
      </c>
      <c r="B968" s="39" t="s">
        <v>2312</v>
      </c>
      <c r="C968" s="39" t="s">
        <v>271</v>
      </c>
      <c r="D968" s="39" t="s">
        <v>2575</v>
      </c>
      <c r="E968" s="44" t="s">
        <v>829</v>
      </c>
      <c r="F968" s="39"/>
      <c r="G968" s="39"/>
      <c r="H968" s="39"/>
      <c r="I968" s="56"/>
      <c r="J968" s="40" t="s">
        <v>774</v>
      </c>
      <c r="K968" s="40" t="s">
        <v>806</v>
      </c>
    </row>
    <row r="969" spans="1:11">
      <c r="A969" s="39">
        <f t="shared" si="15"/>
        <v>968</v>
      </c>
      <c r="B969" s="39" t="s">
        <v>2312</v>
      </c>
      <c r="C969" s="39" t="s">
        <v>271</v>
      </c>
      <c r="D969" s="39" t="s">
        <v>2576</v>
      </c>
      <c r="E969" s="44" t="s">
        <v>2577</v>
      </c>
      <c r="F969" s="39"/>
      <c r="G969" s="39"/>
      <c r="H969" s="39"/>
      <c r="I969" s="56"/>
      <c r="J969" s="40" t="s">
        <v>957</v>
      </c>
      <c r="K969" s="40" t="s">
        <v>774</v>
      </c>
    </row>
    <row r="970" spans="1:11">
      <c r="A970" s="39">
        <f t="shared" si="15"/>
        <v>969</v>
      </c>
      <c r="B970" s="39" t="s">
        <v>2312</v>
      </c>
      <c r="C970" s="39" t="s">
        <v>271</v>
      </c>
      <c r="D970" s="39" t="s">
        <v>2578</v>
      </c>
      <c r="E970" s="44" t="s">
        <v>819</v>
      </c>
      <c r="F970" s="39"/>
      <c r="G970" s="39"/>
      <c r="H970" s="39"/>
      <c r="I970" s="56"/>
      <c r="J970" s="40" t="s">
        <v>957</v>
      </c>
      <c r="K970" s="40" t="s">
        <v>774</v>
      </c>
    </row>
    <row r="971" spans="1:11">
      <c r="A971" s="39">
        <f t="shared" si="15"/>
        <v>970</v>
      </c>
      <c r="B971" s="39" t="s">
        <v>2312</v>
      </c>
      <c r="C971" s="39" t="s">
        <v>271</v>
      </c>
      <c r="D971" s="39" t="s">
        <v>2579</v>
      </c>
      <c r="E971" s="44" t="s">
        <v>2580</v>
      </c>
      <c r="F971" s="39"/>
      <c r="G971" s="39"/>
      <c r="H971" s="39"/>
      <c r="I971" s="56"/>
      <c r="J971" s="40" t="s">
        <v>957</v>
      </c>
      <c r="K971" s="40" t="s">
        <v>774</v>
      </c>
    </row>
    <row r="972" spans="1:11">
      <c r="A972" s="39">
        <f t="shared" si="15"/>
        <v>971</v>
      </c>
      <c r="B972" s="39" t="s">
        <v>2312</v>
      </c>
      <c r="C972" s="39" t="s">
        <v>271</v>
      </c>
      <c r="D972" s="39" t="s">
        <v>2581</v>
      </c>
      <c r="E972" s="44" t="s">
        <v>825</v>
      </c>
      <c r="F972" s="39"/>
      <c r="G972" s="39"/>
      <c r="H972" s="39"/>
      <c r="I972" s="56"/>
      <c r="J972" s="40" t="s">
        <v>957</v>
      </c>
      <c r="K972" s="40" t="s">
        <v>774</v>
      </c>
    </row>
    <row r="973" spans="1:11">
      <c r="A973" s="39">
        <f t="shared" si="15"/>
        <v>972</v>
      </c>
      <c r="B973" s="39" t="s">
        <v>2312</v>
      </c>
      <c r="C973" s="39" t="s">
        <v>271</v>
      </c>
      <c r="D973" s="39" t="s">
        <v>2582</v>
      </c>
      <c r="E973" s="44" t="s">
        <v>2583</v>
      </c>
      <c r="F973" s="39"/>
      <c r="G973" s="39"/>
      <c r="H973" s="39"/>
      <c r="I973" s="56"/>
      <c r="J973" s="40" t="s">
        <v>957</v>
      </c>
      <c r="K973" s="40" t="s">
        <v>774</v>
      </c>
    </row>
    <row r="974" spans="1:11">
      <c r="A974" s="39">
        <f t="shared" si="15"/>
        <v>973</v>
      </c>
      <c r="B974" s="39" t="s">
        <v>2312</v>
      </c>
      <c r="C974" s="39" t="s">
        <v>2584</v>
      </c>
      <c r="D974" s="39" t="s">
        <v>2585</v>
      </c>
      <c r="E974" s="44" t="s">
        <v>1194</v>
      </c>
      <c r="F974" s="39"/>
      <c r="G974" s="39"/>
      <c r="H974" s="39"/>
      <c r="I974" s="56"/>
      <c r="J974" s="40" t="s">
        <v>774</v>
      </c>
      <c r="K974" s="40" t="s">
        <v>806</v>
      </c>
    </row>
    <row r="975" spans="1:11">
      <c r="A975" s="39">
        <f t="shared" si="15"/>
        <v>974</v>
      </c>
      <c r="B975" s="39" t="s">
        <v>2312</v>
      </c>
      <c r="C975" s="39" t="s">
        <v>1970</v>
      </c>
      <c r="D975" s="39" t="s">
        <v>2586</v>
      </c>
      <c r="E975" s="44" t="s">
        <v>2587</v>
      </c>
      <c r="F975" s="39"/>
      <c r="G975" s="39"/>
      <c r="H975" s="39"/>
      <c r="I975" s="56"/>
      <c r="J975" s="40" t="s">
        <v>739</v>
      </c>
      <c r="K975" s="40" t="s">
        <v>2588</v>
      </c>
    </row>
    <row r="976" spans="1:11">
      <c r="A976" s="39">
        <f t="shared" si="15"/>
        <v>975</v>
      </c>
      <c r="B976" s="39" t="s">
        <v>2312</v>
      </c>
      <c r="C976" s="39" t="s">
        <v>1970</v>
      </c>
      <c r="D976" s="39" t="s">
        <v>2589</v>
      </c>
      <c r="E976" s="44" t="s">
        <v>2590</v>
      </c>
      <c r="F976" s="39"/>
      <c r="G976" s="39"/>
      <c r="H976" s="39"/>
      <c r="I976" s="56"/>
      <c r="J976" s="40" t="s">
        <v>739</v>
      </c>
      <c r="K976" s="40" t="s">
        <v>2588</v>
      </c>
    </row>
    <row r="977" spans="1:11">
      <c r="A977" s="39">
        <f t="shared" si="15"/>
        <v>976</v>
      </c>
      <c r="B977" s="39" t="s">
        <v>2312</v>
      </c>
      <c r="C977" s="39" t="s">
        <v>1970</v>
      </c>
      <c r="D977" s="39" t="s">
        <v>2591</v>
      </c>
      <c r="E977" s="44" t="s">
        <v>2592</v>
      </c>
      <c r="F977" s="39"/>
      <c r="G977" s="39"/>
      <c r="H977" s="39"/>
      <c r="I977" s="56"/>
      <c r="J977" s="40" t="s">
        <v>740</v>
      </c>
      <c r="K977" s="40" t="s">
        <v>774</v>
      </c>
    </row>
    <row r="978" spans="1:11">
      <c r="A978" s="39">
        <f t="shared" si="15"/>
        <v>977</v>
      </c>
      <c r="B978" s="39" t="s">
        <v>2312</v>
      </c>
      <c r="C978" s="39" t="s">
        <v>1970</v>
      </c>
      <c r="D978" s="39" t="s">
        <v>2593</v>
      </c>
      <c r="E978" s="44" t="s">
        <v>2594</v>
      </c>
      <c r="F978" s="39"/>
      <c r="G978" s="39"/>
      <c r="H978" s="39"/>
      <c r="I978" s="56"/>
      <c r="J978" s="40" t="s">
        <v>740</v>
      </c>
      <c r="K978" s="40" t="s">
        <v>774</v>
      </c>
    </row>
    <row r="979" spans="1:11">
      <c r="A979" s="39">
        <f t="shared" si="15"/>
        <v>978</v>
      </c>
      <c r="B979" s="39" t="s">
        <v>2312</v>
      </c>
      <c r="C979" s="39" t="s">
        <v>1970</v>
      </c>
      <c r="D979" s="39" t="s">
        <v>2595</v>
      </c>
      <c r="E979" s="44" t="s">
        <v>2596</v>
      </c>
      <c r="F979" s="39"/>
      <c r="G979" s="39"/>
      <c r="H979" s="39"/>
      <c r="I979" s="56"/>
      <c r="J979" s="40" t="s">
        <v>740</v>
      </c>
      <c r="K979" s="40" t="s">
        <v>774</v>
      </c>
    </row>
    <row r="980" spans="1:11">
      <c r="A980" s="39">
        <f t="shared" si="15"/>
        <v>979</v>
      </c>
      <c r="B980" s="39" t="s">
        <v>2312</v>
      </c>
      <c r="C980" s="39" t="s">
        <v>1970</v>
      </c>
      <c r="D980" s="39" t="s">
        <v>2597</v>
      </c>
      <c r="E980" s="44" t="s">
        <v>2598</v>
      </c>
      <c r="F980" s="39"/>
      <c r="G980" s="39"/>
      <c r="H980" s="39"/>
      <c r="I980" s="56"/>
      <c r="J980" s="40" t="s">
        <v>2466</v>
      </c>
      <c r="K980" s="40"/>
    </row>
    <row r="981" spans="1:11">
      <c r="A981" s="39">
        <f t="shared" si="15"/>
        <v>980</v>
      </c>
      <c r="B981" s="39" t="s">
        <v>2312</v>
      </c>
      <c r="C981" s="39" t="s">
        <v>1970</v>
      </c>
      <c r="D981" s="39" t="s">
        <v>2599</v>
      </c>
      <c r="E981" s="44" t="s">
        <v>2600</v>
      </c>
      <c r="F981" s="39"/>
      <c r="G981" s="39"/>
      <c r="H981" s="39"/>
      <c r="I981" s="56"/>
      <c r="J981" s="40" t="s">
        <v>2466</v>
      </c>
      <c r="K981" s="40"/>
    </row>
    <row r="982" spans="1:11">
      <c r="A982" s="39">
        <f t="shared" si="15"/>
        <v>981</v>
      </c>
      <c r="B982" s="39" t="s">
        <v>2312</v>
      </c>
      <c r="C982" s="39" t="s">
        <v>1970</v>
      </c>
      <c r="D982" s="39" t="s">
        <v>2601</v>
      </c>
      <c r="E982" s="44" t="s">
        <v>2602</v>
      </c>
      <c r="F982" s="39"/>
      <c r="G982" s="39"/>
      <c r="H982" s="39"/>
      <c r="I982" s="56"/>
      <c r="J982" s="40" t="s">
        <v>2466</v>
      </c>
      <c r="K982" s="40"/>
    </row>
    <row r="983" spans="1:11">
      <c r="A983" s="39">
        <f t="shared" si="15"/>
        <v>982</v>
      </c>
      <c r="B983" s="39" t="s">
        <v>2312</v>
      </c>
      <c r="C983" s="39" t="s">
        <v>1970</v>
      </c>
      <c r="D983" s="39" t="s">
        <v>2603</v>
      </c>
      <c r="E983" s="44" t="s">
        <v>2604</v>
      </c>
      <c r="F983" s="39"/>
      <c r="G983" s="39"/>
      <c r="H983" s="39"/>
      <c r="I983" s="56"/>
      <c r="J983" s="40" t="s">
        <v>2466</v>
      </c>
      <c r="K983" s="40"/>
    </row>
    <row r="984" spans="1:11">
      <c r="A984" s="39">
        <f t="shared" si="15"/>
        <v>983</v>
      </c>
      <c r="B984" s="39" t="s">
        <v>2312</v>
      </c>
      <c r="C984" s="39" t="s">
        <v>1970</v>
      </c>
      <c r="D984" s="39" t="s">
        <v>2605</v>
      </c>
      <c r="E984" s="44" t="s">
        <v>2606</v>
      </c>
      <c r="F984" s="39"/>
      <c r="G984" s="39"/>
      <c r="H984" s="39"/>
      <c r="I984" s="56"/>
      <c r="J984" s="40" t="s">
        <v>2466</v>
      </c>
      <c r="K984" s="40"/>
    </row>
    <row r="985" spans="1:11">
      <c r="A985" s="39">
        <f t="shared" si="15"/>
        <v>984</v>
      </c>
      <c r="B985" s="39" t="s">
        <v>2312</v>
      </c>
      <c r="C985" s="39" t="s">
        <v>1970</v>
      </c>
      <c r="D985" s="39" t="s">
        <v>2607</v>
      </c>
      <c r="E985" s="44" t="s">
        <v>1832</v>
      </c>
      <c r="F985" s="39"/>
      <c r="G985" s="39"/>
      <c r="H985" s="39"/>
      <c r="I985" s="56"/>
      <c r="J985" s="40" t="s">
        <v>2466</v>
      </c>
      <c r="K985" s="40"/>
    </row>
    <row r="986" spans="1:11">
      <c r="A986" s="39">
        <f t="shared" si="15"/>
        <v>985</v>
      </c>
      <c r="B986" s="39" t="s">
        <v>2312</v>
      </c>
      <c r="C986" s="39" t="s">
        <v>1970</v>
      </c>
      <c r="D986" s="39" t="s">
        <v>2608</v>
      </c>
      <c r="E986" s="44" t="s">
        <v>1477</v>
      </c>
      <c r="F986" s="39"/>
      <c r="G986" s="39"/>
      <c r="H986" s="39"/>
      <c r="I986" s="56"/>
      <c r="J986" s="40" t="s">
        <v>2466</v>
      </c>
      <c r="K986" s="40"/>
    </row>
    <row r="987" spans="1:11">
      <c r="A987" s="39">
        <f t="shared" si="15"/>
        <v>986</v>
      </c>
      <c r="B987" s="39" t="s">
        <v>2312</v>
      </c>
      <c r="C987" s="39" t="s">
        <v>1970</v>
      </c>
      <c r="D987" s="39" t="s">
        <v>2609</v>
      </c>
      <c r="E987" s="44" t="s">
        <v>2610</v>
      </c>
      <c r="F987" s="39"/>
      <c r="G987" s="39"/>
      <c r="H987" s="39"/>
      <c r="I987" s="56"/>
      <c r="J987" s="40" t="s">
        <v>2466</v>
      </c>
      <c r="K987" s="40"/>
    </row>
    <row r="988" spans="1:11">
      <c r="A988" s="39">
        <f t="shared" si="15"/>
        <v>987</v>
      </c>
      <c r="B988" s="39" t="s">
        <v>2312</v>
      </c>
      <c r="C988" s="39" t="s">
        <v>1970</v>
      </c>
      <c r="D988" s="39" t="s">
        <v>2611</v>
      </c>
      <c r="E988" s="44" t="s">
        <v>2612</v>
      </c>
      <c r="F988" s="39"/>
      <c r="G988" s="39"/>
      <c r="H988" s="39"/>
      <c r="I988" s="56"/>
      <c r="J988" s="40" t="s">
        <v>740</v>
      </c>
      <c r="K988" s="40" t="s">
        <v>774</v>
      </c>
    </row>
    <row r="989" spans="1:11">
      <c r="A989" s="39">
        <f t="shared" si="15"/>
        <v>988</v>
      </c>
      <c r="B989" s="39" t="s">
        <v>2312</v>
      </c>
      <c r="C989" s="39" t="s">
        <v>1970</v>
      </c>
      <c r="D989" s="39" t="s">
        <v>2613</v>
      </c>
      <c r="E989" s="44" t="s">
        <v>2614</v>
      </c>
      <c r="F989" s="39"/>
      <c r="G989" s="39"/>
      <c r="H989" s="39"/>
      <c r="I989" s="56"/>
      <c r="J989" s="40" t="s">
        <v>740</v>
      </c>
      <c r="K989" s="40" t="s">
        <v>774</v>
      </c>
    </row>
    <row r="990" spans="1:11">
      <c r="A990" s="39">
        <f t="shared" si="15"/>
        <v>989</v>
      </c>
      <c r="B990" s="39" t="s">
        <v>2312</v>
      </c>
      <c r="C990" s="39" t="s">
        <v>1970</v>
      </c>
      <c r="D990" s="39" t="s">
        <v>2615</v>
      </c>
      <c r="E990" s="44" t="s">
        <v>2616</v>
      </c>
      <c r="F990" s="39"/>
      <c r="G990" s="39"/>
      <c r="H990" s="39"/>
      <c r="I990" s="56"/>
      <c r="J990" s="40" t="s">
        <v>2466</v>
      </c>
      <c r="K990" s="40"/>
    </row>
    <row r="991" spans="1:11">
      <c r="A991" s="39">
        <f t="shared" si="15"/>
        <v>990</v>
      </c>
      <c r="B991" s="39" t="s">
        <v>2312</v>
      </c>
      <c r="C991" s="39" t="s">
        <v>1970</v>
      </c>
      <c r="D991" s="39" t="s">
        <v>2617</v>
      </c>
      <c r="E991" s="44" t="s">
        <v>881</v>
      </c>
      <c r="F991" s="39"/>
      <c r="G991" s="39"/>
      <c r="H991" s="39"/>
      <c r="I991" s="56"/>
      <c r="J991" s="40" t="s">
        <v>740</v>
      </c>
      <c r="K991" s="40" t="s">
        <v>774</v>
      </c>
    </row>
    <row r="992" spans="1:11">
      <c r="A992" s="39">
        <f t="shared" si="15"/>
        <v>991</v>
      </c>
      <c r="B992" s="39" t="s">
        <v>2312</v>
      </c>
      <c r="C992" s="39" t="s">
        <v>1970</v>
      </c>
      <c r="D992" s="39" t="s">
        <v>2618</v>
      </c>
      <c r="E992" s="44" t="s">
        <v>894</v>
      </c>
      <c r="F992" s="39"/>
      <c r="G992" s="39"/>
      <c r="H992" s="39"/>
      <c r="I992" s="56"/>
      <c r="J992" s="40" t="s">
        <v>957</v>
      </c>
      <c r="K992" s="40" t="s">
        <v>774</v>
      </c>
    </row>
    <row r="993" spans="1:11">
      <c r="A993" s="39">
        <f t="shared" si="15"/>
        <v>992</v>
      </c>
      <c r="B993" s="39" t="s">
        <v>2312</v>
      </c>
      <c r="C993" s="39" t="s">
        <v>1970</v>
      </c>
      <c r="D993" s="39" t="s">
        <v>2619</v>
      </c>
      <c r="E993" s="44" t="s">
        <v>891</v>
      </c>
      <c r="F993" s="39"/>
      <c r="G993" s="39"/>
      <c r="H993" s="39"/>
      <c r="I993" s="56"/>
      <c r="J993" s="40" t="s">
        <v>740</v>
      </c>
      <c r="K993" s="40" t="s">
        <v>774</v>
      </c>
    </row>
    <row r="994" spans="1:11">
      <c r="A994" s="39">
        <f t="shared" si="15"/>
        <v>993</v>
      </c>
      <c r="B994" s="39" t="s">
        <v>2312</v>
      </c>
      <c r="C994" s="39" t="s">
        <v>1970</v>
      </c>
      <c r="D994" s="39" t="s">
        <v>2620</v>
      </c>
      <c r="E994" s="44" t="s">
        <v>2621</v>
      </c>
      <c r="F994" s="39"/>
      <c r="G994" s="39"/>
      <c r="H994" s="39"/>
      <c r="I994" s="56"/>
      <c r="J994" s="40" t="s">
        <v>740</v>
      </c>
      <c r="K994" s="40" t="s">
        <v>774</v>
      </c>
    </row>
    <row r="995" spans="1:11">
      <c r="A995" s="39">
        <f t="shared" si="15"/>
        <v>994</v>
      </c>
      <c r="B995" s="39" t="s">
        <v>2312</v>
      </c>
      <c r="C995" s="39" t="s">
        <v>1970</v>
      </c>
      <c r="D995" s="39" t="s">
        <v>2622</v>
      </c>
      <c r="E995" s="44" t="s">
        <v>1250</v>
      </c>
      <c r="F995" s="39"/>
      <c r="G995" s="39"/>
      <c r="H995" s="39"/>
      <c r="I995" s="56"/>
      <c r="J995" s="40" t="s">
        <v>740</v>
      </c>
      <c r="K995" s="40" t="s">
        <v>774</v>
      </c>
    </row>
    <row r="996" spans="1:11">
      <c r="A996" s="39">
        <f t="shared" si="15"/>
        <v>995</v>
      </c>
      <c r="B996" s="39" t="s">
        <v>2312</v>
      </c>
      <c r="C996" s="39" t="s">
        <v>1970</v>
      </c>
      <c r="D996" s="39" t="s">
        <v>2623</v>
      </c>
      <c r="E996" s="44" t="s">
        <v>896</v>
      </c>
      <c r="F996" s="39"/>
      <c r="G996" s="39"/>
      <c r="H996" s="39"/>
      <c r="I996" s="56"/>
      <c r="J996" s="40" t="s">
        <v>957</v>
      </c>
      <c r="K996" s="40" t="s">
        <v>774</v>
      </c>
    </row>
    <row r="997" spans="1:11">
      <c r="A997" s="39">
        <f t="shared" si="15"/>
        <v>996</v>
      </c>
      <c r="B997" s="39" t="s">
        <v>2312</v>
      </c>
      <c r="C997" s="39" t="s">
        <v>1970</v>
      </c>
      <c r="D997" s="39" t="s">
        <v>2624</v>
      </c>
      <c r="E997" s="44" t="s">
        <v>1241</v>
      </c>
      <c r="F997" s="39"/>
      <c r="G997" s="39"/>
      <c r="H997" s="39"/>
      <c r="I997" s="56"/>
      <c r="J997" s="40" t="s">
        <v>740</v>
      </c>
      <c r="K997" s="40" t="s">
        <v>774</v>
      </c>
    </row>
    <row r="998" spans="1:11">
      <c r="A998" s="39">
        <f t="shared" si="15"/>
        <v>997</v>
      </c>
      <c r="B998" s="39" t="s">
        <v>2312</v>
      </c>
      <c r="C998" s="39" t="s">
        <v>1970</v>
      </c>
      <c r="D998" s="39" t="s">
        <v>2625</v>
      </c>
      <c r="E998" s="44" t="s">
        <v>2626</v>
      </c>
      <c r="F998" s="39"/>
      <c r="G998" s="39"/>
      <c r="H998" s="39"/>
      <c r="I998" s="56"/>
      <c r="J998" s="40" t="s">
        <v>957</v>
      </c>
      <c r="K998" s="40" t="s">
        <v>774</v>
      </c>
    </row>
    <row r="999" spans="1:11">
      <c r="A999" s="39">
        <f t="shared" si="15"/>
        <v>998</v>
      </c>
      <c r="B999" s="39" t="s">
        <v>2312</v>
      </c>
      <c r="C999" s="39" t="s">
        <v>1970</v>
      </c>
      <c r="D999" s="39" t="s">
        <v>2627</v>
      </c>
      <c r="E999" s="44" t="s">
        <v>910</v>
      </c>
      <c r="F999" s="39"/>
      <c r="G999" s="39"/>
      <c r="H999" s="39"/>
      <c r="I999" s="56"/>
      <c r="J999" s="40" t="s">
        <v>957</v>
      </c>
      <c r="K999" s="40" t="s">
        <v>774</v>
      </c>
    </row>
    <row r="1000" spans="1:11">
      <c r="A1000" s="39">
        <f t="shared" si="15"/>
        <v>999</v>
      </c>
      <c r="B1000" s="39" t="s">
        <v>2312</v>
      </c>
      <c r="C1000" s="39" t="s">
        <v>1970</v>
      </c>
      <c r="D1000" s="39" t="s">
        <v>2628</v>
      </c>
      <c r="E1000" s="44" t="s">
        <v>2629</v>
      </c>
      <c r="F1000" s="39"/>
      <c r="G1000" s="39"/>
      <c r="H1000" s="39"/>
      <c r="I1000" s="56"/>
      <c r="J1000" s="40" t="s">
        <v>957</v>
      </c>
      <c r="K1000" s="40" t="s">
        <v>774</v>
      </c>
    </row>
    <row r="1001" spans="1:11">
      <c r="A1001" s="39">
        <f t="shared" si="15"/>
        <v>1000</v>
      </c>
      <c r="B1001" s="39" t="s">
        <v>2312</v>
      </c>
      <c r="C1001" s="39" t="s">
        <v>1970</v>
      </c>
      <c r="D1001" s="39" t="s">
        <v>2630</v>
      </c>
      <c r="E1001" s="44" t="s">
        <v>915</v>
      </c>
      <c r="F1001" s="39"/>
      <c r="G1001" s="39"/>
      <c r="H1001" s="39"/>
      <c r="I1001" s="56"/>
      <c r="J1001" s="40" t="s">
        <v>957</v>
      </c>
      <c r="K1001" s="40" t="s">
        <v>774</v>
      </c>
    </row>
    <row r="1002" spans="1:11">
      <c r="A1002" s="39">
        <f t="shared" si="15"/>
        <v>1001</v>
      </c>
      <c r="B1002" s="39" t="s">
        <v>2312</v>
      </c>
      <c r="C1002" s="39" t="s">
        <v>1970</v>
      </c>
      <c r="D1002" s="39" t="s">
        <v>2631</v>
      </c>
      <c r="E1002" s="44" t="s">
        <v>2632</v>
      </c>
      <c r="F1002" s="39"/>
      <c r="G1002" s="39"/>
      <c r="H1002" s="39"/>
      <c r="I1002" s="56"/>
      <c r="J1002" s="40" t="s">
        <v>740</v>
      </c>
      <c r="K1002" s="40" t="s">
        <v>774</v>
      </c>
    </row>
    <row r="1003" spans="1:11">
      <c r="A1003" s="39">
        <f t="shared" si="15"/>
        <v>1002</v>
      </c>
      <c r="B1003" s="39" t="s">
        <v>2312</v>
      </c>
      <c r="C1003" s="39" t="s">
        <v>1970</v>
      </c>
      <c r="D1003" s="39" t="s">
        <v>2633</v>
      </c>
      <c r="E1003" s="44" t="s">
        <v>2634</v>
      </c>
      <c r="F1003" s="39"/>
      <c r="G1003" s="39"/>
      <c r="H1003" s="39"/>
      <c r="I1003" s="56"/>
      <c r="J1003" s="40" t="s">
        <v>740</v>
      </c>
      <c r="K1003" s="40" t="s">
        <v>774</v>
      </c>
    </row>
    <row r="1004" spans="1:11">
      <c r="A1004" s="39">
        <f t="shared" si="15"/>
        <v>1003</v>
      </c>
      <c r="B1004" s="39" t="s">
        <v>2312</v>
      </c>
      <c r="C1004" s="39" t="s">
        <v>1970</v>
      </c>
      <c r="D1004" s="39" t="s">
        <v>2635</v>
      </c>
      <c r="E1004" s="44" t="s">
        <v>923</v>
      </c>
      <c r="F1004" s="39"/>
      <c r="G1004" s="39"/>
      <c r="H1004" s="39"/>
      <c r="I1004" s="56"/>
      <c r="J1004" s="40" t="s">
        <v>957</v>
      </c>
      <c r="K1004" s="40" t="s">
        <v>774</v>
      </c>
    </row>
    <row r="1005" spans="1:11">
      <c r="A1005" s="39">
        <f t="shared" si="15"/>
        <v>1004</v>
      </c>
      <c r="B1005" s="39" t="s">
        <v>2312</v>
      </c>
      <c r="C1005" s="39" t="s">
        <v>1970</v>
      </c>
      <c r="D1005" s="39" t="s">
        <v>2636</v>
      </c>
      <c r="E1005" s="44" t="s">
        <v>2637</v>
      </c>
      <c r="F1005" s="39"/>
      <c r="G1005" s="39"/>
      <c r="H1005" s="39"/>
      <c r="I1005" s="56"/>
      <c r="J1005" s="40" t="s">
        <v>740</v>
      </c>
      <c r="K1005" s="40" t="s">
        <v>774</v>
      </c>
    </row>
    <row r="1006" spans="1:11">
      <c r="A1006" s="39">
        <f t="shared" si="15"/>
        <v>1005</v>
      </c>
      <c r="B1006" s="39" t="s">
        <v>2312</v>
      </c>
      <c r="C1006" s="39" t="s">
        <v>1970</v>
      </c>
      <c r="D1006" s="39" t="s">
        <v>2638</v>
      </c>
      <c r="E1006" s="41" t="s">
        <v>2639</v>
      </c>
      <c r="F1006" s="39"/>
      <c r="G1006" s="39"/>
      <c r="H1006" s="39"/>
      <c r="I1006" s="56"/>
      <c r="J1006" s="40" t="s">
        <v>957</v>
      </c>
      <c r="K1006" s="40" t="s">
        <v>774</v>
      </c>
    </row>
    <row r="1007" spans="1:11">
      <c r="A1007" s="39">
        <f t="shared" si="15"/>
        <v>1006</v>
      </c>
      <c r="B1007" s="39" t="s">
        <v>2312</v>
      </c>
      <c r="C1007" s="39" t="s">
        <v>1970</v>
      </c>
      <c r="D1007" s="39" t="s">
        <v>2640</v>
      </c>
      <c r="E1007" s="41" t="s">
        <v>927</v>
      </c>
      <c r="F1007" s="39"/>
      <c r="G1007" s="39"/>
      <c r="H1007" s="39"/>
      <c r="I1007" s="56"/>
      <c r="J1007" s="40" t="s">
        <v>957</v>
      </c>
      <c r="K1007" s="40" t="s">
        <v>774</v>
      </c>
    </row>
    <row r="1008" spans="1:11">
      <c r="A1008" s="39">
        <f t="shared" si="15"/>
        <v>1007</v>
      </c>
      <c r="B1008" s="39" t="s">
        <v>2312</v>
      </c>
      <c r="C1008" s="39" t="s">
        <v>2641</v>
      </c>
      <c r="D1008" s="40" t="s">
        <v>2642</v>
      </c>
      <c r="E1008" s="41" t="s">
        <v>2643</v>
      </c>
      <c r="F1008" s="39"/>
      <c r="G1008" s="39"/>
      <c r="H1008" s="39"/>
      <c r="I1008" s="56"/>
      <c r="J1008" s="40" t="s">
        <v>2351</v>
      </c>
      <c r="K1008" s="40"/>
    </row>
    <row r="1009" spans="1:11">
      <c r="A1009" s="39">
        <f t="shared" si="15"/>
        <v>1008</v>
      </c>
      <c r="B1009" s="39" t="s">
        <v>2312</v>
      </c>
      <c r="C1009" s="39" t="s">
        <v>2641</v>
      </c>
      <c r="D1009" s="40" t="s">
        <v>2644</v>
      </c>
      <c r="E1009" s="41" t="s">
        <v>2645</v>
      </c>
      <c r="F1009" s="39"/>
      <c r="G1009" s="39"/>
      <c r="H1009" s="39"/>
      <c r="I1009" s="56"/>
      <c r="J1009" s="40" t="s">
        <v>2351</v>
      </c>
      <c r="K1009" s="40"/>
    </row>
    <row r="1010" spans="1:11">
      <c r="A1010" s="39">
        <f t="shared" si="15"/>
        <v>1009</v>
      </c>
      <c r="B1010" s="39" t="s">
        <v>2312</v>
      </c>
      <c r="C1010" s="39" t="s">
        <v>2641</v>
      </c>
      <c r="D1010" s="40" t="s">
        <v>2646</v>
      </c>
      <c r="E1010" s="41" t="s">
        <v>1009</v>
      </c>
      <c r="F1010" s="39"/>
      <c r="G1010" s="39"/>
      <c r="H1010" s="39"/>
      <c r="I1010" s="56" t="s">
        <v>2398</v>
      </c>
      <c r="J1010" s="40" t="s">
        <v>2351</v>
      </c>
      <c r="K1010" s="40"/>
    </row>
    <row r="1011" spans="1:11">
      <c r="A1011" s="39">
        <f t="shared" si="15"/>
        <v>1010</v>
      </c>
      <c r="B1011" s="39" t="s">
        <v>2647</v>
      </c>
      <c r="C1011" s="39" t="s">
        <v>340</v>
      </c>
      <c r="D1011" s="39" t="s">
        <v>2648</v>
      </c>
      <c r="E1011" s="44" t="s">
        <v>2649</v>
      </c>
      <c r="F1011" s="39" t="s">
        <v>205</v>
      </c>
      <c r="G1011" s="39"/>
      <c r="H1011" s="39"/>
      <c r="I1011" s="56"/>
      <c r="J1011" s="40" t="s">
        <v>444</v>
      </c>
      <c r="K1011" s="40" t="s">
        <v>938</v>
      </c>
    </row>
    <row r="1012" spans="1:11">
      <c r="A1012" s="39">
        <f t="shared" si="15"/>
        <v>1011</v>
      </c>
      <c r="B1012" s="39" t="s">
        <v>2647</v>
      </c>
      <c r="C1012" s="39" t="s">
        <v>340</v>
      </c>
      <c r="D1012" s="39" t="s">
        <v>2650</v>
      </c>
      <c r="E1012" s="44" t="s">
        <v>2651</v>
      </c>
      <c r="F1012" s="39"/>
      <c r="G1012" s="39"/>
      <c r="H1012" s="39"/>
      <c r="I1012" s="56"/>
      <c r="J1012" s="40" t="s">
        <v>444</v>
      </c>
      <c r="K1012" s="40" t="s">
        <v>938</v>
      </c>
    </row>
    <row r="1013" spans="1:11">
      <c r="A1013" s="39">
        <f t="shared" si="15"/>
        <v>1012</v>
      </c>
      <c r="B1013" s="39" t="s">
        <v>2647</v>
      </c>
      <c r="C1013" s="39" t="s">
        <v>232</v>
      </c>
      <c r="D1013" s="39" t="s">
        <v>2652</v>
      </c>
      <c r="E1013" s="44" t="s">
        <v>472</v>
      </c>
      <c r="F1013" s="39">
        <v>2</v>
      </c>
      <c r="G1013" s="39"/>
      <c r="H1013" s="39"/>
      <c r="I1013" s="56"/>
      <c r="J1013" s="40" t="s">
        <v>938</v>
      </c>
      <c r="K1013" s="40" t="s">
        <v>444</v>
      </c>
    </row>
    <row r="1014" spans="1:11">
      <c r="A1014" s="39">
        <f t="shared" si="15"/>
        <v>1013</v>
      </c>
      <c r="B1014" s="39" t="s">
        <v>2647</v>
      </c>
      <c r="C1014" s="39" t="s">
        <v>217</v>
      </c>
      <c r="D1014" s="39" t="s">
        <v>2653</v>
      </c>
      <c r="E1014" s="44" t="s">
        <v>2654</v>
      </c>
      <c r="F1014" s="39">
        <v>5</v>
      </c>
      <c r="G1014" s="90"/>
      <c r="H1014" s="39"/>
      <c r="I1014" s="56"/>
      <c r="J1014" s="40" t="s">
        <v>535</v>
      </c>
      <c r="K1014" s="40" t="s">
        <v>1017</v>
      </c>
    </row>
    <row r="1015" spans="1:11">
      <c r="A1015" s="39">
        <f t="shared" si="15"/>
        <v>1014</v>
      </c>
      <c r="B1015" s="39" t="s">
        <v>2647</v>
      </c>
      <c r="C1015" s="39" t="s">
        <v>217</v>
      </c>
      <c r="D1015" s="39" t="s">
        <v>2655</v>
      </c>
      <c r="E1015" s="44" t="s">
        <v>2656</v>
      </c>
      <c r="F1015" s="39">
        <v>3</v>
      </c>
      <c r="G1015" s="39"/>
      <c r="H1015" s="39"/>
      <c r="I1015" s="56"/>
      <c r="J1015" s="40" t="s">
        <v>1017</v>
      </c>
      <c r="K1015" s="40" t="s">
        <v>535</v>
      </c>
    </row>
    <row r="1016" spans="1:11">
      <c r="A1016" s="39">
        <f t="shared" si="15"/>
        <v>1015</v>
      </c>
      <c r="B1016" s="39" t="s">
        <v>2647</v>
      </c>
      <c r="C1016" s="39" t="s">
        <v>217</v>
      </c>
      <c r="D1016" s="39" t="s">
        <v>2657</v>
      </c>
      <c r="E1016" s="44" t="s">
        <v>2658</v>
      </c>
      <c r="F1016" s="39">
        <v>1</v>
      </c>
      <c r="G1016" s="39"/>
      <c r="H1016" s="39"/>
      <c r="I1016" s="56"/>
      <c r="J1016" s="40" t="s">
        <v>1017</v>
      </c>
      <c r="K1016" s="40" t="s">
        <v>535</v>
      </c>
    </row>
    <row r="1017" spans="1:11">
      <c r="A1017" s="39">
        <f t="shared" si="15"/>
        <v>1016</v>
      </c>
      <c r="B1017" s="39" t="s">
        <v>2647</v>
      </c>
      <c r="C1017" s="39" t="s">
        <v>217</v>
      </c>
      <c r="D1017" s="39" t="s">
        <v>2659</v>
      </c>
      <c r="E1017" s="44" t="s">
        <v>2660</v>
      </c>
      <c r="F1017" s="39" t="s">
        <v>2661</v>
      </c>
      <c r="G1017" s="39"/>
      <c r="H1017" s="39"/>
      <c r="I1017" s="56"/>
      <c r="J1017" s="40" t="s">
        <v>1017</v>
      </c>
      <c r="K1017" s="40" t="s">
        <v>535</v>
      </c>
    </row>
    <row r="1018" spans="1:11">
      <c r="A1018" s="39">
        <f t="shared" si="15"/>
        <v>1017</v>
      </c>
      <c r="B1018" s="39" t="s">
        <v>2647</v>
      </c>
      <c r="C1018" s="39" t="s">
        <v>217</v>
      </c>
      <c r="D1018" s="39" t="s">
        <v>2662</v>
      </c>
      <c r="E1018" s="44" t="s">
        <v>2663</v>
      </c>
      <c r="F1018" s="39">
        <v>3</v>
      </c>
      <c r="G1018" s="39"/>
      <c r="H1018" s="39"/>
      <c r="I1018" s="56"/>
      <c r="J1018" s="40" t="s">
        <v>1017</v>
      </c>
      <c r="K1018" s="40" t="s">
        <v>535</v>
      </c>
    </row>
    <row r="1019" spans="1:11">
      <c r="A1019" s="39">
        <f t="shared" si="15"/>
        <v>1018</v>
      </c>
      <c r="B1019" s="39" t="s">
        <v>2647</v>
      </c>
      <c r="C1019" s="39" t="s">
        <v>217</v>
      </c>
      <c r="D1019" s="39" t="s">
        <v>2664</v>
      </c>
      <c r="E1019" s="44" t="s">
        <v>2665</v>
      </c>
      <c r="F1019" s="39">
        <v>7</v>
      </c>
      <c r="G1019" s="39"/>
      <c r="H1019" s="39"/>
      <c r="I1019" s="56"/>
      <c r="J1019" s="40" t="s">
        <v>1017</v>
      </c>
      <c r="K1019" s="40" t="s">
        <v>535</v>
      </c>
    </row>
    <row r="1020" spans="1:11">
      <c r="A1020" s="39">
        <f t="shared" si="15"/>
        <v>1019</v>
      </c>
      <c r="B1020" s="39" t="s">
        <v>2647</v>
      </c>
      <c r="C1020" s="39" t="s">
        <v>217</v>
      </c>
      <c r="D1020" s="39" t="s">
        <v>2666</v>
      </c>
      <c r="E1020" s="44" t="s">
        <v>2667</v>
      </c>
      <c r="F1020" s="39">
        <v>2</v>
      </c>
      <c r="G1020" s="39"/>
      <c r="H1020" s="39"/>
      <c r="I1020" s="56"/>
      <c r="J1020" s="40" t="s">
        <v>535</v>
      </c>
      <c r="K1020" s="40" t="s">
        <v>1017</v>
      </c>
    </row>
    <row r="1021" spans="1:11">
      <c r="A1021" s="39">
        <f t="shared" si="15"/>
        <v>1020</v>
      </c>
      <c r="B1021" s="39" t="s">
        <v>2647</v>
      </c>
      <c r="C1021" s="39" t="s">
        <v>217</v>
      </c>
      <c r="D1021" s="39" t="s">
        <v>2668</v>
      </c>
      <c r="E1021" s="44" t="s">
        <v>2669</v>
      </c>
      <c r="F1021" s="39">
        <v>3</v>
      </c>
      <c r="G1021" s="39"/>
      <c r="H1021" s="39"/>
      <c r="I1021" s="56"/>
      <c r="J1021" s="40" t="s">
        <v>535</v>
      </c>
      <c r="K1021" s="40" t="s">
        <v>1017</v>
      </c>
    </row>
    <row r="1022" spans="1:11">
      <c r="A1022" s="39">
        <f t="shared" si="15"/>
        <v>1021</v>
      </c>
      <c r="B1022" s="39" t="s">
        <v>2647</v>
      </c>
      <c r="C1022" s="39" t="s">
        <v>232</v>
      </c>
      <c r="D1022" s="39" t="s">
        <v>2670</v>
      </c>
      <c r="E1022" s="44" t="s">
        <v>2671</v>
      </c>
      <c r="F1022" s="39">
        <v>2</v>
      </c>
      <c r="G1022" s="39"/>
      <c r="H1022" s="39"/>
      <c r="I1022" s="56"/>
      <c r="J1022" s="40" t="s">
        <v>938</v>
      </c>
      <c r="K1022" s="40" t="s">
        <v>444</v>
      </c>
    </row>
    <row r="1023" spans="1:11">
      <c r="A1023" s="39">
        <f t="shared" si="15"/>
        <v>1022</v>
      </c>
      <c r="B1023" s="39" t="s">
        <v>2647</v>
      </c>
      <c r="C1023" s="39" t="s">
        <v>232</v>
      </c>
      <c r="D1023" s="39" t="s">
        <v>2672</v>
      </c>
      <c r="E1023" s="44" t="s">
        <v>2673</v>
      </c>
      <c r="F1023" s="39">
        <v>1</v>
      </c>
      <c r="G1023" s="39"/>
      <c r="H1023" s="39"/>
      <c r="I1023" s="56"/>
      <c r="J1023" s="40" t="s">
        <v>938</v>
      </c>
      <c r="K1023" s="40" t="s">
        <v>444</v>
      </c>
    </row>
    <row r="1024" spans="1:11">
      <c r="A1024" s="39">
        <f t="shared" si="15"/>
        <v>1023</v>
      </c>
      <c r="B1024" s="39" t="s">
        <v>2647</v>
      </c>
      <c r="C1024" s="39" t="s">
        <v>217</v>
      </c>
      <c r="D1024" s="39" t="s">
        <v>2674</v>
      </c>
      <c r="E1024" s="91" t="s">
        <v>2675</v>
      </c>
      <c r="F1024" s="39">
        <v>2</v>
      </c>
      <c r="G1024" s="39"/>
      <c r="H1024" s="39"/>
      <c r="I1024" s="56"/>
      <c r="J1024" s="40" t="s">
        <v>535</v>
      </c>
      <c r="K1024" s="40" t="s">
        <v>1017</v>
      </c>
    </row>
    <row r="1025" spans="1:11">
      <c r="A1025" s="39">
        <f t="shared" si="15"/>
        <v>1024</v>
      </c>
      <c r="B1025" s="39" t="s">
        <v>2647</v>
      </c>
      <c r="C1025" s="39" t="s">
        <v>217</v>
      </c>
      <c r="D1025" s="39" t="s">
        <v>2676</v>
      </c>
      <c r="E1025" s="44" t="s">
        <v>588</v>
      </c>
      <c r="F1025" s="39">
        <v>3</v>
      </c>
      <c r="G1025" s="39"/>
      <c r="H1025" s="39"/>
      <c r="I1025" s="56"/>
      <c r="J1025" s="40" t="s">
        <v>535</v>
      </c>
      <c r="K1025" s="40" t="s">
        <v>1017</v>
      </c>
    </row>
    <row r="1026" spans="1:11">
      <c r="A1026" s="39">
        <f t="shared" si="15"/>
        <v>1025</v>
      </c>
      <c r="B1026" s="39" t="s">
        <v>2647</v>
      </c>
      <c r="C1026" s="39" t="s">
        <v>232</v>
      </c>
      <c r="D1026" s="39" t="s">
        <v>2677</v>
      </c>
      <c r="E1026" s="44" t="s">
        <v>2678</v>
      </c>
      <c r="F1026" s="39">
        <v>3</v>
      </c>
      <c r="G1026" s="39"/>
      <c r="H1026" s="39"/>
      <c r="I1026" s="56"/>
      <c r="J1026" s="40" t="s">
        <v>938</v>
      </c>
      <c r="K1026" s="40" t="s">
        <v>444</v>
      </c>
    </row>
    <row r="1027" spans="1:11">
      <c r="A1027" s="39">
        <f t="shared" ref="A1027:A1038" si="16">ROW()-1</f>
        <v>1026</v>
      </c>
      <c r="B1027" s="39" t="s">
        <v>2647</v>
      </c>
      <c r="C1027" s="39" t="s">
        <v>232</v>
      </c>
      <c r="D1027" s="39" t="s">
        <v>2679</v>
      </c>
      <c r="E1027" s="44" t="s">
        <v>487</v>
      </c>
      <c r="F1027" s="39">
        <v>1</v>
      </c>
      <c r="G1027" s="39"/>
      <c r="H1027" s="39"/>
      <c r="I1027" s="56"/>
      <c r="J1027" s="40" t="s">
        <v>444</v>
      </c>
      <c r="K1027" s="40" t="s">
        <v>938</v>
      </c>
    </row>
    <row r="1028" spans="1:11">
      <c r="A1028" s="39">
        <f t="shared" si="16"/>
        <v>1027</v>
      </c>
      <c r="B1028" s="39" t="s">
        <v>2647</v>
      </c>
      <c r="C1028" s="39" t="s">
        <v>232</v>
      </c>
      <c r="D1028" s="39" t="s">
        <v>2680</v>
      </c>
      <c r="E1028" s="44" t="s">
        <v>2681</v>
      </c>
      <c r="F1028" s="39" t="s">
        <v>2661</v>
      </c>
      <c r="G1028" s="39"/>
      <c r="H1028" s="39"/>
      <c r="I1028" s="56"/>
      <c r="J1028" s="40" t="s">
        <v>938</v>
      </c>
      <c r="K1028" s="40" t="s">
        <v>444</v>
      </c>
    </row>
    <row r="1029" spans="1:11">
      <c r="A1029" s="39">
        <f t="shared" si="16"/>
        <v>1028</v>
      </c>
      <c r="B1029" s="39" t="s">
        <v>2647</v>
      </c>
      <c r="C1029" s="39" t="s">
        <v>202</v>
      </c>
      <c r="D1029" s="39" t="s">
        <v>2682</v>
      </c>
      <c r="E1029" s="44" t="s">
        <v>2683</v>
      </c>
      <c r="F1029" s="39" t="s">
        <v>2661</v>
      </c>
      <c r="G1029" s="39"/>
      <c r="H1029" s="39"/>
      <c r="I1029" s="56"/>
      <c r="J1029" s="40" t="s">
        <v>1695</v>
      </c>
      <c r="K1029" s="40" t="s">
        <v>1017</v>
      </c>
    </row>
    <row r="1030" spans="1:11">
      <c r="A1030" s="39">
        <f t="shared" si="16"/>
        <v>1029</v>
      </c>
      <c r="B1030" s="39" t="s">
        <v>2647</v>
      </c>
      <c r="C1030" s="39" t="s">
        <v>202</v>
      </c>
      <c r="D1030" s="39" t="s">
        <v>2684</v>
      </c>
      <c r="E1030" s="44" t="s">
        <v>2685</v>
      </c>
      <c r="F1030" s="39">
        <v>6</v>
      </c>
      <c r="G1030" s="39"/>
      <c r="H1030" s="39"/>
      <c r="I1030" s="56"/>
      <c r="J1030" s="40" t="s">
        <v>1695</v>
      </c>
      <c r="K1030" s="40" t="s">
        <v>1017</v>
      </c>
    </row>
    <row r="1031" spans="1:11">
      <c r="A1031" s="39">
        <f t="shared" si="16"/>
        <v>1030</v>
      </c>
      <c r="B1031" s="39" t="s">
        <v>2647</v>
      </c>
      <c r="C1031" s="39" t="s">
        <v>202</v>
      </c>
      <c r="D1031" s="39" t="s">
        <v>2686</v>
      </c>
      <c r="E1031" s="44" t="s">
        <v>2687</v>
      </c>
      <c r="F1031" s="39" t="s">
        <v>2661</v>
      </c>
      <c r="G1031" s="39"/>
      <c r="H1031" s="39"/>
      <c r="I1031" s="56"/>
      <c r="J1031" s="40" t="s">
        <v>536</v>
      </c>
      <c r="K1031" s="40" t="s">
        <v>2688</v>
      </c>
    </row>
    <row r="1032" spans="1:11">
      <c r="A1032" s="39">
        <f t="shared" si="16"/>
        <v>1031</v>
      </c>
      <c r="B1032" s="39" t="s">
        <v>2647</v>
      </c>
      <c r="C1032" s="39" t="s">
        <v>202</v>
      </c>
      <c r="D1032" s="39" t="s">
        <v>2689</v>
      </c>
      <c r="E1032" s="44" t="s">
        <v>2690</v>
      </c>
      <c r="F1032" s="39">
        <v>4</v>
      </c>
      <c r="G1032" s="39"/>
      <c r="H1032" s="39"/>
      <c r="I1032" s="56"/>
      <c r="J1032" s="40" t="s">
        <v>2688</v>
      </c>
      <c r="K1032" s="40" t="s">
        <v>536</v>
      </c>
    </row>
    <row r="1033" spans="1:11">
      <c r="A1033" s="39">
        <f t="shared" si="16"/>
        <v>1032</v>
      </c>
      <c r="B1033" s="39" t="s">
        <v>2647</v>
      </c>
      <c r="C1033" s="39" t="s">
        <v>202</v>
      </c>
      <c r="D1033" s="39" t="s">
        <v>2691</v>
      </c>
      <c r="E1033" s="44" t="s">
        <v>2692</v>
      </c>
      <c r="F1033" s="39"/>
      <c r="G1033" s="39"/>
      <c r="H1033" s="39"/>
      <c r="I1033" s="56"/>
      <c r="J1033" s="40" t="s">
        <v>536</v>
      </c>
      <c r="K1033" s="40" t="s">
        <v>2688</v>
      </c>
    </row>
    <row r="1034" spans="1:11">
      <c r="A1034" s="39">
        <f t="shared" si="16"/>
        <v>1033</v>
      </c>
      <c r="B1034" s="39" t="s">
        <v>2647</v>
      </c>
      <c r="C1034" s="39" t="s">
        <v>600</v>
      </c>
      <c r="D1034" s="39" t="s">
        <v>2693</v>
      </c>
      <c r="E1034" s="44" t="s">
        <v>2404</v>
      </c>
      <c r="F1034" s="39"/>
      <c r="G1034" s="39"/>
      <c r="H1034" s="39"/>
      <c r="I1034" s="56"/>
      <c r="J1034" s="40" t="s">
        <v>536</v>
      </c>
      <c r="K1034" s="40" t="s">
        <v>2688</v>
      </c>
    </row>
    <row r="1035" spans="1:11">
      <c r="A1035" s="39">
        <f t="shared" si="16"/>
        <v>1034</v>
      </c>
      <c r="B1035" s="39" t="s">
        <v>2647</v>
      </c>
      <c r="C1035" s="39" t="s">
        <v>600</v>
      </c>
      <c r="D1035" s="39" t="s">
        <v>2694</v>
      </c>
      <c r="E1035" s="44" t="s">
        <v>2695</v>
      </c>
      <c r="F1035" s="39"/>
      <c r="G1035" s="39"/>
      <c r="H1035" s="39"/>
      <c r="I1035" s="56"/>
      <c r="J1035" s="40" t="s">
        <v>536</v>
      </c>
      <c r="K1035" s="40" t="s">
        <v>2688</v>
      </c>
    </row>
    <row r="1036" spans="1:11">
      <c r="A1036" s="39">
        <f t="shared" si="16"/>
        <v>1035</v>
      </c>
      <c r="B1036" s="39" t="s">
        <v>2647</v>
      </c>
      <c r="C1036" s="39" t="s">
        <v>1970</v>
      </c>
      <c r="D1036" s="39" t="s">
        <v>2696</v>
      </c>
      <c r="E1036" s="44" t="s">
        <v>2697</v>
      </c>
      <c r="F1036" s="39"/>
      <c r="G1036" s="39"/>
      <c r="H1036" s="39"/>
      <c r="I1036" s="56"/>
      <c r="J1036" s="40" t="s">
        <v>1698</v>
      </c>
      <c r="K1036" s="40" t="s">
        <v>2466</v>
      </c>
    </row>
    <row r="1037" spans="1:11">
      <c r="A1037" s="39">
        <f t="shared" si="16"/>
        <v>1036</v>
      </c>
      <c r="B1037" s="39" t="s">
        <v>2647</v>
      </c>
      <c r="C1037" s="39" t="s">
        <v>1970</v>
      </c>
      <c r="D1037" s="39" t="s">
        <v>2698</v>
      </c>
      <c r="E1037" s="44" t="s">
        <v>2699</v>
      </c>
      <c r="F1037" s="39"/>
      <c r="G1037" s="39"/>
      <c r="H1037" s="39"/>
      <c r="I1037" s="56"/>
      <c r="J1037" s="40" t="s">
        <v>1698</v>
      </c>
      <c r="K1037" s="40" t="s">
        <v>2466</v>
      </c>
    </row>
    <row r="1038" spans="1:11">
      <c r="A1038" s="39">
        <f t="shared" si="16"/>
        <v>1037</v>
      </c>
      <c r="B1038" s="39" t="s">
        <v>2647</v>
      </c>
      <c r="C1038" s="39" t="s">
        <v>2641</v>
      </c>
      <c r="D1038" s="40" t="s">
        <v>2700</v>
      </c>
      <c r="E1038" s="41" t="s">
        <v>2701</v>
      </c>
      <c r="F1038" s="39" t="s">
        <v>205</v>
      </c>
      <c r="G1038" s="39"/>
      <c r="H1038" s="39"/>
      <c r="I1038" s="56"/>
      <c r="J1038" s="40" t="s">
        <v>1695</v>
      </c>
      <c r="K1038" s="40" t="s">
        <v>1017</v>
      </c>
    </row>
  </sheetData>
  <phoneticPr fontId="4" type="noConversion"/>
  <dataValidations count="1">
    <dataValidation showDropDown="1" showInputMessage="1" showErrorMessage="1" sqref="C734:C780 C783:C862" xr:uid="{3D1FD4A7-2F2A-4199-B1AC-7E30EA671FB7}"/>
  </dataValidations>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89"/>
  <sheetViews>
    <sheetView workbookViewId="0">
      <pane ySplit="1" topLeftCell="A2" activePane="bottomLeft" state="frozen"/>
      <selection pane="bottomLeft" activeCell="D23" sqref="D23"/>
    </sheetView>
  </sheetViews>
  <sheetFormatPr defaultRowHeight="16.5"/>
  <cols>
    <col min="1" max="1" width="18" customWidth="1"/>
    <col min="2" max="3" width="14" customWidth="1"/>
    <col min="4" max="4" width="32" customWidth="1"/>
    <col min="5" max="5" width="24" customWidth="1"/>
    <col min="6" max="8" width="14" customWidth="1"/>
  </cols>
  <sheetData>
    <row r="1" spans="1:8" ht="26.1" customHeight="1">
      <c r="A1" s="3" t="s">
        <v>110</v>
      </c>
      <c r="B1" s="3" t="s">
        <v>111</v>
      </c>
      <c r="C1" s="3" t="s">
        <v>30</v>
      </c>
      <c r="D1" s="3" t="s">
        <v>75</v>
      </c>
      <c r="E1" s="3" t="s">
        <v>112</v>
      </c>
      <c r="F1" s="3" t="s">
        <v>36</v>
      </c>
      <c r="G1" s="3" t="s">
        <v>113</v>
      </c>
      <c r="H1" s="3" t="s">
        <v>114</v>
      </c>
    </row>
    <row r="2" spans="1:8">
      <c r="A2" s="4" t="s">
        <v>411</v>
      </c>
      <c r="B2" s="4" t="s">
        <v>2702</v>
      </c>
      <c r="C2" s="4" t="s">
        <v>2703</v>
      </c>
      <c r="D2" s="4" t="s">
        <v>1870</v>
      </c>
      <c r="E2" s="4" t="s">
        <v>2704</v>
      </c>
      <c r="F2" s="4" t="s">
        <v>283</v>
      </c>
      <c r="G2" s="92">
        <v>45662</v>
      </c>
      <c r="H2" s="92">
        <v>45668</v>
      </c>
    </row>
    <row r="3" spans="1:8">
      <c r="A3" s="4" t="s">
        <v>424</v>
      </c>
      <c r="B3" s="4" t="s">
        <v>2705</v>
      </c>
      <c r="C3" s="4" t="s">
        <v>218</v>
      </c>
      <c r="D3" s="4" t="s">
        <v>2706</v>
      </c>
      <c r="E3" s="4" t="s">
        <v>2707</v>
      </c>
      <c r="F3" s="4" t="s">
        <v>283</v>
      </c>
      <c r="G3" s="92">
        <v>45663</v>
      </c>
      <c r="H3" s="92">
        <v>45666</v>
      </c>
    </row>
    <row r="4" spans="1:8">
      <c r="A4" s="4" t="s">
        <v>138</v>
      </c>
      <c r="B4" s="4" t="s">
        <v>2702</v>
      </c>
      <c r="C4" s="4" t="s">
        <v>2708</v>
      </c>
      <c r="D4" s="4" t="s">
        <v>2709</v>
      </c>
      <c r="E4" s="4" t="s">
        <v>2710</v>
      </c>
      <c r="F4" s="4" t="s">
        <v>2711</v>
      </c>
      <c r="G4" s="92">
        <v>45676</v>
      </c>
      <c r="H4" s="92">
        <v>45680</v>
      </c>
    </row>
    <row r="5" spans="1:8">
      <c r="A5" s="4" t="s">
        <v>393</v>
      </c>
      <c r="B5" s="4" t="s">
        <v>2705</v>
      </c>
      <c r="C5" s="4" t="s">
        <v>218</v>
      </c>
      <c r="D5" s="4" t="s">
        <v>2712</v>
      </c>
      <c r="E5" s="4" t="s">
        <v>2713</v>
      </c>
      <c r="F5" s="4" t="s">
        <v>2714</v>
      </c>
      <c r="G5" s="92">
        <v>45677</v>
      </c>
      <c r="H5" s="92">
        <v>45678</v>
      </c>
    </row>
    <row r="6" spans="1:8">
      <c r="A6" s="4" t="s">
        <v>154</v>
      </c>
      <c r="B6" s="4" t="s">
        <v>2705</v>
      </c>
      <c r="C6" s="4" t="s">
        <v>2715</v>
      </c>
      <c r="D6" s="4" t="s">
        <v>849</v>
      </c>
      <c r="E6" s="4" t="s">
        <v>2716</v>
      </c>
      <c r="F6" s="4" t="s">
        <v>2714</v>
      </c>
      <c r="G6" s="92">
        <v>45677</v>
      </c>
      <c r="H6" s="92">
        <v>45681</v>
      </c>
    </row>
    <row r="7" spans="1:8">
      <c r="A7" s="4" t="s">
        <v>399</v>
      </c>
      <c r="B7" s="4" t="s">
        <v>2705</v>
      </c>
      <c r="C7" s="4" t="s">
        <v>218</v>
      </c>
      <c r="D7" s="4" t="s">
        <v>2717</v>
      </c>
      <c r="E7" s="4" t="s">
        <v>2718</v>
      </c>
      <c r="F7" s="4" t="s">
        <v>2714</v>
      </c>
      <c r="G7" s="92">
        <v>45678</v>
      </c>
      <c r="H7" s="92">
        <v>45681</v>
      </c>
    </row>
    <row r="8" spans="1:8">
      <c r="A8" s="4" t="s">
        <v>393</v>
      </c>
      <c r="B8" s="4" t="s">
        <v>2705</v>
      </c>
      <c r="C8" s="4" t="s">
        <v>218</v>
      </c>
      <c r="D8" s="4" t="s">
        <v>2719</v>
      </c>
      <c r="E8" s="4" t="s">
        <v>2720</v>
      </c>
      <c r="F8" s="4" t="s">
        <v>2714</v>
      </c>
      <c r="G8" s="92">
        <v>45679</v>
      </c>
      <c r="H8" s="92">
        <v>45680</v>
      </c>
    </row>
    <row r="9" spans="1:8">
      <c r="A9" s="4" t="s">
        <v>159</v>
      </c>
      <c r="B9" s="4" t="s">
        <v>2705</v>
      </c>
      <c r="C9" s="4" t="s">
        <v>218</v>
      </c>
      <c r="D9" s="4" t="s">
        <v>2721</v>
      </c>
      <c r="E9" s="4" t="s">
        <v>2722</v>
      </c>
      <c r="F9" s="4" t="s">
        <v>2723</v>
      </c>
      <c r="G9" s="92">
        <v>45680</v>
      </c>
      <c r="H9" s="92">
        <v>45682</v>
      </c>
    </row>
    <row r="10" spans="1:8">
      <c r="A10" s="4" t="s">
        <v>159</v>
      </c>
      <c r="B10" s="4" t="s">
        <v>2705</v>
      </c>
      <c r="C10" s="4" t="s">
        <v>218</v>
      </c>
      <c r="D10" s="4" t="s">
        <v>2724</v>
      </c>
      <c r="E10" s="4" t="s">
        <v>2725</v>
      </c>
      <c r="F10" s="4" t="s">
        <v>2714</v>
      </c>
      <c r="G10" s="92">
        <v>45691</v>
      </c>
      <c r="H10" s="92">
        <v>45695</v>
      </c>
    </row>
    <row r="11" spans="1:8">
      <c r="A11" s="4" t="s">
        <v>151</v>
      </c>
      <c r="B11" s="4" t="s">
        <v>2705</v>
      </c>
      <c r="C11" s="4" t="s">
        <v>218</v>
      </c>
      <c r="D11" s="4" t="s">
        <v>2724</v>
      </c>
      <c r="E11" s="4" t="s">
        <v>2725</v>
      </c>
      <c r="F11" s="4" t="s">
        <v>2714</v>
      </c>
      <c r="G11" s="92">
        <v>45691</v>
      </c>
      <c r="H11" s="92">
        <v>45695</v>
      </c>
    </row>
    <row r="12" spans="1:8">
      <c r="A12" s="4" t="s">
        <v>159</v>
      </c>
      <c r="B12" s="4" t="s">
        <v>2705</v>
      </c>
      <c r="C12" s="4" t="s">
        <v>218</v>
      </c>
      <c r="D12" s="4" t="s">
        <v>2726</v>
      </c>
      <c r="E12" s="4" t="s">
        <v>2725</v>
      </c>
      <c r="F12" s="4" t="s">
        <v>2714</v>
      </c>
      <c r="G12" s="92">
        <v>45691</v>
      </c>
      <c r="H12" s="92">
        <v>45695</v>
      </c>
    </row>
    <row r="13" spans="1:8">
      <c r="A13" s="4" t="s">
        <v>151</v>
      </c>
      <c r="B13" s="4" t="s">
        <v>2705</v>
      </c>
      <c r="C13" s="4" t="s">
        <v>218</v>
      </c>
      <c r="D13" s="4" t="s">
        <v>2726</v>
      </c>
      <c r="E13" s="4" t="s">
        <v>2725</v>
      </c>
      <c r="F13" s="4" t="s">
        <v>2714</v>
      </c>
      <c r="G13" s="92">
        <v>45691</v>
      </c>
      <c r="H13" s="92">
        <v>45695</v>
      </c>
    </row>
    <row r="14" spans="1:8">
      <c r="A14" s="4" t="s">
        <v>405</v>
      </c>
      <c r="B14" s="4" t="s">
        <v>2727</v>
      </c>
      <c r="C14" s="4" t="s">
        <v>2708</v>
      </c>
      <c r="D14" s="4" t="s">
        <v>2728</v>
      </c>
      <c r="E14" s="4" t="s">
        <v>2729</v>
      </c>
      <c r="F14" s="4" t="s">
        <v>2730</v>
      </c>
      <c r="G14" s="92">
        <v>45694</v>
      </c>
      <c r="H14" s="92">
        <v>45694</v>
      </c>
    </row>
    <row r="15" spans="1:8">
      <c r="A15" s="4" t="s">
        <v>138</v>
      </c>
      <c r="B15" s="4" t="s">
        <v>2727</v>
      </c>
      <c r="C15" s="4" t="s">
        <v>2708</v>
      </c>
      <c r="D15" s="4" t="s">
        <v>189</v>
      </c>
      <c r="E15" s="4" t="s">
        <v>2731</v>
      </c>
      <c r="F15" s="4" t="s">
        <v>2730</v>
      </c>
      <c r="G15" s="92">
        <v>45700</v>
      </c>
      <c r="H15" s="92">
        <v>45700</v>
      </c>
    </row>
    <row r="16" spans="1:8">
      <c r="A16" s="4" t="s">
        <v>143</v>
      </c>
      <c r="B16" s="4" t="s">
        <v>2702</v>
      </c>
      <c r="C16" s="4" t="s">
        <v>2708</v>
      </c>
      <c r="D16" s="4" t="s">
        <v>2732</v>
      </c>
      <c r="E16" s="4" t="s">
        <v>2733</v>
      </c>
      <c r="F16" s="4" t="s">
        <v>2730</v>
      </c>
      <c r="G16" s="92">
        <v>45705</v>
      </c>
      <c r="H16" s="92">
        <v>45707</v>
      </c>
    </row>
    <row r="17" spans="1:8">
      <c r="A17" s="4" t="s">
        <v>405</v>
      </c>
      <c r="B17" s="4" t="s">
        <v>2734</v>
      </c>
      <c r="C17" s="4" t="s">
        <v>2708</v>
      </c>
      <c r="D17" s="4" t="s">
        <v>2735</v>
      </c>
      <c r="E17" s="4" t="s">
        <v>2736</v>
      </c>
      <c r="F17" s="4" t="s">
        <v>2730</v>
      </c>
      <c r="G17" s="92">
        <v>45705</v>
      </c>
      <c r="H17" s="92">
        <v>45705</v>
      </c>
    </row>
    <row r="18" spans="1:8">
      <c r="A18" s="4" t="s">
        <v>138</v>
      </c>
      <c r="B18" s="4" t="s">
        <v>2702</v>
      </c>
      <c r="C18" s="4" t="s">
        <v>2708</v>
      </c>
      <c r="D18" s="4" t="s">
        <v>2737</v>
      </c>
      <c r="E18" s="4" t="s">
        <v>2738</v>
      </c>
      <c r="F18" s="4" t="s">
        <v>2730</v>
      </c>
      <c r="G18" s="92">
        <v>45705</v>
      </c>
      <c r="H18" s="92">
        <v>45706</v>
      </c>
    </row>
    <row r="19" spans="1:8">
      <c r="A19" s="4" t="s">
        <v>164</v>
      </c>
      <c r="B19" s="4" t="s">
        <v>2705</v>
      </c>
      <c r="C19" s="4" t="s">
        <v>2708</v>
      </c>
      <c r="D19" s="4" t="s">
        <v>2739</v>
      </c>
      <c r="E19" s="4" t="s">
        <v>2740</v>
      </c>
      <c r="F19" s="4" t="s">
        <v>2730</v>
      </c>
      <c r="G19" s="92">
        <v>45707</v>
      </c>
      <c r="H19" s="92">
        <v>45708</v>
      </c>
    </row>
    <row r="20" spans="1:8">
      <c r="A20" s="4" t="s">
        <v>424</v>
      </c>
      <c r="B20" s="4" t="s">
        <v>2734</v>
      </c>
      <c r="C20" s="4" t="s">
        <v>218</v>
      </c>
      <c r="D20" s="4" t="s">
        <v>732</v>
      </c>
      <c r="E20" s="4" t="s">
        <v>2741</v>
      </c>
      <c r="F20" s="4" t="s">
        <v>2730</v>
      </c>
      <c r="G20" s="92">
        <v>45720</v>
      </c>
      <c r="H20" s="92">
        <v>45721</v>
      </c>
    </row>
    <row r="21" spans="1:8">
      <c r="A21" s="4" t="s">
        <v>151</v>
      </c>
      <c r="B21" s="4" t="s">
        <v>2734</v>
      </c>
      <c r="C21" s="4" t="s">
        <v>218</v>
      </c>
      <c r="D21" s="4" t="s">
        <v>732</v>
      </c>
      <c r="E21" s="4" t="s">
        <v>2741</v>
      </c>
      <c r="F21" s="4" t="s">
        <v>2730</v>
      </c>
      <c r="G21" s="92">
        <v>45720</v>
      </c>
      <c r="H21" s="92">
        <v>45721</v>
      </c>
    </row>
    <row r="22" spans="1:8">
      <c r="A22" s="4" t="s">
        <v>424</v>
      </c>
      <c r="B22" s="4" t="s">
        <v>2727</v>
      </c>
      <c r="C22" s="4" t="s">
        <v>2742</v>
      </c>
      <c r="D22" s="4" t="s">
        <v>1702</v>
      </c>
      <c r="E22" s="4" t="s">
        <v>2743</v>
      </c>
      <c r="F22" s="4" t="s">
        <v>256</v>
      </c>
      <c r="G22" s="92">
        <v>45725</v>
      </c>
      <c r="H22" s="92">
        <v>45732</v>
      </c>
    </row>
    <row r="23" spans="1:8">
      <c r="A23" s="4" t="s">
        <v>424</v>
      </c>
      <c r="B23" s="4" t="s">
        <v>2727</v>
      </c>
      <c r="C23" s="4" t="s">
        <v>203</v>
      </c>
      <c r="D23" s="4" t="s">
        <v>1702</v>
      </c>
      <c r="E23" s="4" t="s">
        <v>2743</v>
      </c>
      <c r="F23" s="4" t="s">
        <v>256</v>
      </c>
      <c r="G23" s="92">
        <v>45725</v>
      </c>
      <c r="H23" s="92">
        <v>45732</v>
      </c>
    </row>
    <row r="24" spans="1:8">
      <c r="A24" s="4" t="s">
        <v>143</v>
      </c>
      <c r="B24" s="4" t="s">
        <v>2702</v>
      </c>
      <c r="C24" s="4" t="s">
        <v>218</v>
      </c>
      <c r="D24" s="4" t="s">
        <v>2744</v>
      </c>
      <c r="E24" s="4" t="s">
        <v>2745</v>
      </c>
      <c r="F24" s="4" t="s">
        <v>283</v>
      </c>
      <c r="G24" s="92">
        <v>45733</v>
      </c>
      <c r="H24" s="92">
        <v>45736</v>
      </c>
    </row>
    <row r="25" spans="1:8">
      <c r="A25" s="4" t="s">
        <v>159</v>
      </c>
      <c r="B25" s="4" t="s">
        <v>2705</v>
      </c>
      <c r="C25" s="4" t="s">
        <v>218</v>
      </c>
      <c r="D25" s="4" t="s">
        <v>497</v>
      </c>
      <c r="E25" s="4" t="s">
        <v>2746</v>
      </c>
      <c r="F25" s="4" t="s">
        <v>2747</v>
      </c>
      <c r="G25" s="92">
        <v>45740</v>
      </c>
      <c r="H25" s="92">
        <v>45742</v>
      </c>
    </row>
    <row r="26" spans="1:8">
      <c r="A26" s="4" t="s">
        <v>151</v>
      </c>
      <c r="B26" s="4" t="s">
        <v>2705</v>
      </c>
      <c r="C26" s="4" t="s">
        <v>218</v>
      </c>
      <c r="D26" s="4" t="s">
        <v>497</v>
      </c>
      <c r="E26" s="4" t="s">
        <v>2746</v>
      </c>
      <c r="F26" s="4" t="s">
        <v>2747</v>
      </c>
      <c r="G26" s="92">
        <v>45740</v>
      </c>
      <c r="H26" s="92">
        <v>45742</v>
      </c>
    </row>
    <row r="27" spans="1:8">
      <c r="A27" s="4" t="s">
        <v>159</v>
      </c>
      <c r="B27" s="4" t="s">
        <v>2727</v>
      </c>
      <c r="C27" s="4" t="s">
        <v>218</v>
      </c>
      <c r="D27" s="4" t="s">
        <v>2748</v>
      </c>
      <c r="E27" s="4" t="s">
        <v>2707</v>
      </c>
      <c r="F27" s="4" t="s">
        <v>283</v>
      </c>
      <c r="G27" s="92">
        <v>45743</v>
      </c>
      <c r="H27" s="92">
        <v>45744</v>
      </c>
    </row>
    <row r="28" spans="1:8">
      <c r="A28" s="4" t="s">
        <v>151</v>
      </c>
      <c r="B28" s="4" t="s">
        <v>2727</v>
      </c>
      <c r="C28" s="4" t="s">
        <v>218</v>
      </c>
      <c r="D28" s="4" t="s">
        <v>2748</v>
      </c>
      <c r="E28" s="4" t="s">
        <v>2707</v>
      </c>
      <c r="F28" s="4" t="s">
        <v>283</v>
      </c>
      <c r="G28" s="92">
        <v>45743</v>
      </c>
      <c r="H28" s="92">
        <v>45744</v>
      </c>
    </row>
    <row r="29" spans="1:8">
      <c r="A29" s="4" t="s">
        <v>138</v>
      </c>
      <c r="B29" s="4" t="s">
        <v>2749</v>
      </c>
      <c r="C29" s="4" t="s">
        <v>2708</v>
      </c>
      <c r="D29" s="4" t="s">
        <v>765</v>
      </c>
      <c r="E29" s="4" t="s">
        <v>2750</v>
      </c>
      <c r="F29" s="4" t="s">
        <v>2730</v>
      </c>
      <c r="G29" s="92">
        <v>45750</v>
      </c>
      <c r="H29" s="92">
        <v>45751</v>
      </c>
    </row>
    <row r="30" spans="1:8">
      <c r="A30" s="4" t="s">
        <v>159</v>
      </c>
      <c r="B30" s="4" t="s">
        <v>2705</v>
      </c>
      <c r="C30" s="4" t="s">
        <v>218</v>
      </c>
      <c r="D30" s="4" t="s">
        <v>497</v>
      </c>
      <c r="E30" s="4" t="s">
        <v>2751</v>
      </c>
      <c r="F30" s="4" t="s">
        <v>2752</v>
      </c>
      <c r="G30" s="92">
        <v>45754</v>
      </c>
      <c r="H30" s="92">
        <v>45757</v>
      </c>
    </row>
    <row r="31" spans="1:8">
      <c r="A31" s="4" t="s">
        <v>151</v>
      </c>
      <c r="B31" s="4" t="s">
        <v>2705</v>
      </c>
      <c r="C31" s="4" t="s">
        <v>218</v>
      </c>
      <c r="D31" s="4" t="s">
        <v>497</v>
      </c>
      <c r="E31" s="4" t="s">
        <v>2751</v>
      </c>
      <c r="F31" s="4" t="s">
        <v>2752</v>
      </c>
      <c r="G31" s="92">
        <v>45754</v>
      </c>
      <c r="H31" s="92">
        <v>45757</v>
      </c>
    </row>
    <row r="32" spans="1:8">
      <c r="A32" s="4" t="s">
        <v>399</v>
      </c>
      <c r="B32" s="4" t="s">
        <v>2749</v>
      </c>
      <c r="C32" s="4" t="s">
        <v>218</v>
      </c>
      <c r="D32" s="4" t="s">
        <v>2753</v>
      </c>
      <c r="E32" s="4" t="s">
        <v>2754</v>
      </c>
      <c r="F32" s="4" t="s">
        <v>2747</v>
      </c>
      <c r="G32" s="92">
        <v>45760</v>
      </c>
      <c r="H32" s="92">
        <v>45763</v>
      </c>
    </row>
    <row r="33" spans="1:8">
      <c r="A33" s="4" t="s">
        <v>143</v>
      </c>
      <c r="B33" s="4" t="s">
        <v>2702</v>
      </c>
      <c r="C33" s="4" t="s">
        <v>2708</v>
      </c>
      <c r="D33" s="4" t="s">
        <v>2547</v>
      </c>
      <c r="E33" s="4" t="s">
        <v>2733</v>
      </c>
      <c r="F33" s="4" t="s">
        <v>2730</v>
      </c>
      <c r="G33" s="92">
        <v>45760</v>
      </c>
      <c r="H33" s="92">
        <v>45765</v>
      </c>
    </row>
    <row r="34" spans="1:8">
      <c r="A34" s="4" t="s">
        <v>138</v>
      </c>
      <c r="B34" s="4" t="s">
        <v>2749</v>
      </c>
      <c r="C34" s="4" t="s">
        <v>2708</v>
      </c>
      <c r="D34" s="4" t="s">
        <v>2755</v>
      </c>
      <c r="E34" s="4" t="s">
        <v>2756</v>
      </c>
      <c r="F34" s="4" t="s">
        <v>2730</v>
      </c>
      <c r="G34" s="92">
        <v>45768</v>
      </c>
      <c r="H34" s="92">
        <v>45768</v>
      </c>
    </row>
    <row r="35" spans="1:8">
      <c r="A35" s="4" t="s">
        <v>151</v>
      </c>
      <c r="B35" s="4" t="s">
        <v>2734</v>
      </c>
      <c r="C35" s="4" t="s">
        <v>218</v>
      </c>
      <c r="D35" s="4" t="s">
        <v>2757</v>
      </c>
      <c r="E35" s="4" t="s">
        <v>2758</v>
      </c>
      <c r="F35" s="4" t="s">
        <v>283</v>
      </c>
      <c r="G35" s="92">
        <v>45768</v>
      </c>
      <c r="H35" s="92">
        <v>45771</v>
      </c>
    </row>
    <row r="36" spans="1:8">
      <c r="A36" s="4" t="s">
        <v>128</v>
      </c>
      <c r="B36" s="4" t="s">
        <v>2759</v>
      </c>
      <c r="C36" s="4" t="s">
        <v>123</v>
      </c>
      <c r="D36" s="4" t="s">
        <v>2760</v>
      </c>
      <c r="E36" s="4" t="s">
        <v>2761</v>
      </c>
      <c r="F36" s="4" t="s">
        <v>2730</v>
      </c>
      <c r="G36" s="92">
        <v>45771</v>
      </c>
      <c r="H36" s="92">
        <v>45772</v>
      </c>
    </row>
    <row r="37" spans="1:8">
      <c r="A37" s="4" t="s">
        <v>138</v>
      </c>
      <c r="B37" s="4" t="s">
        <v>2702</v>
      </c>
      <c r="C37" s="4" t="s">
        <v>2708</v>
      </c>
      <c r="D37" s="4" t="s">
        <v>2762</v>
      </c>
      <c r="E37" s="4" t="s">
        <v>2763</v>
      </c>
      <c r="F37" s="4" t="s">
        <v>2730</v>
      </c>
      <c r="G37" s="92">
        <v>45775</v>
      </c>
      <c r="H37" s="92">
        <v>45776</v>
      </c>
    </row>
    <row r="38" spans="1:8">
      <c r="A38" s="4" t="s">
        <v>405</v>
      </c>
      <c r="B38" s="4" t="s">
        <v>2705</v>
      </c>
      <c r="C38" s="4" t="s">
        <v>2708</v>
      </c>
      <c r="D38" s="4" t="s">
        <v>2739</v>
      </c>
      <c r="E38" s="4" t="s">
        <v>2764</v>
      </c>
      <c r="F38" s="4" t="s">
        <v>2730</v>
      </c>
      <c r="G38" s="92">
        <v>45785</v>
      </c>
      <c r="H38" s="92">
        <v>45786</v>
      </c>
    </row>
    <row r="39" spans="1:8">
      <c r="A39" s="4" t="s">
        <v>405</v>
      </c>
      <c r="B39" s="4" t="s">
        <v>2727</v>
      </c>
      <c r="C39" s="4" t="s">
        <v>2708</v>
      </c>
      <c r="D39" s="4" t="s">
        <v>1281</v>
      </c>
      <c r="E39" s="4" t="s">
        <v>343</v>
      </c>
      <c r="F39" s="4" t="s">
        <v>2730</v>
      </c>
      <c r="G39" s="92">
        <v>45806</v>
      </c>
      <c r="H39" s="92">
        <v>45806</v>
      </c>
    </row>
    <row r="40" spans="1:8">
      <c r="A40" s="4" t="s">
        <v>151</v>
      </c>
      <c r="B40" s="4" t="s">
        <v>2734</v>
      </c>
      <c r="C40" s="4" t="s">
        <v>218</v>
      </c>
      <c r="D40" s="4" t="s">
        <v>2765</v>
      </c>
      <c r="E40" s="4" t="s">
        <v>2766</v>
      </c>
      <c r="F40" s="4" t="s">
        <v>2714</v>
      </c>
      <c r="G40" s="92">
        <v>45790</v>
      </c>
      <c r="H40" s="92">
        <v>45799</v>
      </c>
    </row>
    <row r="41" spans="1:8">
      <c r="A41" s="4" t="s">
        <v>159</v>
      </c>
      <c r="B41" s="4" t="s">
        <v>2705</v>
      </c>
      <c r="C41" s="4" t="s">
        <v>218</v>
      </c>
      <c r="D41" s="4" t="s">
        <v>2767</v>
      </c>
      <c r="E41" s="4" t="s">
        <v>2768</v>
      </c>
      <c r="F41" s="4" t="s">
        <v>283</v>
      </c>
      <c r="G41" s="92">
        <v>45797</v>
      </c>
      <c r="H41" s="92">
        <v>45799</v>
      </c>
    </row>
    <row r="42" spans="1:8">
      <c r="A42" s="4" t="s">
        <v>399</v>
      </c>
      <c r="B42" s="4" t="s">
        <v>2702</v>
      </c>
      <c r="C42" s="4" t="s">
        <v>218</v>
      </c>
      <c r="D42" s="4" t="s">
        <v>2769</v>
      </c>
      <c r="E42" s="4" t="s">
        <v>2770</v>
      </c>
      <c r="F42" s="4" t="s">
        <v>2771</v>
      </c>
      <c r="G42" s="92">
        <v>45823</v>
      </c>
      <c r="H42" s="92">
        <v>45825</v>
      </c>
    </row>
    <row r="43" spans="1:8">
      <c r="A43" s="4" t="s">
        <v>138</v>
      </c>
      <c r="B43" s="4" t="s">
        <v>2705</v>
      </c>
      <c r="C43" s="4" t="s">
        <v>2708</v>
      </c>
      <c r="D43" s="4" t="s">
        <v>2755</v>
      </c>
      <c r="E43" s="4" t="s">
        <v>2756</v>
      </c>
      <c r="F43" s="4" t="s">
        <v>2730</v>
      </c>
      <c r="G43" s="92">
        <v>45818</v>
      </c>
      <c r="H43" s="92">
        <v>45818</v>
      </c>
    </row>
    <row r="44" spans="1:8">
      <c r="A44" s="4" t="s">
        <v>399</v>
      </c>
      <c r="B44" s="4" t="s">
        <v>2749</v>
      </c>
      <c r="C44" s="4" t="s">
        <v>218</v>
      </c>
      <c r="D44" s="4" t="s">
        <v>2772</v>
      </c>
      <c r="E44" s="4" t="s">
        <v>2773</v>
      </c>
      <c r="F44" s="4" t="s">
        <v>2730</v>
      </c>
      <c r="G44" s="92">
        <v>45853</v>
      </c>
      <c r="H44" s="92">
        <v>45853</v>
      </c>
    </row>
    <row r="45" spans="1:8">
      <c r="A45" s="4" t="s">
        <v>399</v>
      </c>
      <c r="B45" s="4" t="s">
        <v>2774</v>
      </c>
      <c r="C45" s="4" t="s">
        <v>218</v>
      </c>
      <c r="D45" s="4" t="s">
        <v>2772</v>
      </c>
      <c r="E45" s="4" t="s">
        <v>2775</v>
      </c>
      <c r="F45" s="4" t="s">
        <v>2730</v>
      </c>
      <c r="G45" s="92">
        <v>45867</v>
      </c>
      <c r="H45" s="92">
        <v>45867</v>
      </c>
    </row>
    <row r="46" spans="1:8">
      <c r="A46" s="4" t="s">
        <v>388</v>
      </c>
      <c r="B46" s="4" t="s">
        <v>2734</v>
      </c>
      <c r="C46" s="4" t="s">
        <v>218</v>
      </c>
      <c r="D46" s="4" t="s">
        <v>2776</v>
      </c>
      <c r="E46" s="4" t="s">
        <v>2777</v>
      </c>
      <c r="F46" s="4" t="s">
        <v>2730</v>
      </c>
      <c r="G46" s="92">
        <v>45869</v>
      </c>
      <c r="H46" s="92">
        <v>45870</v>
      </c>
    </row>
    <row r="47" spans="1:8">
      <c r="A47" s="4" t="s">
        <v>405</v>
      </c>
      <c r="B47" s="4" t="s">
        <v>2702</v>
      </c>
      <c r="C47" s="4" t="s">
        <v>2708</v>
      </c>
      <c r="D47" s="4" t="s">
        <v>2778</v>
      </c>
      <c r="E47" s="4" t="s">
        <v>2779</v>
      </c>
      <c r="F47" s="4" t="s">
        <v>2730</v>
      </c>
      <c r="G47" s="92">
        <v>45853</v>
      </c>
      <c r="H47" s="92">
        <v>45853</v>
      </c>
    </row>
    <row r="48" spans="1:8">
      <c r="A48" s="4" t="s">
        <v>405</v>
      </c>
      <c r="B48" s="4" t="s">
        <v>2702</v>
      </c>
      <c r="C48" s="4" t="s">
        <v>2708</v>
      </c>
      <c r="D48" s="4" t="s">
        <v>2735</v>
      </c>
      <c r="E48" s="4" t="s">
        <v>2780</v>
      </c>
      <c r="F48" s="4" t="s">
        <v>2730</v>
      </c>
      <c r="G48" s="92">
        <v>45863</v>
      </c>
      <c r="H48" s="92">
        <v>45866</v>
      </c>
    </row>
    <row r="49" spans="1:8">
      <c r="A49" s="4" t="s">
        <v>143</v>
      </c>
      <c r="B49" s="4" t="s">
        <v>2749</v>
      </c>
      <c r="C49" s="4" t="s">
        <v>218</v>
      </c>
      <c r="D49" s="4" t="s">
        <v>2781</v>
      </c>
      <c r="E49" s="4" t="s">
        <v>2782</v>
      </c>
      <c r="F49" s="4" t="s">
        <v>2714</v>
      </c>
      <c r="G49" s="92">
        <v>45877</v>
      </c>
      <c r="H49" s="92">
        <v>45881</v>
      </c>
    </row>
    <row r="50" spans="1:8">
      <c r="A50" s="4" t="s">
        <v>143</v>
      </c>
      <c r="B50" s="4" t="s">
        <v>2749</v>
      </c>
      <c r="C50" s="4" t="s">
        <v>218</v>
      </c>
      <c r="D50" s="4" t="s">
        <v>2783</v>
      </c>
      <c r="E50" s="4" t="s">
        <v>2784</v>
      </c>
      <c r="F50" s="4" t="s">
        <v>2714</v>
      </c>
      <c r="G50" s="92">
        <v>45882</v>
      </c>
      <c r="H50" s="92">
        <v>45885</v>
      </c>
    </row>
    <row r="51" spans="1:8">
      <c r="A51" s="4" t="s">
        <v>399</v>
      </c>
      <c r="B51" s="4" t="s">
        <v>2734</v>
      </c>
      <c r="C51" s="4" t="s">
        <v>218</v>
      </c>
      <c r="D51" s="4" t="s">
        <v>595</v>
      </c>
      <c r="E51" s="4" t="s">
        <v>2785</v>
      </c>
      <c r="F51" s="4" t="s">
        <v>2730</v>
      </c>
      <c r="G51" s="92">
        <v>45881</v>
      </c>
      <c r="H51" s="92">
        <v>45881</v>
      </c>
    </row>
    <row r="52" spans="1:8">
      <c r="A52" s="4" t="s">
        <v>399</v>
      </c>
      <c r="B52" s="4" t="s">
        <v>2749</v>
      </c>
      <c r="C52" s="4" t="s">
        <v>218</v>
      </c>
      <c r="D52" s="4" t="s">
        <v>2772</v>
      </c>
      <c r="E52" s="4" t="s">
        <v>2775</v>
      </c>
      <c r="F52" s="4" t="s">
        <v>2730</v>
      </c>
      <c r="G52" s="92">
        <v>45889</v>
      </c>
      <c r="H52" s="92">
        <v>45889</v>
      </c>
    </row>
    <row r="53" spans="1:8">
      <c r="A53" s="4" t="s">
        <v>399</v>
      </c>
      <c r="B53" s="4" t="s">
        <v>2702</v>
      </c>
      <c r="C53" s="4" t="s">
        <v>218</v>
      </c>
      <c r="D53" s="4" t="s">
        <v>2772</v>
      </c>
      <c r="E53" s="4" t="s">
        <v>2775</v>
      </c>
      <c r="F53" s="4" t="s">
        <v>2730</v>
      </c>
      <c r="G53" s="92">
        <v>45901</v>
      </c>
      <c r="H53" s="92">
        <v>45902</v>
      </c>
    </row>
    <row r="54" spans="1:8">
      <c r="A54" s="4" t="s">
        <v>399</v>
      </c>
      <c r="B54" s="4" t="s">
        <v>2749</v>
      </c>
      <c r="C54" s="4" t="s">
        <v>218</v>
      </c>
      <c r="D54" s="4" t="s">
        <v>2772</v>
      </c>
      <c r="E54" s="4" t="s">
        <v>2775</v>
      </c>
      <c r="F54" s="4" t="s">
        <v>2730</v>
      </c>
      <c r="G54" s="92">
        <v>45904</v>
      </c>
      <c r="H54" s="92">
        <v>45904</v>
      </c>
    </row>
    <row r="55" spans="1:8">
      <c r="A55" s="4" t="s">
        <v>159</v>
      </c>
      <c r="B55" s="4" t="s">
        <v>2749</v>
      </c>
      <c r="C55" s="4" t="s">
        <v>218</v>
      </c>
      <c r="D55" s="4" t="s">
        <v>454</v>
      </c>
      <c r="E55" s="4" t="s">
        <v>2786</v>
      </c>
      <c r="F55" s="4" t="s">
        <v>283</v>
      </c>
      <c r="G55" s="92">
        <v>45902</v>
      </c>
      <c r="H55" s="92">
        <v>45904</v>
      </c>
    </row>
    <row r="56" spans="1:8">
      <c r="A56" s="4" t="s">
        <v>399</v>
      </c>
      <c r="B56" s="4" t="s">
        <v>2702</v>
      </c>
      <c r="C56" s="4" t="s">
        <v>218</v>
      </c>
      <c r="D56" s="4" t="s">
        <v>2772</v>
      </c>
      <c r="E56" s="4" t="s">
        <v>2775</v>
      </c>
      <c r="F56" s="4" t="s">
        <v>2730</v>
      </c>
      <c r="G56" s="92">
        <v>45908</v>
      </c>
      <c r="H56" s="92">
        <v>45909</v>
      </c>
    </row>
    <row r="57" spans="1:8">
      <c r="A57" s="4" t="s">
        <v>143</v>
      </c>
      <c r="B57" s="4" t="s">
        <v>2727</v>
      </c>
      <c r="C57" s="4" t="s">
        <v>2708</v>
      </c>
      <c r="D57" s="4" t="s">
        <v>2787</v>
      </c>
      <c r="E57" s="4" t="s">
        <v>2788</v>
      </c>
      <c r="F57" s="4" t="s">
        <v>2730</v>
      </c>
      <c r="G57" s="92">
        <v>45924</v>
      </c>
      <c r="H57" s="92">
        <v>45924</v>
      </c>
    </row>
    <row r="58" spans="1:8">
      <c r="A58" s="4" t="s">
        <v>399</v>
      </c>
      <c r="B58" s="4" t="s">
        <v>2749</v>
      </c>
      <c r="C58" s="4" t="s">
        <v>218</v>
      </c>
      <c r="D58" s="4" t="s">
        <v>2772</v>
      </c>
      <c r="E58" s="4" t="s">
        <v>2775</v>
      </c>
      <c r="F58" s="4" t="s">
        <v>2730</v>
      </c>
      <c r="G58" s="92">
        <v>45926</v>
      </c>
      <c r="H58" s="92">
        <v>45926</v>
      </c>
    </row>
    <row r="59" spans="1:8">
      <c r="A59" s="4" t="s">
        <v>399</v>
      </c>
      <c r="B59" s="4" t="s">
        <v>2749</v>
      </c>
      <c r="C59" s="4" t="s">
        <v>218</v>
      </c>
      <c r="D59" s="4" t="s">
        <v>2772</v>
      </c>
      <c r="E59" s="4" t="s">
        <v>2775</v>
      </c>
      <c r="F59" s="4" t="s">
        <v>2730</v>
      </c>
      <c r="G59" s="92">
        <v>45930</v>
      </c>
      <c r="H59" s="92">
        <v>45930</v>
      </c>
    </row>
    <row r="60" spans="1:8">
      <c r="A60" s="4" t="s">
        <v>399</v>
      </c>
      <c r="B60" s="4" t="s">
        <v>2702</v>
      </c>
      <c r="C60" s="4" t="s">
        <v>218</v>
      </c>
      <c r="D60" s="4" t="s">
        <v>2772</v>
      </c>
      <c r="E60" s="4" t="s">
        <v>2775</v>
      </c>
      <c r="F60" s="4" t="s">
        <v>2730</v>
      </c>
      <c r="G60" s="92">
        <v>45943</v>
      </c>
      <c r="H60" s="92">
        <v>45944</v>
      </c>
    </row>
    <row r="61" spans="1:8">
      <c r="A61" s="4" t="s">
        <v>128</v>
      </c>
      <c r="B61" s="4" t="s">
        <v>2749</v>
      </c>
      <c r="C61" s="4" t="s">
        <v>218</v>
      </c>
      <c r="D61" s="4" t="s">
        <v>726</v>
      </c>
      <c r="E61" s="4" t="s">
        <v>2789</v>
      </c>
      <c r="F61" s="4" t="s">
        <v>2730</v>
      </c>
      <c r="G61" s="92">
        <v>45952</v>
      </c>
      <c r="H61" s="92">
        <v>45952</v>
      </c>
    </row>
    <row r="62" spans="1:8">
      <c r="A62" s="4" t="s">
        <v>159</v>
      </c>
      <c r="B62" s="4" t="s">
        <v>2749</v>
      </c>
      <c r="C62" s="4" t="s">
        <v>218</v>
      </c>
      <c r="D62" s="4" t="s">
        <v>490</v>
      </c>
      <c r="E62" s="4" t="s">
        <v>2790</v>
      </c>
      <c r="F62" s="4" t="s">
        <v>2730</v>
      </c>
      <c r="G62" s="92">
        <v>45954</v>
      </c>
      <c r="H62" s="92">
        <v>45954</v>
      </c>
    </row>
    <row r="63" spans="1:8">
      <c r="A63" s="4" t="s">
        <v>399</v>
      </c>
      <c r="B63" s="4" t="s">
        <v>2749</v>
      </c>
      <c r="C63" s="4" t="s">
        <v>218</v>
      </c>
      <c r="D63" s="4" t="s">
        <v>2772</v>
      </c>
      <c r="E63" s="4" t="s">
        <v>2775</v>
      </c>
      <c r="F63" s="4" t="s">
        <v>2730</v>
      </c>
      <c r="G63" s="92">
        <v>45967</v>
      </c>
      <c r="H63" s="92">
        <v>45967</v>
      </c>
    </row>
    <row r="64" spans="1:8">
      <c r="A64" s="4" t="s">
        <v>164</v>
      </c>
      <c r="B64" s="4" t="s">
        <v>2791</v>
      </c>
      <c r="C64" s="4" t="s">
        <v>2792</v>
      </c>
      <c r="D64" s="4" t="s">
        <v>1719</v>
      </c>
      <c r="E64" s="4" t="s">
        <v>2793</v>
      </c>
      <c r="F64" s="4" t="s">
        <v>2730</v>
      </c>
      <c r="G64" s="92">
        <v>45946</v>
      </c>
      <c r="H64" s="92">
        <v>45947</v>
      </c>
    </row>
    <row r="65" spans="1:8">
      <c r="A65" s="4" t="s">
        <v>164</v>
      </c>
      <c r="B65" s="4" t="s">
        <v>2791</v>
      </c>
      <c r="C65" s="4" t="s">
        <v>2792</v>
      </c>
      <c r="D65" s="4" t="s">
        <v>1719</v>
      </c>
      <c r="E65" s="4" t="s">
        <v>2793</v>
      </c>
      <c r="F65" s="4" t="s">
        <v>2730</v>
      </c>
      <c r="G65" s="92">
        <v>45953</v>
      </c>
      <c r="H65" s="92">
        <v>45953</v>
      </c>
    </row>
    <row r="66" spans="1:8">
      <c r="A66" s="4" t="s">
        <v>405</v>
      </c>
      <c r="B66" s="4" t="s">
        <v>2705</v>
      </c>
      <c r="C66" s="4" t="s">
        <v>2792</v>
      </c>
      <c r="D66" s="4" t="s">
        <v>2794</v>
      </c>
      <c r="E66" s="4" t="s">
        <v>2795</v>
      </c>
      <c r="F66" s="4" t="s">
        <v>283</v>
      </c>
      <c r="G66" s="92">
        <v>45965</v>
      </c>
      <c r="H66" s="92">
        <v>45968</v>
      </c>
    </row>
    <row r="67" spans="1:8">
      <c r="A67" s="4" t="s">
        <v>164</v>
      </c>
      <c r="B67" s="4" t="s">
        <v>2749</v>
      </c>
      <c r="C67" s="4" t="s">
        <v>218</v>
      </c>
      <c r="D67" s="4" t="s">
        <v>647</v>
      </c>
      <c r="E67" s="4" t="s">
        <v>2796</v>
      </c>
      <c r="F67" s="4" t="s">
        <v>2730</v>
      </c>
      <c r="G67" s="92">
        <v>45967</v>
      </c>
      <c r="H67" s="92">
        <v>45967</v>
      </c>
    </row>
    <row r="68" spans="1:8">
      <c r="A68" s="4" t="s">
        <v>164</v>
      </c>
      <c r="B68" s="4" t="s">
        <v>2749</v>
      </c>
      <c r="C68" s="4" t="s">
        <v>218</v>
      </c>
      <c r="D68" s="4" t="s">
        <v>2797</v>
      </c>
      <c r="E68" s="4" t="s">
        <v>2798</v>
      </c>
      <c r="F68" s="4" t="s">
        <v>2730</v>
      </c>
      <c r="G68" s="92">
        <v>45978</v>
      </c>
      <c r="H68" s="92">
        <v>45978</v>
      </c>
    </row>
    <row r="69" spans="1:8">
      <c r="A69" s="4" t="s">
        <v>399</v>
      </c>
      <c r="B69" s="4" t="s">
        <v>2749</v>
      </c>
      <c r="C69" s="4" t="s">
        <v>218</v>
      </c>
      <c r="D69" s="4" t="s">
        <v>2772</v>
      </c>
      <c r="E69" s="4" t="s">
        <v>2775</v>
      </c>
      <c r="F69" s="4" t="s">
        <v>2730</v>
      </c>
      <c r="G69" s="92">
        <v>45979</v>
      </c>
      <c r="H69" s="92">
        <v>45980</v>
      </c>
    </row>
    <row r="70" spans="1:8">
      <c r="A70" s="4" t="s">
        <v>399</v>
      </c>
      <c r="B70" s="4" t="s">
        <v>2749</v>
      </c>
      <c r="C70" s="4" t="s">
        <v>218</v>
      </c>
      <c r="D70" s="4" t="s">
        <v>2772</v>
      </c>
      <c r="E70" s="4" t="s">
        <v>2775</v>
      </c>
      <c r="F70" s="4" t="s">
        <v>2730</v>
      </c>
      <c r="G70" s="92">
        <v>45982</v>
      </c>
      <c r="H70" s="92">
        <v>45982</v>
      </c>
    </row>
    <row r="71" spans="1:8">
      <c r="A71" s="4" t="s">
        <v>164</v>
      </c>
      <c r="B71" s="4" t="s">
        <v>2734</v>
      </c>
      <c r="C71" s="4" t="s">
        <v>2799</v>
      </c>
      <c r="D71" s="4" t="s">
        <v>2800</v>
      </c>
      <c r="E71" s="4" t="s">
        <v>2801</v>
      </c>
      <c r="F71" s="4" t="s">
        <v>283</v>
      </c>
      <c r="G71" s="92">
        <v>45985</v>
      </c>
      <c r="H71" s="92">
        <v>45985</v>
      </c>
    </row>
    <row r="72" spans="1:8">
      <c r="A72" s="4" t="s">
        <v>164</v>
      </c>
      <c r="B72" s="4" t="s">
        <v>2734</v>
      </c>
      <c r="C72" s="4" t="s">
        <v>2799</v>
      </c>
      <c r="D72" s="4" t="s">
        <v>2800</v>
      </c>
      <c r="E72" s="4" t="s">
        <v>2802</v>
      </c>
      <c r="F72" s="4" t="s">
        <v>283</v>
      </c>
      <c r="G72" s="92">
        <v>45986</v>
      </c>
      <c r="H72" s="92">
        <v>45986</v>
      </c>
    </row>
    <row r="73" spans="1:8">
      <c r="A73" s="4" t="s">
        <v>164</v>
      </c>
      <c r="B73" s="4" t="s">
        <v>2734</v>
      </c>
      <c r="C73" s="4" t="s">
        <v>2799</v>
      </c>
      <c r="D73" s="4" t="s">
        <v>2800</v>
      </c>
      <c r="E73" s="4" t="s">
        <v>2803</v>
      </c>
      <c r="F73" s="4" t="s">
        <v>283</v>
      </c>
      <c r="G73" s="92">
        <v>45987</v>
      </c>
      <c r="H73" s="92">
        <v>45987</v>
      </c>
    </row>
    <row r="74" spans="1:8">
      <c r="A74" s="4" t="s">
        <v>164</v>
      </c>
      <c r="B74" s="4" t="s">
        <v>2734</v>
      </c>
      <c r="C74" s="4" t="s">
        <v>2799</v>
      </c>
      <c r="D74" s="4" t="s">
        <v>2797</v>
      </c>
      <c r="E74" s="4" t="s">
        <v>2804</v>
      </c>
      <c r="F74" s="4" t="s">
        <v>283</v>
      </c>
      <c r="G74" s="92">
        <v>45988</v>
      </c>
      <c r="H74" s="92">
        <v>45988</v>
      </c>
    </row>
    <row r="75" spans="1:8">
      <c r="A75" s="4" t="s">
        <v>164</v>
      </c>
      <c r="B75" s="4" t="s">
        <v>2734</v>
      </c>
      <c r="C75" s="4" t="s">
        <v>2799</v>
      </c>
      <c r="D75" s="4" t="s">
        <v>2805</v>
      </c>
      <c r="E75" s="4" t="s">
        <v>2806</v>
      </c>
      <c r="F75" s="4" t="s">
        <v>283</v>
      </c>
      <c r="G75" s="92">
        <v>45989</v>
      </c>
      <c r="H75" s="92">
        <v>45989</v>
      </c>
    </row>
    <row r="76" spans="1:8">
      <c r="A76" s="4" t="s">
        <v>399</v>
      </c>
      <c r="B76" s="4" t="s">
        <v>2749</v>
      </c>
      <c r="C76" s="4" t="s">
        <v>218</v>
      </c>
      <c r="D76" s="4" t="s">
        <v>2772</v>
      </c>
      <c r="E76" s="4" t="s">
        <v>2775</v>
      </c>
      <c r="F76" s="4" t="s">
        <v>2730</v>
      </c>
      <c r="G76" s="92">
        <v>45987</v>
      </c>
      <c r="H76" s="92">
        <v>45988</v>
      </c>
    </row>
    <row r="77" spans="1:8">
      <c r="A77" s="4" t="s">
        <v>421</v>
      </c>
      <c r="B77" s="4" t="s">
        <v>2749</v>
      </c>
      <c r="C77" s="4" t="s">
        <v>218</v>
      </c>
      <c r="D77" s="4" t="s">
        <v>2807</v>
      </c>
      <c r="E77" s="4" t="s">
        <v>2808</v>
      </c>
      <c r="F77" s="4" t="s">
        <v>2714</v>
      </c>
      <c r="G77" s="92">
        <v>45986</v>
      </c>
      <c r="H77" s="92">
        <v>46002</v>
      </c>
    </row>
    <row r="78" spans="1:8">
      <c r="A78" s="4" t="s">
        <v>421</v>
      </c>
      <c r="B78" s="4" t="s">
        <v>2749</v>
      </c>
      <c r="C78" s="4" t="s">
        <v>218</v>
      </c>
      <c r="D78" s="4" t="s">
        <v>2781</v>
      </c>
      <c r="E78" s="4" t="s">
        <v>2809</v>
      </c>
      <c r="F78" s="4" t="s">
        <v>2714</v>
      </c>
      <c r="G78" s="92">
        <v>45992</v>
      </c>
      <c r="H78" s="92">
        <v>45992</v>
      </c>
    </row>
    <row r="79" spans="1:8">
      <c r="A79" s="4" t="s">
        <v>421</v>
      </c>
      <c r="B79" s="4" t="s">
        <v>2749</v>
      </c>
      <c r="C79" s="4" t="s">
        <v>218</v>
      </c>
      <c r="D79" s="4" t="s">
        <v>2810</v>
      </c>
      <c r="E79" s="4" t="s">
        <v>2811</v>
      </c>
      <c r="F79" s="4" t="s">
        <v>2714</v>
      </c>
      <c r="G79" s="92">
        <v>45994</v>
      </c>
      <c r="H79" s="92">
        <v>45994</v>
      </c>
    </row>
    <row r="80" spans="1:8">
      <c r="A80" s="4" t="s">
        <v>143</v>
      </c>
      <c r="B80" s="4" t="s">
        <v>2749</v>
      </c>
      <c r="C80" s="4" t="s">
        <v>218</v>
      </c>
      <c r="D80" s="4" t="s">
        <v>2812</v>
      </c>
      <c r="E80" s="4" t="s">
        <v>2813</v>
      </c>
      <c r="F80" s="4" t="s">
        <v>2771</v>
      </c>
      <c r="G80" s="92">
        <v>45998</v>
      </c>
      <c r="H80" s="92">
        <v>46001</v>
      </c>
    </row>
    <row r="81" spans="1:8">
      <c r="A81" s="4" t="s">
        <v>393</v>
      </c>
      <c r="B81" s="4" t="s">
        <v>2727</v>
      </c>
      <c r="C81" s="4" t="s">
        <v>218</v>
      </c>
      <c r="D81" s="4" t="s">
        <v>726</v>
      </c>
      <c r="E81" s="4" t="s">
        <v>2789</v>
      </c>
      <c r="F81" s="4" t="s">
        <v>2730</v>
      </c>
      <c r="G81" s="92">
        <v>46014</v>
      </c>
      <c r="H81" s="92">
        <v>46014</v>
      </c>
    </row>
    <row r="82" spans="1:8">
      <c r="A82" s="4" t="s">
        <v>405</v>
      </c>
      <c r="B82" s="4" t="s">
        <v>2727</v>
      </c>
      <c r="C82" s="4" t="s">
        <v>2742</v>
      </c>
      <c r="D82" s="4" t="s">
        <v>1702</v>
      </c>
      <c r="E82" s="4" t="s">
        <v>2814</v>
      </c>
      <c r="F82" s="4" t="s">
        <v>256</v>
      </c>
      <c r="G82" s="92">
        <v>46042</v>
      </c>
      <c r="H82" s="92">
        <v>46059</v>
      </c>
    </row>
    <row r="83" spans="1:8">
      <c r="A83" s="4" t="s">
        <v>393</v>
      </c>
      <c r="B83" s="4" t="s">
        <v>2749</v>
      </c>
      <c r="C83" s="4" t="s">
        <v>218</v>
      </c>
      <c r="D83" s="4" t="s">
        <v>726</v>
      </c>
      <c r="E83" s="4" t="s">
        <v>2789</v>
      </c>
      <c r="F83" s="4" t="s">
        <v>2730</v>
      </c>
      <c r="G83" s="92">
        <v>46063</v>
      </c>
      <c r="H83" s="92">
        <v>46063</v>
      </c>
    </row>
    <row r="84" spans="1:8">
      <c r="A84" s="4" t="s">
        <v>421</v>
      </c>
      <c r="B84" s="4" t="s">
        <v>2702</v>
      </c>
      <c r="C84" s="4" t="s">
        <v>218</v>
      </c>
      <c r="D84" s="4" t="s">
        <v>2815</v>
      </c>
      <c r="E84" s="4" t="s">
        <v>2808</v>
      </c>
      <c r="F84" s="4" t="s">
        <v>2714</v>
      </c>
      <c r="G84" s="92">
        <v>46076</v>
      </c>
      <c r="H84" s="92">
        <v>46090</v>
      </c>
    </row>
    <row r="85" spans="1:8">
      <c r="A85" s="4" t="s">
        <v>388</v>
      </c>
      <c r="B85" s="4" t="s">
        <v>2734</v>
      </c>
      <c r="C85" s="4" t="s">
        <v>218</v>
      </c>
      <c r="D85" s="4" t="s">
        <v>2816</v>
      </c>
      <c r="E85" s="4" t="s">
        <v>2817</v>
      </c>
      <c r="F85" s="4" t="s">
        <v>2730</v>
      </c>
      <c r="G85" s="92">
        <v>46079</v>
      </c>
      <c r="H85" s="92">
        <v>46079</v>
      </c>
    </row>
    <row r="86" spans="1:8">
      <c r="A86" s="4" t="s">
        <v>164</v>
      </c>
      <c r="B86" s="4" t="s">
        <v>2734</v>
      </c>
      <c r="C86" s="4" t="s">
        <v>218</v>
      </c>
      <c r="D86" s="4" t="s">
        <v>2816</v>
      </c>
      <c r="E86" s="4" t="s">
        <v>2817</v>
      </c>
      <c r="F86" s="4" t="s">
        <v>2730</v>
      </c>
      <c r="G86" s="92">
        <v>46079</v>
      </c>
      <c r="H86" s="92">
        <v>46079</v>
      </c>
    </row>
    <row r="87" spans="1:8">
      <c r="A87" s="4" t="s">
        <v>164</v>
      </c>
      <c r="B87" s="4" t="s">
        <v>2734</v>
      </c>
      <c r="C87" s="4" t="s">
        <v>2799</v>
      </c>
      <c r="D87" s="4" t="s">
        <v>2818</v>
      </c>
      <c r="E87" s="4" t="s">
        <v>2819</v>
      </c>
      <c r="F87" s="4" t="s">
        <v>2730</v>
      </c>
      <c r="G87" s="92">
        <v>46085</v>
      </c>
      <c r="H87" s="92">
        <v>46085</v>
      </c>
    </row>
    <row r="88" spans="1:8">
      <c r="A88" s="4" t="s">
        <v>388</v>
      </c>
      <c r="B88" s="4" t="s">
        <v>2734</v>
      </c>
      <c r="C88" s="4" t="s">
        <v>2799</v>
      </c>
      <c r="D88" s="4" t="s">
        <v>2818</v>
      </c>
      <c r="E88" s="4" t="s">
        <v>2820</v>
      </c>
      <c r="F88" s="4" t="s">
        <v>2730</v>
      </c>
      <c r="G88" s="92">
        <v>46086</v>
      </c>
      <c r="H88" s="92">
        <v>46086</v>
      </c>
    </row>
    <row r="89" spans="1:8">
      <c r="A89" s="4" t="s">
        <v>164</v>
      </c>
      <c r="B89" s="4" t="s">
        <v>2734</v>
      </c>
      <c r="C89" s="4" t="s">
        <v>2799</v>
      </c>
      <c r="D89" s="4" t="s">
        <v>2818</v>
      </c>
      <c r="E89" s="4" t="s">
        <v>2820</v>
      </c>
      <c r="F89" s="4" t="s">
        <v>2730</v>
      </c>
      <c r="G89" s="92">
        <v>46086</v>
      </c>
      <c r="H89" s="92">
        <v>46086</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D11"/>
  <sheetViews>
    <sheetView workbookViewId="0">
      <pane ySplit="1" topLeftCell="A2" activePane="bottomLeft" state="frozen"/>
      <selection pane="bottomLeft" activeCell="B9" sqref="B9"/>
    </sheetView>
  </sheetViews>
  <sheetFormatPr defaultRowHeight="16.5"/>
  <cols>
    <col min="1" max="1" width="49.125" bestFit="1" customWidth="1"/>
    <col min="2" max="3" width="16" customWidth="1"/>
    <col min="4" max="4" width="35.875" customWidth="1"/>
  </cols>
  <sheetData>
    <row r="1" spans="1:4" ht="26.1" customHeight="1">
      <c r="A1" s="3" t="s">
        <v>115</v>
      </c>
      <c r="B1" s="3" t="s">
        <v>116</v>
      </c>
      <c r="C1" s="3" t="s">
        <v>54</v>
      </c>
      <c r="D1" s="3" t="s">
        <v>117</v>
      </c>
    </row>
    <row r="2" spans="1:4">
      <c r="A2" s="93" t="s">
        <v>2821</v>
      </c>
      <c r="B2" s="4" t="s">
        <v>425</v>
      </c>
      <c r="C2" s="4" t="s">
        <v>148</v>
      </c>
      <c r="D2" s="4" t="s">
        <v>2822</v>
      </c>
    </row>
    <row r="3" spans="1:4">
      <c r="A3" s="93" t="s">
        <v>2823</v>
      </c>
      <c r="B3" s="4" t="s">
        <v>128</v>
      </c>
      <c r="C3" s="4" t="s">
        <v>125</v>
      </c>
      <c r="D3" s="4" t="s">
        <v>2824</v>
      </c>
    </row>
    <row r="4" spans="1:4">
      <c r="A4" s="93" t="s">
        <v>2825</v>
      </c>
      <c r="B4" s="4" t="s">
        <v>399</v>
      </c>
      <c r="C4" s="4" t="s">
        <v>120</v>
      </c>
      <c r="D4" s="4" t="s">
        <v>2826</v>
      </c>
    </row>
    <row r="5" spans="1:4">
      <c r="A5" s="93" t="s">
        <v>2827</v>
      </c>
      <c r="B5" s="4" t="s">
        <v>128</v>
      </c>
      <c r="C5" s="4" t="s">
        <v>130</v>
      </c>
      <c r="D5" s="4" t="s">
        <v>2828</v>
      </c>
    </row>
    <row r="6" spans="1:4">
      <c r="A6" s="93" t="s">
        <v>2829</v>
      </c>
      <c r="B6" s="4" t="s">
        <v>411</v>
      </c>
      <c r="C6" s="4" t="s">
        <v>144</v>
      </c>
      <c r="D6" s="4"/>
    </row>
    <row r="7" spans="1:4">
      <c r="A7" s="93" t="s">
        <v>2830</v>
      </c>
      <c r="B7" s="4" t="s">
        <v>143</v>
      </c>
      <c r="C7" s="4" t="s">
        <v>139</v>
      </c>
      <c r="D7" s="4" t="s">
        <v>2831</v>
      </c>
    </row>
    <row r="8" spans="1:4">
      <c r="A8" s="93" t="s">
        <v>2832</v>
      </c>
      <c r="B8" s="4" t="s">
        <v>128</v>
      </c>
      <c r="C8" s="4" t="s">
        <v>389</v>
      </c>
      <c r="D8" s="4" t="s">
        <v>2833</v>
      </c>
    </row>
    <row r="9" spans="1:4">
      <c r="A9" s="93" t="s">
        <v>2834</v>
      </c>
      <c r="B9" s="4" t="s">
        <v>138</v>
      </c>
      <c r="C9" s="4" t="s">
        <v>389</v>
      </c>
      <c r="D9" s="4" t="s">
        <v>2835</v>
      </c>
    </row>
    <row r="10" spans="1:4">
      <c r="A10" s="93" t="s">
        <v>2836</v>
      </c>
      <c r="B10" s="4" t="s">
        <v>128</v>
      </c>
      <c r="C10" s="4" t="s">
        <v>389</v>
      </c>
      <c r="D10" s="4" t="s">
        <v>2837</v>
      </c>
    </row>
    <row r="11" spans="1:4">
      <c r="A11" s="93" t="s">
        <v>2838</v>
      </c>
      <c r="B11" s="4" t="s">
        <v>164</v>
      </c>
      <c r="C11" s="4" t="s">
        <v>389</v>
      </c>
      <c r="D11" s="4" t="s">
        <v>2839</v>
      </c>
    </row>
  </sheetData>
  <phoneticPr fontId="4" type="noConversion"/>
  <pageMargins left="0.7" right="0.7" top="0.75" bottom="0.75" header="0.3" footer="0.3"/>
  <headerFooter>
    <oddHeader>&amp;R&amp;"Aptos"&amp;13&amp;K000000 [ RESTRICTED ]&amp;1#_x000D_</oddHeader>
    <oddFooter>&amp;R_x000D_&amp;1#&amp;"Aptos"&amp;5&amp;K000000 [Secure Minds, Secure Finds] 본 문서는 현대건설㈜의 정보자산이므로 무단 전제 및 복제할 수 없으며, 이를 위반할 시에는 당사 사규 및 관련 법규에 의해 제지를 받을 수 있습니다.</oddFooter>
  </headerFooter>
</worksheet>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DocSecurity>0</DocSecurity>
  <Application>Microsoft Excel</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강태준(TAEJUN KANG)</dc:creator>
  <dcterms:modified xsi:type="dcterms:W3CDTF">2026-05-14T08:37:31Z</dcterms:modified>
  <cp:lastModifiedBy>강태준(TAEJUN KANG) 플랜트구매품질팀 책임매니저</cp:lastModifiedBy>
  <dcterms:created xsi:type="dcterms:W3CDTF">2026-05-07T02:11:20Z</dcterms:created>
</cp:coreProperties>
</file>